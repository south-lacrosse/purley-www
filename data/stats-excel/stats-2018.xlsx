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630" windowWidth="19230" windowHeight="6660"/>
  </bookViews>
  <sheets>
    <sheet name="Stats" sheetId="2" r:id="rId1"/>
    <sheet name="Summary" sheetId="1" r:id="rId2"/>
  </sheets>
  <calcPr calcId="145621"/>
</workbook>
</file>

<file path=xl/calcChain.xml><?xml version="1.0" encoding="utf-8"?>
<calcChain xmlns="http://schemas.openxmlformats.org/spreadsheetml/2006/main">
  <c r="D27" i="2" l="1"/>
  <c r="CJ78" i="2" s="1"/>
  <c r="F27" i="2"/>
  <c r="G27" i="2"/>
  <c r="H27" i="2"/>
  <c r="D28" i="2"/>
  <c r="F28" i="2"/>
  <c r="G28" i="2"/>
  <c r="H28" i="2"/>
  <c r="D29" i="2"/>
  <c r="F29" i="2"/>
  <c r="G29" i="2"/>
  <c r="H29" i="2"/>
  <c r="D30" i="2"/>
  <c r="F30" i="2"/>
  <c r="G30" i="2"/>
  <c r="H30" i="2"/>
  <c r="D31" i="2"/>
  <c r="F31" i="2"/>
  <c r="G31" i="2"/>
  <c r="H31" i="2"/>
  <c r="D32" i="2"/>
  <c r="F32" i="2"/>
  <c r="G32" i="2"/>
  <c r="H32" i="2"/>
  <c r="D33" i="2"/>
  <c r="F33" i="2"/>
  <c r="G33" i="2"/>
  <c r="H33" i="2"/>
  <c r="D34" i="2"/>
  <c r="F34" i="2"/>
  <c r="G34" i="2"/>
  <c r="H34" i="2"/>
  <c r="D35" i="2"/>
  <c r="F35" i="2"/>
  <c r="G35" i="2"/>
  <c r="H35" i="2"/>
  <c r="D36" i="2"/>
  <c r="F36" i="2"/>
  <c r="G36" i="2"/>
  <c r="H36" i="2"/>
  <c r="D37" i="2"/>
  <c r="F37" i="2"/>
  <c r="G37" i="2"/>
  <c r="H37" i="2"/>
  <c r="D38" i="2"/>
  <c r="F38" i="2"/>
  <c r="G38" i="2"/>
  <c r="H38" i="2"/>
  <c r="D39" i="2"/>
  <c r="F39" i="2"/>
  <c r="G39" i="2"/>
  <c r="H39" i="2"/>
  <c r="D40" i="2"/>
  <c r="F40" i="2"/>
  <c r="G40" i="2"/>
  <c r="H40" i="2"/>
  <c r="D41" i="2"/>
  <c r="F41" i="2"/>
  <c r="G41" i="2"/>
  <c r="H41" i="2"/>
  <c r="D42" i="2"/>
  <c r="CH93" i="2" s="1"/>
  <c r="F42" i="2"/>
  <c r="G42" i="2"/>
  <c r="H42" i="2"/>
  <c r="CG182" i="2"/>
  <c r="CG181" i="2"/>
  <c r="CG180" i="2"/>
  <c r="CG179" i="2"/>
  <c r="CG178" i="2"/>
  <c r="CG177" i="2"/>
  <c r="CG176" i="2"/>
  <c r="CG175" i="2"/>
  <c r="CG174" i="2"/>
  <c r="CG173" i="2"/>
  <c r="CG172" i="2"/>
  <c r="CG171" i="2"/>
  <c r="CG170" i="2"/>
  <c r="CG169" i="2"/>
  <c r="CG168" i="2"/>
  <c r="CG167" i="2"/>
  <c r="CG166" i="2"/>
  <c r="CG165" i="2"/>
  <c r="CG164" i="2"/>
  <c r="CG163" i="2"/>
  <c r="CG162" i="2"/>
  <c r="CG161" i="2"/>
  <c r="CG160" i="2"/>
  <c r="CG159" i="2"/>
  <c r="CG158" i="2"/>
  <c r="CG157" i="2"/>
  <c r="CG156" i="2"/>
  <c r="CG155" i="2"/>
  <c r="CG154" i="2"/>
  <c r="CG153" i="2"/>
  <c r="CG152" i="2"/>
  <c r="CG151" i="2"/>
  <c r="CG150" i="2"/>
  <c r="CG149" i="2"/>
  <c r="CG148" i="2"/>
  <c r="CG147" i="2"/>
  <c r="CG146" i="2"/>
  <c r="CG145" i="2"/>
  <c r="CG144" i="2"/>
  <c r="CH143" i="2"/>
  <c r="CH144" i="2" s="1"/>
  <c r="CH145" i="2" s="1"/>
  <c r="CH146" i="2" s="1"/>
  <c r="CH147" i="2" s="1"/>
  <c r="CH148" i="2" s="1"/>
  <c r="CH149" i="2" s="1"/>
  <c r="CG143" i="2"/>
  <c r="CJ100" i="2"/>
  <c r="CI100" i="2"/>
  <c r="CH100" i="2"/>
  <c r="CG100" i="2"/>
  <c r="CJ99" i="2"/>
  <c r="CI99" i="2"/>
  <c r="CH99" i="2"/>
  <c r="CG99" i="2"/>
  <c r="CJ98" i="2"/>
  <c r="CI98" i="2"/>
  <c r="CH98" i="2"/>
  <c r="CG98" i="2"/>
  <c r="CJ97" i="2"/>
  <c r="CI97" i="2"/>
  <c r="CH97" i="2"/>
  <c r="CG97" i="2"/>
  <c r="CJ96" i="2"/>
  <c r="CI96" i="2"/>
  <c r="CH96" i="2"/>
  <c r="CG96" i="2"/>
  <c r="CJ95" i="2"/>
  <c r="CI95" i="2"/>
  <c r="CH95" i="2"/>
  <c r="CG95" i="2"/>
  <c r="CJ94" i="2"/>
  <c r="CI94" i="2"/>
  <c r="CH94" i="2"/>
  <c r="CG94" i="2"/>
  <c r="CJ93" i="2"/>
  <c r="CI93" i="2"/>
  <c r="CG93" i="2"/>
  <c r="CJ92" i="2"/>
  <c r="CI92" i="2"/>
  <c r="CH92" i="2"/>
  <c r="CG92" i="2"/>
  <c r="CJ91" i="2"/>
  <c r="CI91" i="2"/>
  <c r="CH91" i="2"/>
  <c r="CG91" i="2"/>
  <c r="CJ90" i="2"/>
  <c r="CI90" i="2"/>
  <c r="CH90" i="2"/>
  <c r="CG90" i="2"/>
  <c r="CJ89" i="2"/>
  <c r="CI89" i="2"/>
  <c r="CH89" i="2"/>
  <c r="CG89" i="2"/>
  <c r="CJ88" i="2"/>
  <c r="CI88" i="2"/>
  <c r="CH88" i="2"/>
  <c r="CG88" i="2"/>
  <c r="CJ87" i="2"/>
  <c r="CI87" i="2"/>
  <c r="CH87" i="2"/>
  <c r="CG87" i="2"/>
  <c r="CJ86" i="2"/>
  <c r="CI86" i="2"/>
  <c r="CH86" i="2"/>
  <c r="CG86" i="2"/>
  <c r="CJ85" i="2"/>
  <c r="CI85" i="2"/>
  <c r="CH85" i="2"/>
  <c r="CG85" i="2"/>
  <c r="CJ84" i="2"/>
  <c r="CI84" i="2"/>
  <c r="CH84" i="2"/>
  <c r="CG84" i="2"/>
  <c r="CJ83" i="2"/>
  <c r="CI83" i="2"/>
  <c r="CH83" i="2"/>
  <c r="CG83" i="2"/>
  <c r="CJ82" i="2"/>
  <c r="CI82" i="2"/>
  <c r="CH82" i="2"/>
  <c r="CG82" i="2"/>
  <c r="CJ81" i="2"/>
  <c r="CI81" i="2"/>
  <c r="CH81" i="2"/>
  <c r="CG81" i="2"/>
  <c r="CJ80" i="2"/>
  <c r="CI80" i="2"/>
  <c r="CH80" i="2"/>
  <c r="CG80" i="2"/>
  <c r="CJ79" i="2"/>
  <c r="CI79" i="2"/>
  <c r="CH79" i="2"/>
  <c r="CG79" i="2"/>
  <c r="CI78" i="2"/>
  <c r="CH78" i="2"/>
  <c r="CG78" i="2"/>
  <c r="CI77" i="2"/>
  <c r="CH77" i="2"/>
  <c r="CG77" i="2"/>
  <c r="CJ76" i="2"/>
  <c r="CI76" i="2"/>
  <c r="CH76" i="2"/>
  <c r="CG76" i="2"/>
  <c r="CJ75" i="2"/>
  <c r="CI75" i="2"/>
  <c r="CH75" i="2"/>
  <c r="CG75" i="2"/>
  <c r="CJ74" i="2"/>
  <c r="CI74" i="2"/>
  <c r="CH74" i="2"/>
  <c r="CG74" i="2"/>
  <c r="CJ73" i="2"/>
  <c r="CI73" i="2"/>
  <c r="CH73" i="2"/>
  <c r="CG73" i="2"/>
  <c r="CJ72" i="2"/>
  <c r="CI72" i="2"/>
  <c r="CH72" i="2"/>
  <c r="CG72" i="2"/>
  <c r="CJ71" i="2"/>
  <c r="CI71" i="2"/>
  <c r="CH71" i="2"/>
  <c r="CG71" i="2"/>
  <c r="CJ70" i="2"/>
  <c r="CI70" i="2"/>
  <c r="CH70" i="2"/>
  <c r="CG70" i="2"/>
  <c r="CJ69" i="2"/>
  <c r="CI69" i="2"/>
  <c r="CH69" i="2"/>
  <c r="CG69" i="2"/>
  <c r="CJ68" i="2"/>
  <c r="CI68" i="2"/>
  <c r="CH68" i="2"/>
  <c r="CG68" i="2"/>
  <c r="CJ67" i="2"/>
  <c r="CI67" i="2"/>
  <c r="CH67" i="2"/>
  <c r="CG67" i="2"/>
  <c r="CJ66" i="2"/>
  <c r="CI66" i="2"/>
  <c r="CH66" i="2"/>
  <c r="CG66" i="2"/>
  <c r="CJ65" i="2"/>
  <c r="CI65" i="2"/>
  <c r="CH65" i="2"/>
  <c r="CG65" i="2"/>
  <c r="CJ64" i="2"/>
  <c r="CI64" i="2"/>
  <c r="CH64" i="2"/>
  <c r="CG64" i="2"/>
  <c r="CJ63" i="2"/>
  <c r="CI63" i="2"/>
  <c r="CH63" i="2"/>
  <c r="CG63" i="2"/>
  <c r="CJ62" i="2"/>
  <c r="CI62" i="2"/>
  <c r="CH62" i="2"/>
  <c r="CG62" i="2"/>
  <c r="CJ61" i="2"/>
  <c r="CJ102" i="2" s="1"/>
  <c r="CI61" i="2"/>
  <c r="CI102" i="2" s="1"/>
  <c r="CH61" i="2"/>
  <c r="CH102" i="2" s="1"/>
  <c r="CG61" i="2"/>
  <c r="CG102" i="2" s="1"/>
  <c r="CH55" i="2"/>
  <c r="CH54" i="2"/>
  <c r="CH53" i="2"/>
  <c r="CH52" i="2"/>
  <c r="CH51" i="2"/>
  <c r="CJ50" i="2"/>
  <c r="CG5" i="2"/>
  <c r="CH150" i="2" l="1"/>
  <c r="CH151" i="2" s="1"/>
  <c r="CH152" i="2" s="1"/>
  <c r="CH153" i="2" s="1"/>
  <c r="CH154" i="2" s="1"/>
  <c r="CH155" i="2" s="1"/>
  <c r="CH156" i="2" s="1"/>
  <c r="CH157" i="2" s="1"/>
  <c r="CH158" i="2" s="1"/>
  <c r="CH159" i="2" s="1"/>
  <c r="CH160" i="2" s="1"/>
  <c r="CH161" i="2" s="1"/>
  <c r="CH162" i="2" s="1"/>
  <c r="CH163" i="2" s="1"/>
  <c r="CH164" i="2" s="1"/>
  <c r="CH165" i="2" s="1"/>
  <c r="CH166" i="2" s="1"/>
  <c r="CH167" i="2" s="1"/>
  <c r="CH168" i="2" s="1"/>
  <c r="CH169" i="2" s="1"/>
  <c r="CH170" i="2" s="1"/>
  <c r="CH171" i="2" s="1"/>
  <c r="CH172" i="2" s="1"/>
  <c r="CH173" i="2" s="1"/>
  <c r="CH174" i="2" s="1"/>
  <c r="CH175" i="2" s="1"/>
  <c r="CH176" i="2" s="1"/>
  <c r="CH177" i="2" s="1"/>
  <c r="CH178" i="2" s="1"/>
  <c r="CH179" i="2" s="1"/>
  <c r="CH180" i="2" s="1"/>
  <c r="CH181" i="2" s="1"/>
  <c r="CH182" i="2" s="1"/>
  <c r="CG59" i="2" s="1"/>
  <c r="CH103" i="2"/>
  <c r="CH104" i="2" s="1"/>
  <c r="CH105" i="2" s="1"/>
  <c r="CH106" i="2" s="1"/>
  <c r="CH107" i="2" s="1"/>
  <c r="CH108" i="2" s="1"/>
  <c r="CH109" i="2" s="1"/>
  <c r="CH110" i="2" s="1"/>
  <c r="CH111" i="2" s="1"/>
  <c r="CH112" i="2" s="1"/>
  <c r="CH113" i="2" s="1"/>
  <c r="CH114" i="2" s="1"/>
  <c r="CH115" i="2" s="1"/>
  <c r="CH116" i="2" s="1"/>
  <c r="CH117" i="2" s="1"/>
  <c r="CH118" i="2" s="1"/>
  <c r="CH119" i="2" s="1"/>
  <c r="CH120" i="2" s="1"/>
  <c r="CH121" i="2" s="1"/>
  <c r="CH122" i="2" s="1"/>
  <c r="CH123" i="2" s="1"/>
  <c r="CH124" i="2" s="1"/>
  <c r="CH125" i="2" s="1"/>
  <c r="CH126" i="2" s="1"/>
  <c r="CH127" i="2" s="1"/>
  <c r="CH128" i="2" s="1"/>
  <c r="CH129" i="2" s="1"/>
  <c r="CH130" i="2" s="1"/>
  <c r="CH131" i="2" s="1"/>
  <c r="CH132" i="2" s="1"/>
  <c r="CH133" i="2" s="1"/>
  <c r="CH134" i="2" s="1"/>
  <c r="CH135" i="2" s="1"/>
  <c r="CH136" i="2" s="1"/>
  <c r="CH137" i="2" s="1"/>
  <c r="CH138" i="2" s="1"/>
  <c r="CH139" i="2" s="1"/>
  <c r="CH140" i="2" s="1"/>
  <c r="CH141" i="2" s="1"/>
  <c r="CI103" i="2"/>
  <c r="CI104" i="2" s="1"/>
  <c r="CI105" i="2" s="1"/>
  <c r="CI106" i="2" s="1"/>
  <c r="CI107" i="2" s="1"/>
  <c r="CI108" i="2" s="1"/>
  <c r="CI109" i="2" s="1"/>
  <c r="CI110" i="2" s="1"/>
  <c r="CI111" i="2" s="1"/>
  <c r="CI112" i="2" s="1"/>
  <c r="CI113" i="2" s="1"/>
  <c r="CI114" i="2" s="1"/>
  <c r="CI115" i="2" s="1"/>
  <c r="CI116" i="2" s="1"/>
  <c r="CI117" i="2" s="1"/>
  <c r="CI118" i="2" s="1"/>
  <c r="CI119" i="2" s="1"/>
  <c r="CI120" i="2" s="1"/>
  <c r="CI121" i="2" s="1"/>
  <c r="CI122" i="2" s="1"/>
  <c r="CI123" i="2" s="1"/>
  <c r="CI124" i="2" s="1"/>
  <c r="CI125" i="2" s="1"/>
  <c r="CI126" i="2" s="1"/>
  <c r="CI127" i="2" s="1"/>
  <c r="CI128" i="2" s="1"/>
  <c r="CI129" i="2" s="1"/>
  <c r="CI130" i="2" s="1"/>
  <c r="CI131" i="2" s="1"/>
  <c r="CI132" i="2" s="1"/>
  <c r="CI133" i="2" s="1"/>
  <c r="CI134" i="2" s="1"/>
  <c r="CI135" i="2" s="1"/>
  <c r="CI136" i="2" s="1"/>
  <c r="CI137" i="2" s="1"/>
  <c r="CI138" i="2" s="1"/>
  <c r="CI139" i="2" s="1"/>
  <c r="CI140" i="2" s="1"/>
  <c r="CI141" i="2" s="1"/>
  <c r="CJ103" i="2"/>
  <c r="CJ104" i="2" s="1"/>
  <c r="CJ105" i="2" s="1"/>
  <c r="CJ106" i="2" s="1"/>
  <c r="CJ107" i="2" s="1"/>
  <c r="CJ108" i="2" s="1"/>
  <c r="CJ109" i="2" s="1"/>
  <c r="CJ110" i="2" s="1"/>
  <c r="CJ111" i="2" s="1"/>
  <c r="CJ112" i="2" s="1"/>
  <c r="CJ113" i="2" s="1"/>
  <c r="CJ114" i="2" s="1"/>
  <c r="CJ115" i="2" s="1"/>
  <c r="CJ116" i="2" s="1"/>
  <c r="CJ117" i="2" s="1"/>
  <c r="CG103" i="2"/>
  <c r="CG104" i="2"/>
  <c r="CG105" i="2" s="1"/>
  <c r="CG106" i="2" s="1"/>
  <c r="CG107" i="2" s="1"/>
  <c r="CG108" i="2" s="1"/>
  <c r="CG109" i="2" s="1"/>
  <c r="CG110" i="2" s="1"/>
  <c r="CG111" i="2" s="1"/>
  <c r="CG112" i="2" s="1"/>
  <c r="CG113" i="2" s="1"/>
  <c r="CG114" i="2" s="1"/>
  <c r="CG115" i="2" s="1"/>
  <c r="CG116" i="2" s="1"/>
  <c r="CG117" i="2" s="1"/>
  <c r="CG118" i="2" s="1"/>
  <c r="CG119" i="2" s="1"/>
  <c r="CG120" i="2" s="1"/>
  <c r="CG121" i="2" s="1"/>
  <c r="CG122" i="2" s="1"/>
  <c r="CG123" i="2" s="1"/>
  <c r="CG124" i="2" s="1"/>
  <c r="CG125" i="2" s="1"/>
  <c r="CG126" i="2" s="1"/>
  <c r="CG127" i="2" s="1"/>
  <c r="CG128" i="2" s="1"/>
  <c r="CG129" i="2" s="1"/>
  <c r="CG130" i="2" s="1"/>
  <c r="CG131" i="2" s="1"/>
  <c r="CG132" i="2" s="1"/>
  <c r="CG133" i="2" s="1"/>
  <c r="CG134" i="2" s="1"/>
  <c r="CG135" i="2" s="1"/>
  <c r="CG136" i="2" s="1"/>
  <c r="CG137" i="2" s="1"/>
  <c r="CG138" i="2" s="1"/>
  <c r="CG139" i="2" s="1"/>
  <c r="CG140" i="2" s="1"/>
  <c r="CG141" i="2" s="1"/>
  <c r="CC182" i="2"/>
  <c r="BY182" i="2"/>
  <c r="BU182" i="2"/>
  <c r="BQ182" i="2"/>
  <c r="BM182" i="2"/>
  <c r="CC181" i="2"/>
  <c r="BY181" i="2"/>
  <c r="BU181" i="2"/>
  <c r="BQ181" i="2"/>
  <c r="BM181" i="2"/>
  <c r="CC180" i="2"/>
  <c r="BY180" i="2"/>
  <c r="BU180" i="2"/>
  <c r="BQ180" i="2"/>
  <c r="BM180" i="2"/>
  <c r="CC179" i="2"/>
  <c r="BY179" i="2"/>
  <c r="BU179" i="2"/>
  <c r="BQ179" i="2"/>
  <c r="BM179" i="2"/>
  <c r="CC178" i="2"/>
  <c r="BY178" i="2"/>
  <c r="BU178" i="2"/>
  <c r="BQ178" i="2"/>
  <c r="BM178" i="2"/>
  <c r="CC177" i="2"/>
  <c r="BY177" i="2"/>
  <c r="BU177" i="2"/>
  <c r="BQ177" i="2"/>
  <c r="BM177" i="2"/>
  <c r="CC176" i="2"/>
  <c r="BY176" i="2"/>
  <c r="BU176" i="2"/>
  <c r="BQ176" i="2"/>
  <c r="BM176" i="2"/>
  <c r="CC175" i="2"/>
  <c r="BY175" i="2"/>
  <c r="BU175" i="2"/>
  <c r="BQ175" i="2"/>
  <c r="BM175" i="2"/>
  <c r="CC174" i="2"/>
  <c r="BY174" i="2"/>
  <c r="BU174" i="2"/>
  <c r="BQ174" i="2"/>
  <c r="BM174" i="2"/>
  <c r="CC173" i="2"/>
  <c r="BY173" i="2"/>
  <c r="BU173" i="2"/>
  <c r="BQ173" i="2"/>
  <c r="BM173" i="2"/>
  <c r="CC172" i="2"/>
  <c r="BY172" i="2"/>
  <c r="BU172" i="2"/>
  <c r="BQ172" i="2"/>
  <c r="BM172" i="2"/>
  <c r="CC171" i="2"/>
  <c r="BY171" i="2"/>
  <c r="BU171" i="2"/>
  <c r="BQ171" i="2"/>
  <c r="BM171" i="2"/>
  <c r="CC170" i="2"/>
  <c r="BY170" i="2"/>
  <c r="BU170" i="2"/>
  <c r="BQ170" i="2"/>
  <c r="BM170" i="2"/>
  <c r="CC169" i="2"/>
  <c r="BY169" i="2"/>
  <c r="BU169" i="2"/>
  <c r="BQ169" i="2"/>
  <c r="BM169" i="2"/>
  <c r="CC168" i="2"/>
  <c r="BY168" i="2"/>
  <c r="BU168" i="2"/>
  <c r="BQ168" i="2"/>
  <c r="BM168" i="2"/>
  <c r="CC167" i="2"/>
  <c r="BY167" i="2"/>
  <c r="BU167" i="2"/>
  <c r="BQ167" i="2"/>
  <c r="BM167" i="2"/>
  <c r="CC166" i="2"/>
  <c r="BY166" i="2"/>
  <c r="BU166" i="2"/>
  <c r="BQ166" i="2"/>
  <c r="BM166" i="2"/>
  <c r="CC165" i="2"/>
  <c r="BY165" i="2"/>
  <c r="BU165" i="2"/>
  <c r="BQ165" i="2"/>
  <c r="BM165" i="2"/>
  <c r="CC164" i="2"/>
  <c r="BY164" i="2"/>
  <c r="BU164" i="2"/>
  <c r="BQ164" i="2"/>
  <c r="BM164" i="2"/>
  <c r="CC163" i="2"/>
  <c r="BY163" i="2"/>
  <c r="BU163" i="2"/>
  <c r="BQ163" i="2"/>
  <c r="BM163" i="2"/>
  <c r="CC162" i="2"/>
  <c r="BY162" i="2"/>
  <c r="BU162" i="2"/>
  <c r="BQ162" i="2"/>
  <c r="BM162" i="2"/>
  <c r="CC161" i="2"/>
  <c r="BY161" i="2"/>
  <c r="BU161" i="2"/>
  <c r="BQ161" i="2"/>
  <c r="BM161" i="2"/>
  <c r="CC160" i="2"/>
  <c r="BY160" i="2"/>
  <c r="BU160" i="2"/>
  <c r="BQ160" i="2"/>
  <c r="BM160" i="2"/>
  <c r="CC159" i="2"/>
  <c r="BY159" i="2"/>
  <c r="BU159" i="2"/>
  <c r="BQ159" i="2"/>
  <c r="BM159" i="2"/>
  <c r="CC158" i="2"/>
  <c r="BY158" i="2"/>
  <c r="BU158" i="2"/>
  <c r="BQ158" i="2"/>
  <c r="BM158" i="2"/>
  <c r="CC157" i="2"/>
  <c r="BY157" i="2"/>
  <c r="BU157" i="2"/>
  <c r="BQ157" i="2"/>
  <c r="BM157" i="2"/>
  <c r="CC156" i="2"/>
  <c r="BY156" i="2"/>
  <c r="BU156" i="2"/>
  <c r="BQ156" i="2"/>
  <c r="BM156" i="2"/>
  <c r="CC155" i="2"/>
  <c r="BY155" i="2"/>
  <c r="BU155" i="2"/>
  <c r="BQ155" i="2"/>
  <c r="BM155" i="2"/>
  <c r="CC154" i="2"/>
  <c r="BY154" i="2"/>
  <c r="BU154" i="2"/>
  <c r="BQ154" i="2"/>
  <c r="BM154" i="2"/>
  <c r="CC153" i="2"/>
  <c r="BY153" i="2"/>
  <c r="BU153" i="2"/>
  <c r="BQ153" i="2"/>
  <c r="BM153" i="2"/>
  <c r="CC152" i="2"/>
  <c r="BY152" i="2"/>
  <c r="BU152" i="2"/>
  <c r="BQ152" i="2"/>
  <c r="BM152" i="2"/>
  <c r="CC151" i="2"/>
  <c r="BY151" i="2"/>
  <c r="BU151" i="2"/>
  <c r="BQ151" i="2"/>
  <c r="BM151" i="2"/>
  <c r="CC150" i="2"/>
  <c r="BY150" i="2"/>
  <c r="BU150" i="2"/>
  <c r="BQ150" i="2"/>
  <c r="BM150" i="2"/>
  <c r="CC149" i="2"/>
  <c r="BY149" i="2"/>
  <c r="BU149" i="2"/>
  <c r="BQ149" i="2"/>
  <c r="BM149" i="2"/>
  <c r="CC148" i="2"/>
  <c r="BY148" i="2"/>
  <c r="BU148" i="2"/>
  <c r="BQ148" i="2"/>
  <c r="BM148" i="2"/>
  <c r="CC147" i="2"/>
  <c r="BY147" i="2"/>
  <c r="BU147" i="2"/>
  <c r="BQ147" i="2"/>
  <c r="BM147" i="2"/>
  <c r="CC146" i="2"/>
  <c r="BY146" i="2"/>
  <c r="BU146" i="2"/>
  <c r="BQ146" i="2"/>
  <c r="BM146" i="2"/>
  <c r="CC145" i="2"/>
  <c r="BY145" i="2"/>
  <c r="BU145" i="2"/>
  <c r="BQ145" i="2"/>
  <c r="BM145" i="2"/>
  <c r="CC144" i="2"/>
  <c r="BY144" i="2"/>
  <c r="BU144" i="2"/>
  <c r="BQ144" i="2"/>
  <c r="BM144" i="2"/>
  <c r="CC143" i="2"/>
  <c r="CD143" i="2" s="1"/>
  <c r="BY143" i="2"/>
  <c r="BZ143" i="2" s="1"/>
  <c r="BU143" i="2"/>
  <c r="BV143" i="2" s="1"/>
  <c r="BQ143" i="2"/>
  <c r="BR143" i="2" s="1"/>
  <c r="BM143" i="2"/>
  <c r="BN143" i="2" s="1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CE77" i="2"/>
  <c r="CD77" i="2"/>
  <c r="CC77" i="2"/>
  <c r="CB77" i="2"/>
  <c r="CA77" i="2"/>
  <c r="BZ77" i="2"/>
  <c r="BY77" i="2"/>
  <c r="BX77" i="2"/>
  <c r="BW77" i="2"/>
  <c r="BV77" i="2"/>
  <c r="BU77" i="2"/>
  <c r="BS77" i="2"/>
  <c r="BR77" i="2"/>
  <c r="BQ77" i="2"/>
  <c r="BP77" i="2"/>
  <c r="BO77" i="2"/>
  <c r="BN77" i="2"/>
  <c r="BM77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CF62" i="2"/>
  <c r="CF103" i="2" s="1"/>
  <c r="CE62" i="2"/>
  <c r="CE103" i="2" s="1"/>
  <c r="CD62" i="2"/>
  <c r="CD103" i="2" s="1"/>
  <c r="CC62" i="2"/>
  <c r="CC103" i="2" s="1"/>
  <c r="CB62" i="2"/>
  <c r="CB103" i="2" s="1"/>
  <c r="CA62" i="2"/>
  <c r="CA103" i="2" s="1"/>
  <c r="BZ62" i="2"/>
  <c r="BZ103" i="2" s="1"/>
  <c r="BY62" i="2"/>
  <c r="BY103" i="2" s="1"/>
  <c r="BX62" i="2"/>
  <c r="BX103" i="2" s="1"/>
  <c r="BW62" i="2"/>
  <c r="BW103" i="2" s="1"/>
  <c r="BV62" i="2"/>
  <c r="BV103" i="2" s="1"/>
  <c r="BU62" i="2"/>
  <c r="BU103" i="2" s="1"/>
  <c r="BT62" i="2"/>
  <c r="BT103" i="2" s="1"/>
  <c r="BS62" i="2"/>
  <c r="BS103" i="2" s="1"/>
  <c r="BR62" i="2"/>
  <c r="BR103" i="2" s="1"/>
  <c r="BQ62" i="2"/>
  <c r="BQ103" i="2" s="1"/>
  <c r="BP62" i="2"/>
  <c r="BP103" i="2" s="1"/>
  <c r="BO62" i="2"/>
  <c r="BO103" i="2" s="1"/>
  <c r="BN62" i="2"/>
  <c r="BN103" i="2" s="1"/>
  <c r="BM62" i="2"/>
  <c r="BM103" i="2" s="1"/>
  <c r="BM104" i="2" l="1"/>
  <c r="BQ104" i="2"/>
  <c r="BU104" i="2"/>
  <c r="BY104" i="2"/>
  <c r="CC104" i="2"/>
  <c r="CC105" i="2" s="1"/>
  <c r="CC106" i="2" s="1"/>
  <c r="CC107" i="2" s="1"/>
  <c r="CC108" i="2" s="1"/>
  <c r="CC109" i="2" s="1"/>
  <c r="CC110" i="2" s="1"/>
  <c r="CC111" i="2" s="1"/>
  <c r="CC112" i="2" s="1"/>
  <c r="CC113" i="2" s="1"/>
  <c r="CC114" i="2" s="1"/>
  <c r="CC115" i="2" s="1"/>
  <c r="CC116" i="2" s="1"/>
  <c r="CC117" i="2" s="1"/>
  <c r="CC118" i="2" s="1"/>
  <c r="CC119" i="2" s="1"/>
  <c r="CC120" i="2" s="1"/>
  <c r="CC121" i="2" s="1"/>
  <c r="CC122" i="2" s="1"/>
  <c r="CC123" i="2" s="1"/>
  <c r="CC124" i="2" s="1"/>
  <c r="CC125" i="2" s="1"/>
  <c r="CC126" i="2" s="1"/>
  <c r="CC127" i="2" s="1"/>
  <c r="CC128" i="2" s="1"/>
  <c r="CC129" i="2" s="1"/>
  <c r="CC130" i="2" s="1"/>
  <c r="CC131" i="2" s="1"/>
  <c r="CC132" i="2" s="1"/>
  <c r="CC133" i="2" s="1"/>
  <c r="CC134" i="2" s="1"/>
  <c r="CC135" i="2" s="1"/>
  <c r="CC136" i="2" s="1"/>
  <c r="CC137" i="2" s="1"/>
  <c r="CC138" i="2" s="1"/>
  <c r="CC139" i="2" s="1"/>
  <c r="CC140" i="2" s="1"/>
  <c r="CC141" i="2" s="1"/>
  <c r="BM105" i="2"/>
  <c r="BQ105" i="2"/>
  <c r="BU105" i="2"/>
  <c r="BY105" i="2"/>
  <c r="BM106" i="2"/>
  <c r="BQ106" i="2"/>
  <c r="BU106" i="2"/>
  <c r="BY106" i="2"/>
  <c r="BM107" i="2"/>
  <c r="BQ107" i="2"/>
  <c r="BU107" i="2"/>
  <c r="BY107" i="2"/>
  <c r="BM108" i="2"/>
  <c r="BQ108" i="2"/>
  <c r="BU108" i="2"/>
  <c r="BY108" i="2"/>
  <c r="BM109" i="2"/>
  <c r="BQ109" i="2"/>
  <c r="BU109" i="2"/>
  <c r="BU110" i="2" s="1"/>
  <c r="BU111" i="2" s="1"/>
  <c r="BU112" i="2" s="1"/>
  <c r="BU113" i="2" s="1"/>
  <c r="BU114" i="2" s="1"/>
  <c r="BU115" i="2" s="1"/>
  <c r="BU116" i="2" s="1"/>
  <c r="BU117" i="2" s="1"/>
  <c r="BU118" i="2" s="1"/>
  <c r="BU119" i="2" s="1"/>
  <c r="BU120" i="2" s="1"/>
  <c r="BU121" i="2" s="1"/>
  <c r="BU122" i="2" s="1"/>
  <c r="BU123" i="2" s="1"/>
  <c r="BU124" i="2" s="1"/>
  <c r="BU125" i="2" s="1"/>
  <c r="BU126" i="2" s="1"/>
  <c r="BU127" i="2" s="1"/>
  <c r="BU128" i="2" s="1"/>
  <c r="BU129" i="2" s="1"/>
  <c r="BU130" i="2" s="1"/>
  <c r="BU131" i="2" s="1"/>
  <c r="BU132" i="2" s="1"/>
  <c r="BU133" i="2" s="1"/>
  <c r="BU134" i="2" s="1"/>
  <c r="BU135" i="2" s="1"/>
  <c r="BU136" i="2" s="1"/>
  <c r="BU137" i="2" s="1"/>
  <c r="BU138" i="2" s="1"/>
  <c r="BU139" i="2" s="1"/>
  <c r="BU140" i="2" s="1"/>
  <c r="BU141" i="2" s="1"/>
  <c r="BY109" i="2"/>
  <c r="BM110" i="2"/>
  <c r="BQ110" i="2"/>
  <c r="BY110" i="2"/>
  <c r="BM111" i="2"/>
  <c r="BN104" i="2"/>
  <c r="BR104" i="2"/>
  <c r="BV104" i="2"/>
  <c r="BZ104" i="2"/>
  <c r="BZ105" i="2" s="1"/>
  <c r="BZ106" i="2" s="1"/>
  <c r="BZ107" i="2" s="1"/>
  <c r="BZ108" i="2" s="1"/>
  <c r="BZ109" i="2" s="1"/>
  <c r="BZ110" i="2" s="1"/>
  <c r="BZ111" i="2" s="1"/>
  <c r="BZ112" i="2" s="1"/>
  <c r="BZ113" i="2" s="1"/>
  <c r="BZ114" i="2" s="1"/>
  <c r="BZ115" i="2" s="1"/>
  <c r="BZ116" i="2" s="1"/>
  <c r="BZ117" i="2" s="1"/>
  <c r="BZ118" i="2" s="1"/>
  <c r="BZ119" i="2" s="1"/>
  <c r="BZ120" i="2" s="1"/>
  <c r="BZ121" i="2" s="1"/>
  <c r="BZ122" i="2" s="1"/>
  <c r="BZ123" i="2" s="1"/>
  <c r="BZ124" i="2" s="1"/>
  <c r="BZ125" i="2" s="1"/>
  <c r="BZ126" i="2" s="1"/>
  <c r="BZ127" i="2" s="1"/>
  <c r="BZ128" i="2" s="1"/>
  <c r="BZ129" i="2" s="1"/>
  <c r="BZ130" i="2" s="1"/>
  <c r="BZ131" i="2" s="1"/>
  <c r="BZ132" i="2" s="1"/>
  <c r="BZ133" i="2" s="1"/>
  <c r="BZ134" i="2" s="1"/>
  <c r="BZ135" i="2" s="1"/>
  <c r="BZ136" i="2" s="1"/>
  <c r="BZ137" i="2" s="1"/>
  <c r="BZ138" i="2" s="1"/>
  <c r="BZ139" i="2" s="1"/>
  <c r="BZ140" i="2" s="1"/>
  <c r="BZ141" i="2" s="1"/>
  <c r="CD104" i="2"/>
  <c r="BN105" i="2"/>
  <c r="BR105" i="2"/>
  <c r="BV105" i="2"/>
  <c r="BV106" i="2" s="1"/>
  <c r="BV107" i="2" s="1"/>
  <c r="BV108" i="2" s="1"/>
  <c r="BV109" i="2" s="1"/>
  <c r="BV110" i="2" s="1"/>
  <c r="BV111" i="2" s="1"/>
  <c r="BV112" i="2" s="1"/>
  <c r="BV113" i="2" s="1"/>
  <c r="BV114" i="2" s="1"/>
  <c r="BV115" i="2" s="1"/>
  <c r="BV116" i="2" s="1"/>
  <c r="BV117" i="2" s="1"/>
  <c r="BV118" i="2" s="1"/>
  <c r="BV119" i="2" s="1"/>
  <c r="BV120" i="2" s="1"/>
  <c r="BV121" i="2" s="1"/>
  <c r="BV122" i="2" s="1"/>
  <c r="BV123" i="2" s="1"/>
  <c r="BV124" i="2" s="1"/>
  <c r="BV125" i="2" s="1"/>
  <c r="BV126" i="2" s="1"/>
  <c r="BV127" i="2" s="1"/>
  <c r="BV128" i="2" s="1"/>
  <c r="BV129" i="2" s="1"/>
  <c r="BV130" i="2" s="1"/>
  <c r="BV131" i="2" s="1"/>
  <c r="BV132" i="2" s="1"/>
  <c r="BV133" i="2" s="1"/>
  <c r="BV134" i="2" s="1"/>
  <c r="BV135" i="2" s="1"/>
  <c r="BV136" i="2" s="1"/>
  <c r="BV137" i="2" s="1"/>
  <c r="BV138" i="2" s="1"/>
  <c r="BV139" i="2" s="1"/>
  <c r="BV140" i="2" s="1"/>
  <c r="BV141" i="2" s="1"/>
  <c r="CD105" i="2"/>
  <c r="BN106" i="2"/>
  <c r="BR106" i="2"/>
  <c r="BR107" i="2" s="1"/>
  <c r="BR108" i="2" s="1"/>
  <c r="BR109" i="2" s="1"/>
  <c r="BR110" i="2" s="1"/>
  <c r="BR111" i="2" s="1"/>
  <c r="BR112" i="2" s="1"/>
  <c r="BR113" i="2" s="1"/>
  <c r="BR114" i="2" s="1"/>
  <c r="BR115" i="2" s="1"/>
  <c r="BR116" i="2" s="1"/>
  <c r="BR117" i="2" s="1"/>
  <c r="BR118" i="2" s="1"/>
  <c r="BR119" i="2" s="1"/>
  <c r="BR120" i="2" s="1"/>
  <c r="BR121" i="2" s="1"/>
  <c r="BR122" i="2" s="1"/>
  <c r="BR123" i="2" s="1"/>
  <c r="BR124" i="2" s="1"/>
  <c r="BR125" i="2" s="1"/>
  <c r="BR126" i="2" s="1"/>
  <c r="BR127" i="2" s="1"/>
  <c r="BR128" i="2" s="1"/>
  <c r="BR129" i="2" s="1"/>
  <c r="BR130" i="2" s="1"/>
  <c r="BR131" i="2" s="1"/>
  <c r="BR132" i="2" s="1"/>
  <c r="BR133" i="2" s="1"/>
  <c r="BR134" i="2" s="1"/>
  <c r="BR135" i="2" s="1"/>
  <c r="BR136" i="2" s="1"/>
  <c r="BR137" i="2" s="1"/>
  <c r="BR138" i="2" s="1"/>
  <c r="BR139" i="2" s="1"/>
  <c r="BR140" i="2" s="1"/>
  <c r="BR141" i="2" s="1"/>
  <c r="CD106" i="2"/>
  <c r="CD107" i="2" s="1"/>
  <c r="CD108" i="2" s="1"/>
  <c r="CD109" i="2" s="1"/>
  <c r="CD110" i="2" s="1"/>
  <c r="CD111" i="2" s="1"/>
  <c r="CD112" i="2" s="1"/>
  <c r="CD113" i="2" s="1"/>
  <c r="CD114" i="2" s="1"/>
  <c r="CD115" i="2" s="1"/>
  <c r="CD116" i="2" s="1"/>
  <c r="CD117" i="2" s="1"/>
  <c r="CD118" i="2" s="1"/>
  <c r="CD119" i="2" s="1"/>
  <c r="CD120" i="2" s="1"/>
  <c r="CD121" i="2" s="1"/>
  <c r="CD122" i="2" s="1"/>
  <c r="CD123" i="2" s="1"/>
  <c r="CD124" i="2" s="1"/>
  <c r="CD125" i="2" s="1"/>
  <c r="CD126" i="2" s="1"/>
  <c r="CD127" i="2" s="1"/>
  <c r="CD128" i="2" s="1"/>
  <c r="CD129" i="2" s="1"/>
  <c r="CD130" i="2" s="1"/>
  <c r="CD131" i="2" s="1"/>
  <c r="CD132" i="2" s="1"/>
  <c r="CD133" i="2" s="1"/>
  <c r="CD134" i="2" s="1"/>
  <c r="CD135" i="2" s="1"/>
  <c r="CD136" i="2" s="1"/>
  <c r="CD137" i="2" s="1"/>
  <c r="CD138" i="2" s="1"/>
  <c r="CD139" i="2" s="1"/>
  <c r="CD140" i="2" s="1"/>
  <c r="CD141" i="2" s="1"/>
  <c r="BN107" i="2"/>
  <c r="BN108" i="2" s="1"/>
  <c r="BN109" i="2" s="1"/>
  <c r="BN110" i="2" s="1"/>
  <c r="BN111" i="2" s="1"/>
  <c r="BN112" i="2" s="1"/>
  <c r="BN113" i="2" s="1"/>
  <c r="BN114" i="2" s="1"/>
  <c r="BN115" i="2" s="1"/>
  <c r="BN116" i="2" s="1"/>
  <c r="BN117" i="2" s="1"/>
  <c r="BN118" i="2" s="1"/>
  <c r="BN119" i="2" s="1"/>
  <c r="BN120" i="2" s="1"/>
  <c r="BN121" i="2" s="1"/>
  <c r="BN122" i="2" s="1"/>
  <c r="BN123" i="2" s="1"/>
  <c r="BN124" i="2" s="1"/>
  <c r="BN125" i="2" s="1"/>
  <c r="BN126" i="2" s="1"/>
  <c r="BN127" i="2" s="1"/>
  <c r="BN128" i="2" s="1"/>
  <c r="BN129" i="2" s="1"/>
  <c r="BN130" i="2" s="1"/>
  <c r="BN131" i="2" s="1"/>
  <c r="BN132" i="2" s="1"/>
  <c r="BN133" i="2" s="1"/>
  <c r="BN134" i="2" s="1"/>
  <c r="BN135" i="2" s="1"/>
  <c r="BN136" i="2" s="1"/>
  <c r="BN137" i="2" s="1"/>
  <c r="BN138" i="2" s="1"/>
  <c r="BN139" i="2" s="1"/>
  <c r="BN140" i="2" s="1"/>
  <c r="BN141" i="2" s="1"/>
  <c r="BO104" i="2"/>
  <c r="BS104" i="2"/>
  <c r="BW104" i="2"/>
  <c r="BW105" i="2" s="1"/>
  <c r="BW106" i="2" s="1"/>
  <c r="BW107" i="2" s="1"/>
  <c r="BW108" i="2" s="1"/>
  <c r="BW109" i="2" s="1"/>
  <c r="BW110" i="2" s="1"/>
  <c r="BW111" i="2" s="1"/>
  <c r="BW112" i="2" s="1"/>
  <c r="BW113" i="2" s="1"/>
  <c r="BW114" i="2" s="1"/>
  <c r="BW115" i="2" s="1"/>
  <c r="BW116" i="2" s="1"/>
  <c r="BW117" i="2" s="1"/>
  <c r="BW118" i="2" s="1"/>
  <c r="BW119" i="2" s="1"/>
  <c r="BW120" i="2" s="1"/>
  <c r="BW121" i="2" s="1"/>
  <c r="BW122" i="2" s="1"/>
  <c r="BW123" i="2" s="1"/>
  <c r="BW124" i="2" s="1"/>
  <c r="BW125" i="2" s="1"/>
  <c r="BW126" i="2" s="1"/>
  <c r="BW127" i="2" s="1"/>
  <c r="BW128" i="2" s="1"/>
  <c r="BW129" i="2" s="1"/>
  <c r="BW130" i="2" s="1"/>
  <c r="BW131" i="2" s="1"/>
  <c r="BW132" i="2" s="1"/>
  <c r="BW133" i="2" s="1"/>
  <c r="BW134" i="2" s="1"/>
  <c r="BW135" i="2" s="1"/>
  <c r="BW136" i="2" s="1"/>
  <c r="BW137" i="2" s="1"/>
  <c r="BW138" i="2" s="1"/>
  <c r="BW139" i="2" s="1"/>
  <c r="BW140" i="2" s="1"/>
  <c r="BW141" i="2" s="1"/>
  <c r="CA104" i="2"/>
  <c r="CE104" i="2"/>
  <c r="BO105" i="2"/>
  <c r="BS105" i="2"/>
  <c r="BS106" i="2" s="1"/>
  <c r="BS107" i="2" s="1"/>
  <c r="BS108" i="2" s="1"/>
  <c r="BS109" i="2" s="1"/>
  <c r="BS110" i="2" s="1"/>
  <c r="BS111" i="2" s="1"/>
  <c r="BS112" i="2" s="1"/>
  <c r="BS113" i="2" s="1"/>
  <c r="BS114" i="2" s="1"/>
  <c r="BS115" i="2" s="1"/>
  <c r="BS116" i="2" s="1"/>
  <c r="BS117" i="2" s="1"/>
  <c r="BS118" i="2" s="1"/>
  <c r="BS119" i="2" s="1"/>
  <c r="BS120" i="2" s="1"/>
  <c r="BS121" i="2" s="1"/>
  <c r="BS122" i="2" s="1"/>
  <c r="BS123" i="2" s="1"/>
  <c r="BS124" i="2" s="1"/>
  <c r="BS125" i="2" s="1"/>
  <c r="BS126" i="2" s="1"/>
  <c r="BS127" i="2" s="1"/>
  <c r="BS128" i="2" s="1"/>
  <c r="BS129" i="2" s="1"/>
  <c r="BS130" i="2" s="1"/>
  <c r="BS131" i="2" s="1"/>
  <c r="BS132" i="2" s="1"/>
  <c r="BS133" i="2" s="1"/>
  <c r="BS134" i="2" s="1"/>
  <c r="BS135" i="2" s="1"/>
  <c r="BS136" i="2" s="1"/>
  <c r="BS137" i="2" s="1"/>
  <c r="BS138" i="2" s="1"/>
  <c r="BS139" i="2" s="1"/>
  <c r="BS140" i="2" s="1"/>
  <c r="BS141" i="2" s="1"/>
  <c r="CA105" i="2"/>
  <c r="CE105" i="2"/>
  <c r="CE106" i="2" s="1"/>
  <c r="CE107" i="2" s="1"/>
  <c r="CE108" i="2" s="1"/>
  <c r="CE109" i="2" s="1"/>
  <c r="CE110" i="2" s="1"/>
  <c r="CE111" i="2" s="1"/>
  <c r="CE112" i="2" s="1"/>
  <c r="CE113" i="2" s="1"/>
  <c r="CE114" i="2" s="1"/>
  <c r="CE115" i="2" s="1"/>
  <c r="CE116" i="2" s="1"/>
  <c r="CE117" i="2" s="1"/>
  <c r="CE118" i="2" s="1"/>
  <c r="CE119" i="2" s="1"/>
  <c r="CE120" i="2" s="1"/>
  <c r="CE121" i="2" s="1"/>
  <c r="CE122" i="2" s="1"/>
  <c r="CE123" i="2" s="1"/>
  <c r="CE124" i="2" s="1"/>
  <c r="CE125" i="2" s="1"/>
  <c r="CE126" i="2" s="1"/>
  <c r="CE127" i="2" s="1"/>
  <c r="CE128" i="2" s="1"/>
  <c r="CE129" i="2" s="1"/>
  <c r="CE130" i="2" s="1"/>
  <c r="CE131" i="2" s="1"/>
  <c r="CE132" i="2" s="1"/>
  <c r="CE133" i="2" s="1"/>
  <c r="CE134" i="2" s="1"/>
  <c r="CE135" i="2" s="1"/>
  <c r="CE136" i="2" s="1"/>
  <c r="CE137" i="2" s="1"/>
  <c r="CE138" i="2" s="1"/>
  <c r="CE139" i="2" s="1"/>
  <c r="CE140" i="2" s="1"/>
  <c r="CE141" i="2" s="1"/>
  <c r="BO106" i="2"/>
  <c r="BO107" i="2" s="1"/>
  <c r="BO108" i="2" s="1"/>
  <c r="BO109" i="2" s="1"/>
  <c r="BO110" i="2" s="1"/>
  <c r="BO111" i="2" s="1"/>
  <c r="BO112" i="2" s="1"/>
  <c r="BO113" i="2" s="1"/>
  <c r="BO114" i="2" s="1"/>
  <c r="BO115" i="2" s="1"/>
  <c r="BO116" i="2" s="1"/>
  <c r="BO117" i="2" s="1"/>
  <c r="BO118" i="2" s="1"/>
  <c r="BO119" i="2" s="1"/>
  <c r="BO120" i="2" s="1"/>
  <c r="BO121" i="2" s="1"/>
  <c r="BO122" i="2" s="1"/>
  <c r="BO123" i="2" s="1"/>
  <c r="BO124" i="2" s="1"/>
  <c r="BO125" i="2" s="1"/>
  <c r="BO126" i="2" s="1"/>
  <c r="BO127" i="2" s="1"/>
  <c r="BO128" i="2" s="1"/>
  <c r="BO129" i="2" s="1"/>
  <c r="BO130" i="2" s="1"/>
  <c r="BO131" i="2" s="1"/>
  <c r="BO132" i="2" s="1"/>
  <c r="BO133" i="2" s="1"/>
  <c r="BO134" i="2" s="1"/>
  <c r="BO135" i="2" s="1"/>
  <c r="BO136" i="2" s="1"/>
  <c r="BO137" i="2" s="1"/>
  <c r="BO138" i="2" s="1"/>
  <c r="BO139" i="2" s="1"/>
  <c r="BO140" i="2" s="1"/>
  <c r="BO141" i="2" s="1"/>
  <c r="CA106" i="2"/>
  <c r="CA107" i="2"/>
  <c r="CA108" i="2" s="1"/>
  <c r="CA109" i="2" s="1"/>
  <c r="CA110" i="2" s="1"/>
  <c r="CA111" i="2" s="1"/>
  <c r="CA112" i="2" s="1"/>
  <c r="CA113" i="2" s="1"/>
  <c r="CA114" i="2" s="1"/>
  <c r="CA115" i="2" s="1"/>
  <c r="CA116" i="2" s="1"/>
  <c r="CA117" i="2" s="1"/>
  <c r="CA118" i="2" s="1"/>
  <c r="CA119" i="2" s="1"/>
  <c r="CA120" i="2" s="1"/>
  <c r="CA121" i="2" s="1"/>
  <c r="CA122" i="2" s="1"/>
  <c r="CA123" i="2" s="1"/>
  <c r="CA124" i="2" s="1"/>
  <c r="CA125" i="2" s="1"/>
  <c r="CA126" i="2" s="1"/>
  <c r="CA127" i="2" s="1"/>
  <c r="CA128" i="2" s="1"/>
  <c r="CA129" i="2" s="1"/>
  <c r="CA130" i="2" s="1"/>
  <c r="CA131" i="2" s="1"/>
  <c r="CA132" i="2" s="1"/>
  <c r="CA133" i="2" s="1"/>
  <c r="CA134" i="2" s="1"/>
  <c r="CA135" i="2" s="1"/>
  <c r="CA136" i="2" s="1"/>
  <c r="CA137" i="2" s="1"/>
  <c r="CA138" i="2" s="1"/>
  <c r="CA139" i="2" s="1"/>
  <c r="CA140" i="2" s="1"/>
  <c r="CA141" i="2" s="1"/>
  <c r="BP104" i="2"/>
  <c r="BT104" i="2"/>
  <c r="BT105" i="2" s="1"/>
  <c r="BT106" i="2" s="1"/>
  <c r="BT107" i="2" s="1"/>
  <c r="BT108" i="2" s="1"/>
  <c r="BT109" i="2" s="1"/>
  <c r="BT110" i="2" s="1"/>
  <c r="BT111" i="2" s="1"/>
  <c r="BT112" i="2" s="1"/>
  <c r="BT113" i="2" s="1"/>
  <c r="BT114" i="2" s="1"/>
  <c r="BT115" i="2" s="1"/>
  <c r="BT116" i="2" s="1"/>
  <c r="BT117" i="2" s="1"/>
  <c r="BX104" i="2"/>
  <c r="CB104" i="2"/>
  <c r="CF104" i="2"/>
  <c r="BP105" i="2"/>
  <c r="BP106" i="2" s="1"/>
  <c r="BP107" i="2" s="1"/>
  <c r="BP108" i="2" s="1"/>
  <c r="BP109" i="2" s="1"/>
  <c r="BP110" i="2" s="1"/>
  <c r="BP111" i="2" s="1"/>
  <c r="BP112" i="2" s="1"/>
  <c r="BP113" i="2" s="1"/>
  <c r="BP114" i="2" s="1"/>
  <c r="BP115" i="2" s="1"/>
  <c r="BP116" i="2" s="1"/>
  <c r="BP117" i="2" s="1"/>
  <c r="BP118" i="2" s="1"/>
  <c r="BP119" i="2" s="1"/>
  <c r="BP120" i="2" s="1"/>
  <c r="BP121" i="2" s="1"/>
  <c r="BP122" i="2" s="1"/>
  <c r="BP123" i="2" s="1"/>
  <c r="BP124" i="2" s="1"/>
  <c r="BP125" i="2" s="1"/>
  <c r="BP126" i="2" s="1"/>
  <c r="BP127" i="2" s="1"/>
  <c r="BP128" i="2" s="1"/>
  <c r="BP129" i="2" s="1"/>
  <c r="BP130" i="2" s="1"/>
  <c r="BP131" i="2" s="1"/>
  <c r="BP132" i="2" s="1"/>
  <c r="BP133" i="2" s="1"/>
  <c r="BP134" i="2" s="1"/>
  <c r="BP135" i="2" s="1"/>
  <c r="BP136" i="2" s="1"/>
  <c r="BP137" i="2" s="1"/>
  <c r="BP138" i="2" s="1"/>
  <c r="BP139" i="2" s="1"/>
  <c r="BP140" i="2" s="1"/>
  <c r="BP141" i="2" s="1"/>
  <c r="BX105" i="2"/>
  <c r="CB105" i="2"/>
  <c r="CF105" i="2"/>
  <c r="CF106" i="2" s="1"/>
  <c r="CF107" i="2" s="1"/>
  <c r="CF108" i="2" s="1"/>
  <c r="CF109" i="2" s="1"/>
  <c r="CF110" i="2" s="1"/>
  <c r="CF111" i="2" s="1"/>
  <c r="CF112" i="2" s="1"/>
  <c r="CF113" i="2" s="1"/>
  <c r="CF114" i="2" s="1"/>
  <c r="CF115" i="2" s="1"/>
  <c r="CF116" i="2" s="1"/>
  <c r="CF117" i="2" s="1"/>
  <c r="BX106" i="2"/>
  <c r="CB106" i="2"/>
  <c r="CB107" i="2" s="1"/>
  <c r="CB108" i="2" s="1"/>
  <c r="CB109" i="2" s="1"/>
  <c r="CB110" i="2" s="1"/>
  <c r="CB111" i="2" s="1"/>
  <c r="CB112" i="2" s="1"/>
  <c r="CB113" i="2" s="1"/>
  <c r="CB114" i="2" s="1"/>
  <c r="CB115" i="2" s="1"/>
  <c r="CB116" i="2" s="1"/>
  <c r="CB117" i="2" s="1"/>
  <c r="CB118" i="2" s="1"/>
  <c r="CB119" i="2" s="1"/>
  <c r="CB120" i="2" s="1"/>
  <c r="CB121" i="2" s="1"/>
  <c r="CB122" i="2" s="1"/>
  <c r="CB123" i="2" s="1"/>
  <c r="CB124" i="2" s="1"/>
  <c r="CB125" i="2" s="1"/>
  <c r="CB126" i="2" s="1"/>
  <c r="CB127" i="2" s="1"/>
  <c r="CB128" i="2" s="1"/>
  <c r="CB129" i="2" s="1"/>
  <c r="CB130" i="2" s="1"/>
  <c r="CB131" i="2" s="1"/>
  <c r="CB132" i="2" s="1"/>
  <c r="CB133" i="2" s="1"/>
  <c r="CB134" i="2" s="1"/>
  <c r="CB135" i="2" s="1"/>
  <c r="CB136" i="2" s="1"/>
  <c r="CB137" i="2" s="1"/>
  <c r="CB138" i="2" s="1"/>
  <c r="CB139" i="2" s="1"/>
  <c r="CB140" i="2" s="1"/>
  <c r="CB141" i="2" s="1"/>
  <c r="BX107" i="2"/>
  <c r="BX108" i="2" s="1"/>
  <c r="BX109" i="2" s="1"/>
  <c r="BX110" i="2" s="1"/>
  <c r="BX111" i="2" s="1"/>
  <c r="BX112" i="2" s="1"/>
  <c r="BX113" i="2" s="1"/>
  <c r="BX114" i="2" s="1"/>
  <c r="BX115" i="2" s="1"/>
  <c r="BX116" i="2" s="1"/>
  <c r="BX117" i="2" s="1"/>
  <c r="BX118" i="2" s="1"/>
  <c r="BX119" i="2" s="1"/>
  <c r="BX120" i="2" s="1"/>
  <c r="BX121" i="2" s="1"/>
  <c r="BX122" i="2" s="1"/>
  <c r="BX123" i="2" s="1"/>
  <c r="BX124" i="2" s="1"/>
  <c r="BX125" i="2" s="1"/>
  <c r="BX126" i="2" s="1"/>
  <c r="BX127" i="2" s="1"/>
  <c r="BX128" i="2" s="1"/>
  <c r="BX129" i="2" s="1"/>
  <c r="BX130" i="2" s="1"/>
  <c r="BX131" i="2" s="1"/>
  <c r="BX132" i="2" s="1"/>
  <c r="BX133" i="2" s="1"/>
  <c r="BX134" i="2" s="1"/>
  <c r="BX135" i="2" s="1"/>
  <c r="BQ111" i="2"/>
  <c r="BQ112" i="2" s="1"/>
  <c r="BQ113" i="2" s="1"/>
  <c r="BQ114" i="2" s="1"/>
  <c r="BQ115" i="2" s="1"/>
  <c r="BQ116" i="2" s="1"/>
  <c r="BQ117" i="2" s="1"/>
  <c r="BQ118" i="2" s="1"/>
  <c r="BQ119" i="2" s="1"/>
  <c r="BQ120" i="2" s="1"/>
  <c r="BQ121" i="2" s="1"/>
  <c r="BQ122" i="2" s="1"/>
  <c r="BQ123" i="2" s="1"/>
  <c r="BQ124" i="2" s="1"/>
  <c r="BQ125" i="2" s="1"/>
  <c r="BQ126" i="2" s="1"/>
  <c r="BQ127" i="2" s="1"/>
  <c r="BQ128" i="2" s="1"/>
  <c r="BQ129" i="2" s="1"/>
  <c r="BQ130" i="2" s="1"/>
  <c r="BQ131" i="2" s="1"/>
  <c r="BQ132" i="2" s="1"/>
  <c r="BQ133" i="2" s="1"/>
  <c r="BQ134" i="2" s="1"/>
  <c r="BQ135" i="2" s="1"/>
  <c r="BQ136" i="2" s="1"/>
  <c r="BQ137" i="2" s="1"/>
  <c r="BQ138" i="2" s="1"/>
  <c r="BQ139" i="2" s="1"/>
  <c r="BQ140" i="2" s="1"/>
  <c r="BQ141" i="2" s="1"/>
  <c r="BY111" i="2"/>
  <c r="BM112" i="2"/>
  <c r="BM113" i="2" s="1"/>
  <c r="BM114" i="2" s="1"/>
  <c r="BM115" i="2" s="1"/>
  <c r="BM116" i="2" s="1"/>
  <c r="BM117" i="2" s="1"/>
  <c r="BM118" i="2" s="1"/>
  <c r="BM119" i="2" s="1"/>
  <c r="BM120" i="2" s="1"/>
  <c r="BM121" i="2" s="1"/>
  <c r="BM122" i="2" s="1"/>
  <c r="BM123" i="2" s="1"/>
  <c r="BM124" i="2" s="1"/>
  <c r="BM125" i="2" s="1"/>
  <c r="BM126" i="2" s="1"/>
  <c r="BM127" i="2" s="1"/>
  <c r="BM128" i="2" s="1"/>
  <c r="BM129" i="2" s="1"/>
  <c r="BM130" i="2" s="1"/>
  <c r="BM131" i="2" s="1"/>
  <c r="BM132" i="2" s="1"/>
  <c r="BM133" i="2" s="1"/>
  <c r="BM134" i="2" s="1"/>
  <c r="BM135" i="2" s="1"/>
  <c r="BM136" i="2" s="1"/>
  <c r="BM137" i="2" s="1"/>
  <c r="BM138" i="2" s="1"/>
  <c r="BM139" i="2" s="1"/>
  <c r="BM140" i="2" s="1"/>
  <c r="BM141" i="2" s="1"/>
  <c r="BY112" i="2"/>
  <c r="BY113" i="2"/>
  <c r="BY114" i="2" s="1"/>
  <c r="BY115" i="2" s="1"/>
  <c r="BY116" i="2" s="1"/>
  <c r="BY117" i="2" s="1"/>
  <c r="BY118" i="2" s="1"/>
  <c r="BY119" i="2" s="1"/>
  <c r="BY120" i="2" s="1"/>
  <c r="BY121" i="2" s="1"/>
  <c r="BY122" i="2" s="1"/>
  <c r="BY123" i="2" s="1"/>
  <c r="BY124" i="2" s="1"/>
  <c r="BY125" i="2" s="1"/>
  <c r="BY126" i="2" s="1"/>
  <c r="BY127" i="2" s="1"/>
  <c r="BY128" i="2" s="1"/>
  <c r="BY129" i="2" s="1"/>
  <c r="BY130" i="2" s="1"/>
  <c r="BY131" i="2" s="1"/>
  <c r="BY132" i="2" s="1"/>
  <c r="BY133" i="2" s="1"/>
  <c r="BY134" i="2" s="1"/>
  <c r="BY135" i="2" s="1"/>
  <c r="BY136" i="2" s="1"/>
  <c r="BY137" i="2" s="1"/>
  <c r="BY138" i="2" s="1"/>
  <c r="BY139" i="2" s="1"/>
  <c r="BY140" i="2" s="1"/>
  <c r="BY141" i="2" s="1"/>
  <c r="BX136" i="2"/>
  <c r="BX137" i="2" s="1"/>
  <c r="BX138" i="2" s="1"/>
  <c r="BX139" i="2" s="1"/>
  <c r="BX140" i="2" s="1"/>
  <c r="BX141" i="2" s="1"/>
  <c r="BZ144" i="2"/>
  <c r="BN144" i="2"/>
  <c r="CD144" i="2"/>
  <c r="CD145" i="2" s="1"/>
  <c r="CD146" i="2" s="1"/>
  <c r="CD147" i="2" s="1"/>
  <c r="CD148" i="2" s="1"/>
  <c r="CD149" i="2" s="1"/>
  <c r="CD150" i="2" s="1"/>
  <c r="CD151" i="2" s="1"/>
  <c r="CD152" i="2" s="1"/>
  <c r="CD153" i="2" s="1"/>
  <c r="CD154" i="2" s="1"/>
  <c r="CD155" i="2" s="1"/>
  <c r="CD156" i="2" s="1"/>
  <c r="CD157" i="2" s="1"/>
  <c r="CD158" i="2" s="1"/>
  <c r="CD159" i="2" s="1"/>
  <c r="CD160" i="2" s="1"/>
  <c r="CD161" i="2" s="1"/>
  <c r="CD162" i="2" s="1"/>
  <c r="CD163" i="2" s="1"/>
  <c r="CD164" i="2" s="1"/>
  <c r="CD165" i="2" s="1"/>
  <c r="CD166" i="2" s="1"/>
  <c r="CD167" i="2" s="1"/>
  <c r="CD168" i="2" s="1"/>
  <c r="CD169" i="2" s="1"/>
  <c r="CD170" i="2" s="1"/>
  <c r="CD171" i="2" s="1"/>
  <c r="CD172" i="2" s="1"/>
  <c r="CD173" i="2" s="1"/>
  <c r="CD174" i="2" s="1"/>
  <c r="CD175" i="2" s="1"/>
  <c r="CD176" i="2" s="1"/>
  <c r="CD177" i="2" s="1"/>
  <c r="CD178" i="2" s="1"/>
  <c r="CD179" i="2" s="1"/>
  <c r="CD180" i="2" s="1"/>
  <c r="CD181" i="2" s="1"/>
  <c r="CD182" i="2" s="1"/>
  <c r="BZ145" i="2"/>
  <c r="BR144" i="2"/>
  <c r="BR145" i="2" s="1"/>
  <c r="BR146" i="2" s="1"/>
  <c r="BR147" i="2" s="1"/>
  <c r="BR148" i="2" s="1"/>
  <c r="BR149" i="2" s="1"/>
  <c r="BR150" i="2" s="1"/>
  <c r="BR151" i="2" s="1"/>
  <c r="BR152" i="2" s="1"/>
  <c r="BR153" i="2" s="1"/>
  <c r="BR154" i="2" s="1"/>
  <c r="BR155" i="2" s="1"/>
  <c r="BR156" i="2" s="1"/>
  <c r="BR157" i="2" s="1"/>
  <c r="BR158" i="2" s="1"/>
  <c r="BR159" i="2" s="1"/>
  <c r="BR160" i="2" s="1"/>
  <c r="BR161" i="2" s="1"/>
  <c r="BR162" i="2" s="1"/>
  <c r="BR163" i="2" s="1"/>
  <c r="BR164" i="2" s="1"/>
  <c r="BR165" i="2" s="1"/>
  <c r="BR166" i="2" s="1"/>
  <c r="BR167" i="2" s="1"/>
  <c r="BR168" i="2" s="1"/>
  <c r="BR169" i="2" s="1"/>
  <c r="BR170" i="2" s="1"/>
  <c r="BR171" i="2" s="1"/>
  <c r="BR172" i="2" s="1"/>
  <c r="BR173" i="2" s="1"/>
  <c r="BR174" i="2" s="1"/>
  <c r="BR175" i="2" s="1"/>
  <c r="BR176" i="2" s="1"/>
  <c r="BR177" i="2" s="1"/>
  <c r="BR178" i="2" s="1"/>
  <c r="BR179" i="2" s="1"/>
  <c r="BR180" i="2" s="1"/>
  <c r="BR181" i="2" s="1"/>
  <c r="BR182" i="2" s="1"/>
  <c r="BN145" i="2"/>
  <c r="BN146" i="2" s="1"/>
  <c r="BN147" i="2" s="1"/>
  <c r="BN148" i="2" s="1"/>
  <c r="BN149" i="2" s="1"/>
  <c r="BN150" i="2" s="1"/>
  <c r="BN151" i="2" s="1"/>
  <c r="BN152" i="2" s="1"/>
  <c r="BN153" i="2" s="1"/>
  <c r="BN154" i="2" s="1"/>
  <c r="BN155" i="2" s="1"/>
  <c r="BN156" i="2" s="1"/>
  <c r="BN157" i="2" s="1"/>
  <c r="BN158" i="2" s="1"/>
  <c r="BN159" i="2" s="1"/>
  <c r="BN160" i="2" s="1"/>
  <c r="BN161" i="2" s="1"/>
  <c r="BN162" i="2" s="1"/>
  <c r="BN163" i="2" s="1"/>
  <c r="BN164" i="2" s="1"/>
  <c r="BN165" i="2" s="1"/>
  <c r="BN166" i="2" s="1"/>
  <c r="BN167" i="2" s="1"/>
  <c r="BN168" i="2" s="1"/>
  <c r="BN169" i="2" s="1"/>
  <c r="BN170" i="2" s="1"/>
  <c r="BN171" i="2" s="1"/>
  <c r="BN172" i="2" s="1"/>
  <c r="BN173" i="2" s="1"/>
  <c r="BN174" i="2" s="1"/>
  <c r="BN175" i="2" s="1"/>
  <c r="BN176" i="2" s="1"/>
  <c r="BN177" i="2" s="1"/>
  <c r="BN178" i="2" s="1"/>
  <c r="BN179" i="2" s="1"/>
  <c r="BN180" i="2" s="1"/>
  <c r="BN181" i="2" s="1"/>
  <c r="BN182" i="2" s="1"/>
  <c r="BZ146" i="2"/>
  <c r="BV144" i="2"/>
  <c r="BV145" i="2" s="1"/>
  <c r="BV146" i="2" s="1"/>
  <c r="BV147" i="2" s="1"/>
  <c r="BV148" i="2" s="1"/>
  <c r="BV149" i="2" s="1"/>
  <c r="BV150" i="2" s="1"/>
  <c r="BV151" i="2" s="1"/>
  <c r="BV152" i="2" s="1"/>
  <c r="BV153" i="2" s="1"/>
  <c r="BV154" i="2" s="1"/>
  <c r="BV155" i="2" s="1"/>
  <c r="BV156" i="2" s="1"/>
  <c r="BV157" i="2" s="1"/>
  <c r="BV158" i="2" s="1"/>
  <c r="BV159" i="2" s="1"/>
  <c r="BV160" i="2" s="1"/>
  <c r="BV161" i="2" s="1"/>
  <c r="BV162" i="2" s="1"/>
  <c r="BV163" i="2" s="1"/>
  <c r="BV164" i="2" s="1"/>
  <c r="BV165" i="2" s="1"/>
  <c r="BV166" i="2" s="1"/>
  <c r="BV167" i="2" s="1"/>
  <c r="BV168" i="2" s="1"/>
  <c r="BV169" i="2" s="1"/>
  <c r="BV170" i="2" s="1"/>
  <c r="BV171" i="2" s="1"/>
  <c r="BV172" i="2" s="1"/>
  <c r="BV173" i="2" s="1"/>
  <c r="BV174" i="2" s="1"/>
  <c r="BV175" i="2" s="1"/>
  <c r="BV176" i="2" s="1"/>
  <c r="BV177" i="2" s="1"/>
  <c r="BV178" i="2" s="1"/>
  <c r="BV179" i="2" s="1"/>
  <c r="BV180" i="2" s="1"/>
  <c r="BV181" i="2" s="1"/>
  <c r="BV182" i="2" s="1"/>
  <c r="BZ147" i="2"/>
  <c r="BZ148" i="2" s="1"/>
  <c r="BZ149" i="2" s="1"/>
  <c r="BZ150" i="2" s="1"/>
  <c r="BZ151" i="2" s="1"/>
  <c r="BZ152" i="2" s="1"/>
  <c r="BZ153" i="2" s="1"/>
  <c r="BZ154" i="2" s="1"/>
  <c r="BZ155" i="2" s="1"/>
  <c r="BZ156" i="2" s="1"/>
  <c r="BZ157" i="2" s="1"/>
  <c r="BZ158" i="2" s="1"/>
  <c r="BZ159" i="2" s="1"/>
  <c r="BZ160" i="2" s="1"/>
  <c r="BZ161" i="2" s="1"/>
  <c r="BZ162" i="2" s="1"/>
  <c r="BZ163" i="2" s="1"/>
  <c r="BZ164" i="2" s="1"/>
  <c r="BZ165" i="2" s="1"/>
  <c r="BZ166" i="2" s="1"/>
  <c r="BZ167" i="2" s="1"/>
  <c r="BZ168" i="2" s="1"/>
  <c r="BZ169" i="2" s="1"/>
  <c r="BZ170" i="2" s="1"/>
  <c r="BZ171" i="2" s="1"/>
  <c r="BZ172" i="2" s="1"/>
  <c r="BZ173" i="2" s="1"/>
  <c r="BZ174" i="2" s="1"/>
  <c r="BZ175" i="2" s="1"/>
  <c r="BZ176" i="2" s="1"/>
  <c r="BZ177" i="2" s="1"/>
  <c r="BZ178" i="2" s="1"/>
  <c r="BZ179" i="2" s="1"/>
  <c r="BZ180" i="2" s="1"/>
  <c r="BZ181" i="2" s="1"/>
  <c r="BZ182" i="2" s="1"/>
  <c r="AX55" i="2"/>
  <c r="D25" i="2"/>
  <c r="F25" i="2"/>
  <c r="G25" i="2"/>
  <c r="H25" i="2"/>
  <c r="D26" i="2"/>
  <c r="F26" i="2"/>
  <c r="G26" i="2"/>
  <c r="H26" i="2"/>
  <c r="D11" i="2"/>
  <c r="F11" i="2"/>
  <c r="G11" i="2"/>
  <c r="H11" i="2"/>
  <c r="D12" i="2"/>
  <c r="F12" i="2"/>
  <c r="G12" i="2"/>
  <c r="H12" i="2"/>
  <c r="D13" i="2"/>
  <c r="F13" i="2"/>
  <c r="G13" i="2"/>
  <c r="H13" i="2"/>
  <c r="D14" i="2"/>
  <c r="F14" i="2"/>
  <c r="G14" i="2"/>
  <c r="H14" i="2"/>
  <c r="D15" i="2"/>
  <c r="F15" i="2"/>
  <c r="G15" i="2"/>
  <c r="H15" i="2"/>
  <c r="D16" i="2"/>
  <c r="F16" i="2"/>
  <c r="G16" i="2"/>
  <c r="H16" i="2"/>
  <c r="D17" i="2"/>
  <c r="F17" i="2"/>
  <c r="G17" i="2"/>
  <c r="H17" i="2"/>
  <c r="D18" i="2"/>
  <c r="F18" i="2"/>
  <c r="G18" i="2"/>
  <c r="H18" i="2"/>
  <c r="D19" i="2"/>
  <c r="F19" i="2"/>
  <c r="G19" i="2"/>
  <c r="H19" i="2"/>
  <c r="D20" i="2"/>
  <c r="F20" i="2"/>
  <c r="G20" i="2"/>
  <c r="H20" i="2"/>
  <c r="D21" i="2"/>
  <c r="F21" i="2"/>
  <c r="G21" i="2"/>
  <c r="H21" i="2"/>
  <c r="D22" i="2"/>
  <c r="F22" i="2"/>
  <c r="G22" i="2"/>
  <c r="H22" i="2"/>
  <c r="D23" i="2"/>
  <c r="F23" i="2"/>
  <c r="G23" i="2"/>
  <c r="H23" i="2"/>
  <c r="D24" i="2"/>
  <c r="F24" i="2"/>
  <c r="G24" i="2"/>
  <c r="H24" i="2"/>
  <c r="CJ77" i="2" l="1"/>
  <c r="CJ118" i="2" s="1"/>
  <c r="CJ119" i="2" s="1"/>
  <c r="CJ120" i="2" s="1"/>
  <c r="CJ121" i="2" s="1"/>
  <c r="CJ122" i="2" s="1"/>
  <c r="CJ123" i="2" s="1"/>
  <c r="CJ124" i="2" s="1"/>
  <c r="CJ125" i="2" s="1"/>
  <c r="CJ126" i="2" s="1"/>
  <c r="CJ127" i="2" s="1"/>
  <c r="CJ128" i="2" s="1"/>
  <c r="CJ129" i="2" s="1"/>
  <c r="CJ130" i="2" s="1"/>
  <c r="CJ131" i="2" s="1"/>
  <c r="CJ132" i="2" s="1"/>
  <c r="CJ133" i="2" s="1"/>
  <c r="CJ134" i="2" s="1"/>
  <c r="CJ135" i="2" s="1"/>
  <c r="CJ136" i="2" s="1"/>
  <c r="CJ137" i="2" s="1"/>
  <c r="CJ138" i="2" s="1"/>
  <c r="CJ139" i="2" s="1"/>
  <c r="CJ140" i="2" s="1"/>
  <c r="CJ141" i="2" s="1"/>
  <c r="CG58" i="2" s="1"/>
  <c r="CF77" i="2"/>
  <c r="CF118" i="2" s="1"/>
  <c r="CF119" i="2" s="1"/>
  <c r="CF120" i="2" s="1"/>
  <c r="CF121" i="2" s="1"/>
  <c r="CF122" i="2" s="1"/>
  <c r="CF123" i="2" s="1"/>
  <c r="CF124" i="2" s="1"/>
  <c r="CF125" i="2" s="1"/>
  <c r="CF126" i="2" s="1"/>
  <c r="CF127" i="2" s="1"/>
  <c r="CF128" i="2" s="1"/>
  <c r="CF129" i="2" s="1"/>
  <c r="CF130" i="2" s="1"/>
  <c r="CF131" i="2" s="1"/>
  <c r="CF132" i="2" s="1"/>
  <c r="CF133" i="2" s="1"/>
  <c r="CF134" i="2" s="1"/>
  <c r="CF135" i="2" s="1"/>
  <c r="CF136" i="2" s="1"/>
  <c r="CF137" i="2" s="1"/>
  <c r="CF138" i="2" s="1"/>
  <c r="CF139" i="2" s="1"/>
  <c r="CF140" i="2" s="1"/>
  <c r="CF141" i="2" s="1"/>
  <c r="BT77" i="2"/>
  <c r="BT118" i="2" s="1"/>
  <c r="BT119" i="2" s="1"/>
  <c r="BT120" i="2" s="1"/>
  <c r="BT121" i="2" s="1"/>
  <c r="BT122" i="2" s="1"/>
  <c r="BT123" i="2" s="1"/>
  <c r="BT124" i="2" s="1"/>
  <c r="BT125" i="2" s="1"/>
  <c r="BT126" i="2" s="1"/>
  <c r="BT127" i="2" s="1"/>
  <c r="BT128" i="2" s="1"/>
  <c r="BT129" i="2" s="1"/>
  <c r="BT130" i="2" s="1"/>
  <c r="BT131" i="2" s="1"/>
  <c r="BT132" i="2" s="1"/>
  <c r="BT133" i="2" s="1"/>
  <c r="BT134" i="2" s="1"/>
  <c r="BT135" i="2" s="1"/>
  <c r="BT136" i="2" s="1"/>
  <c r="BT137" i="2" s="1"/>
  <c r="BT138" i="2" s="1"/>
  <c r="BT139" i="2" s="1"/>
  <c r="BT140" i="2" s="1"/>
  <c r="BT141" i="2" s="1"/>
  <c r="AO5" i="2"/>
  <c r="B15" i="1"/>
  <c r="BI182" i="2"/>
  <c r="BI181" i="2"/>
  <c r="BI180" i="2"/>
  <c r="BI179" i="2"/>
  <c r="BI178" i="2"/>
  <c r="BI177" i="2"/>
  <c r="BI176" i="2"/>
  <c r="BI175" i="2"/>
  <c r="BI174" i="2"/>
  <c r="BI173" i="2"/>
  <c r="BI172" i="2"/>
  <c r="BI171" i="2"/>
  <c r="BI170" i="2"/>
  <c r="BI169" i="2"/>
  <c r="BI168" i="2"/>
  <c r="BI167" i="2"/>
  <c r="BI166" i="2"/>
  <c r="BI165" i="2"/>
  <c r="BI164" i="2"/>
  <c r="BI163" i="2"/>
  <c r="BI162" i="2"/>
  <c r="BI161" i="2"/>
  <c r="BI160" i="2"/>
  <c r="BI159" i="2"/>
  <c r="BI158" i="2"/>
  <c r="BI157" i="2"/>
  <c r="BI156" i="2"/>
  <c r="BI155" i="2"/>
  <c r="BI154" i="2"/>
  <c r="BI153" i="2"/>
  <c r="BI152" i="2"/>
  <c r="BI151" i="2"/>
  <c r="BI150" i="2"/>
  <c r="BI149" i="2"/>
  <c r="BI148" i="2"/>
  <c r="BI147" i="2"/>
  <c r="BI146" i="2"/>
  <c r="BI145" i="2"/>
  <c r="BI144" i="2"/>
  <c r="BI143" i="2"/>
  <c r="BJ143" i="2" s="1"/>
  <c r="BJ144" i="2" s="1"/>
  <c r="BE182" i="2"/>
  <c r="BE181" i="2"/>
  <c r="BE180" i="2"/>
  <c r="BE179" i="2"/>
  <c r="BE178" i="2"/>
  <c r="BE177" i="2"/>
  <c r="BE176" i="2"/>
  <c r="BE175" i="2"/>
  <c r="BE174" i="2"/>
  <c r="BE173" i="2"/>
  <c r="BE172" i="2"/>
  <c r="BE171" i="2"/>
  <c r="BE170" i="2"/>
  <c r="BE169" i="2"/>
  <c r="BE168" i="2"/>
  <c r="BE167" i="2"/>
  <c r="BE166" i="2"/>
  <c r="BE165" i="2"/>
  <c r="BE164" i="2"/>
  <c r="BE163" i="2"/>
  <c r="BE162" i="2"/>
  <c r="BE161" i="2"/>
  <c r="BE160" i="2"/>
  <c r="BE159" i="2"/>
  <c r="BE158" i="2"/>
  <c r="BE157" i="2"/>
  <c r="BE156" i="2"/>
  <c r="BE155" i="2"/>
  <c r="BE154" i="2"/>
  <c r="BE153" i="2"/>
  <c r="BE152" i="2"/>
  <c r="BE151" i="2"/>
  <c r="BE150" i="2"/>
  <c r="BE149" i="2"/>
  <c r="BE148" i="2"/>
  <c r="BE147" i="2"/>
  <c r="BE146" i="2"/>
  <c r="BE145" i="2"/>
  <c r="BE144" i="2"/>
  <c r="BE143" i="2"/>
  <c r="BF143" i="2" s="1"/>
  <c r="BF144" i="2" s="1"/>
  <c r="BA182" i="2"/>
  <c r="BA181" i="2"/>
  <c r="BA180" i="2"/>
  <c r="BA179" i="2"/>
  <c r="BA178" i="2"/>
  <c r="BA177" i="2"/>
  <c r="BA176" i="2"/>
  <c r="BA175" i="2"/>
  <c r="BA174" i="2"/>
  <c r="BA173" i="2"/>
  <c r="BA172" i="2"/>
  <c r="BA171" i="2"/>
  <c r="BA170" i="2"/>
  <c r="BA169" i="2"/>
  <c r="BA168" i="2"/>
  <c r="BA167" i="2"/>
  <c r="BA166" i="2"/>
  <c r="BA165" i="2"/>
  <c r="BA164" i="2"/>
  <c r="BA163" i="2"/>
  <c r="BA162" i="2"/>
  <c r="BA161" i="2"/>
  <c r="BA160" i="2"/>
  <c r="BA159" i="2"/>
  <c r="BA158" i="2"/>
  <c r="BA157" i="2"/>
  <c r="BA156" i="2"/>
  <c r="BA155" i="2"/>
  <c r="BA154" i="2"/>
  <c r="BA153" i="2"/>
  <c r="BA152" i="2"/>
  <c r="BA151" i="2"/>
  <c r="BA150" i="2"/>
  <c r="BA149" i="2"/>
  <c r="BA148" i="2"/>
  <c r="BA147" i="2"/>
  <c r="BA146" i="2"/>
  <c r="BA145" i="2"/>
  <c r="BA144" i="2"/>
  <c r="BA143" i="2"/>
  <c r="BB143" i="2" s="1"/>
  <c r="BB144" i="2" s="1"/>
  <c r="AW182" i="2"/>
  <c r="AW181" i="2"/>
  <c r="AW180" i="2"/>
  <c r="AW179" i="2"/>
  <c r="AW178" i="2"/>
  <c r="AW177" i="2"/>
  <c r="AW176" i="2"/>
  <c r="AW175" i="2"/>
  <c r="AW174" i="2"/>
  <c r="AW173" i="2"/>
  <c r="AW172" i="2"/>
  <c r="AW171" i="2"/>
  <c r="AW170" i="2"/>
  <c r="AW169" i="2"/>
  <c r="AW168" i="2"/>
  <c r="AW167" i="2"/>
  <c r="AW166" i="2"/>
  <c r="AW165" i="2"/>
  <c r="AW164" i="2"/>
  <c r="AW163" i="2"/>
  <c r="AW162" i="2"/>
  <c r="AW161" i="2"/>
  <c r="AW160" i="2"/>
  <c r="AW159" i="2"/>
  <c r="AW158" i="2"/>
  <c r="AW157" i="2"/>
  <c r="AW156" i="2"/>
  <c r="AW155" i="2"/>
  <c r="AW154" i="2"/>
  <c r="AW153" i="2"/>
  <c r="AW152" i="2"/>
  <c r="AW151" i="2"/>
  <c r="AW150" i="2"/>
  <c r="AW149" i="2"/>
  <c r="AW148" i="2"/>
  <c r="AW147" i="2"/>
  <c r="AW146" i="2"/>
  <c r="AW145" i="2"/>
  <c r="AW144" i="2"/>
  <c r="AW143" i="2"/>
  <c r="AX143" i="2"/>
  <c r="AX144" i="2" s="1"/>
  <c r="AX145" i="2" s="1"/>
  <c r="AX146" i="2" s="1"/>
  <c r="AS182" i="2"/>
  <c r="AS181" i="2"/>
  <c r="AS180" i="2"/>
  <c r="AS179" i="2"/>
  <c r="AS178" i="2"/>
  <c r="AS177" i="2"/>
  <c r="AS176" i="2"/>
  <c r="AS175" i="2"/>
  <c r="AS174" i="2"/>
  <c r="AS173" i="2"/>
  <c r="AS172" i="2"/>
  <c r="AS171" i="2"/>
  <c r="AS170" i="2"/>
  <c r="AS169" i="2"/>
  <c r="AS168" i="2"/>
  <c r="AS167" i="2"/>
  <c r="AS166" i="2"/>
  <c r="AS165" i="2"/>
  <c r="AS164" i="2"/>
  <c r="AS163" i="2"/>
  <c r="AS162" i="2"/>
  <c r="AS161" i="2"/>
  <c r="AS160" i="2"/>
  <c r="AS159" i="2"/>
  <c r="AS158" i="2"/>
  <c r="AS157" i="2"/>
  <c r="AS156" i="2"/>
  <c r="AS155" i="2"/>
  <c r="AS154" i="2"/>
  <c r="AS153" i="2"/>
  <c r="AS152" i="2"/>
  <c r="AS151" i="2"/>
  <c r="AS150" i="2"/>
  <c r="AS149" i="2"/>
  <c r="AS148" i="2"/>
  <c r="AS147" i="2"/>
  <c r="AS146" i="2"/>
  <c r="AS145" i="2"/>
  <c r="AS144" i="2"/>
  <c r="AS143" i="2"/>
  <c r="AT143" i="2" s="1"/>
  <c r="AO182" i="2"/>
  <c r="AO181" i="2"/>
  <c r="AO180" i="2"/>
  <c r="AO179" i="2"/>
  <c r="AO178" i="2"/>
  <c r="AO177" i="2"/>
  <c r="AO176" i="2"/>
  <c r="AO175" i="2"/>
  <c r="AO174" i="2"/>
  <c r="AO173" i="2"/>
  <c r="AO172" i="2"/>
  <c r="AO171" i="2"/>
  <c r="AO170" i="2"/>
  <c r="AO169" i="2"/>
  <c r="AO168" i="2"/>
  <c r="AO167" i="2"/>
  <c r="AO166" i="2"/>
  <c r="AO165" i="2"/>
  <c r="AO164" i="2"/>
  <c r="AO163" i="2"/>
  <c r="AO162" i="2"/>
  <c r="AO161" i="2"/>
  <c r="AO160" i="2"/>
  <c r="AO159" i="2"/>
  <c r="AO158" i="2"/>
  <c r="AO157" i="2"/>
  <c r="AO156" i="2"/>
  <c r="AO155" i="2"/>
  <c r="AO154" i="2"/>
  <c r="AO153" i="2"/>
  <c r="AO152" i="2"/>
  <c r="AO151" i="2"/>
  <c r="AO150" i="2"/>
  <c r="AO149" i="2"/>
  <c r="AO148" i="2"/>
  <c r="AO147" i="2"/>
  <c r="AO146" i="2"/>
  <c r="AO145" i="2"/>
  <c r="AO144" i="2"/>
  <c r="AO143" i="2"/>
  <c r="AP143" i="2" s="1"/>
  <c r="AP144" i="2" s="1"/>
  <c r="AP145" i="2" s="1"/>
  <c r="AP146" i="2" s="1"/>
  <c r="AK182" i="2"/>
  <c r="AK181" i="2"/>
  <c r="AK180" i="2"/>
  <c r="AK179" i="2"/>
  <c r="AK178" i="2"/>
  <c r="AK177" i="2"/>
  <c r="AK176" i="2"/>
  <c r="AK175" i="2"/>
  <c r="AK174" i="2"/>
  <c r="AK173" i="2"/>
  <c r="AK172" i="2"/>
  <c r="AK171" i="2"/>
  <c r="AK170" i="2"/>
  <c r="AK169" i="2"/>
  <c r="AK168" i="2"/>
  <c r="AK167" i="2"/>
  <c r="AK166" i="2"/>
  <c r="AK165" i="2"/>
  <c r="AK164" i="2"/>
  <c r="AK163" i="2"/>
  <c r="AK162" i="2"/>
  <c r="AK161" i="2"/>
  <c r="AK160" i="2"/>
  <c r="AK159" i="2"/>
  <c r="AK158" i="2"/>
  <c r="AK157" i="2"/>
  <c r="AK156" i="2"/>
  <c r="AK155" i="2"/>
  <c r="AK154" i="2"/>
  <c r="AK153" i="2"/>
  <c r="AK152" i="2"/>
  <c r="AK151" i="2"/>
  <c r="AK150" i="2"/>
  <c r="AK149" i="2"/>
  <c r="AK148" i="2"/>
  <c r="AK147" i="2"/>
  <c r="AK146" i="2"/>
  <c r="AK145" i="2"/>
  <c r="AK144" i="2"/>
  <c r="AK143" i="2"/>
  <c r="AL143" i="2" s="1"/>
  <c r="AL144" i="2" s="1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H143" i="2" s="1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D143" i="2" s="1"/>
  <c r="AD144" i="2" s="1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Z143" i="2" s="1"/>
  <c r="Z144" i="2" s="1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V143" i="2" s="1"/>
  <c r="V144" i="2" s="1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R143" i="2" s="1"/>
  <c r="R144" i="2" s="1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N143" i="2" s="1"/>
  <c r="I144" i="2"/>
  <c r="I143" i="2"/>
  <c r="J143" i="2" s="1"/>
  <c r="J144" i="2" s="1"/>
  <c r="J145" i="2" s="1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D49" i="2"/>
  <c r="D48" i="2"/>
  <c r="D47" i="2"/>
  <c r="D46" i="2"/>
  <c r="D45" i="2"/>
  <c r="D44" i="2"/>
  <c r="D43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44" i="1"/>
  <c r="E44" i="1" s="1"/>
  <c r="K44" i="1"/>
  <c r="N44" i="1"/>
  <c r="Q44" i="1"/>
  <c r="P44" i="1"/>
  <c r="M44" i="1"/>
  <c r="O44" i="1" s="1"/>
  <c r="J44" i="1"/>
  <c r="L44" i="1" s="1"/>
  <c r="G44" i="1"/>
  <c r="I44" i="1" s="1"/>
  <c r="C44" i="1"/>
  <c r="B44" i="1"/>
  <c r="A44" i="1"/>
  <c r="H43" i="1"/>
  <c r="E43" i="1" s="1"/>
  <c r="K43" i="1"/>
  <c r="N43" i="1"/>
  <c r="Q43" i="1"/>
  <c r="P43" i="1"/>
  <c r="M43" i="1"/>
  <c r="O43" i="1"/>
  <c r="J43" i="1"/>
  <c r="L43" i="1" s="1"/>
  <c r="G43" i="1"/>
  <c r="I43" i="1" s="1"/>
  <c r="C43" i="1"/>
  <c r="B43" i="1"/>
  <c r="A43" i="1"/>
  <c r="H42" i="1"/>
  <c r="K42" i="1"/>
  <c r="N42" i="1"/>
  <c r="Q42" i="1"/>
  <c r="P42" i="1"/>
  <c r="M42" i="1"/>
  <c r="O42" i="1" s="1"/>
  <c r="J42" i="1"/>
  <c r="L42" i="1" s="1"/>
  <c r="G42" i="1"/>
  <c r="I42" i="1" s="1"/>
  <c r="C42" i="1"/>
  <c r="B42" i="1"/>
  <c r="A42" i="1"/>
  <c r="H41" i="1"/>
  <c r="K41" i="1"/>
  <c r="N41" i="1"/>
  <c r="Q41" i="1"/>
  <c r="P41" i="1"/>
  <c r="M41" i="1"/>
  <c r="O41" i="1" s="1"/>
  <c r="J41" i="1"/>
  <c r="L41" i="1" s="1"/>
  <c r="G41" i="1"/>
  <c r="I41" i="1" s="1"/>
  <c r="C41" i="1"/>
  <c r="B41" i="1"/>
  <c r="A41" i="1"/>
  <c r="H40" i="1"/>
  <c r="K40" i="1"/>
  <c r="N40" i="1"/>
  <c r="Q40" i="1"/>
  <c r="P40" i="1"/>
  <c r="M40" i="1"/>
  <c r="O40" i="1" s="1"/>
  <c r="J40" i="1"/>
  <c r="L40" i="1" s="1"/>
  <c r="G40" i="1"/>
  <c r="I40" i="1" s="1"/>
  <c r="C40" i="1"/>
  <c r="B40" i="1"/>
  <c r="A40" i="1"/>
  <c r="H39" i="1"/>
  <c r="K39" i="1"/>
  <c r="N39" i="1"/>
  <c r="Q39" i="1"/>
  <c r="P39" i="1"/>
  <c r="M39" i="1"/>
  <c r="O39" i="1" s="1"/>
  <c r="J39" i="1"/>
  <c r="L39" i="1" s="1"/>
  <c r="G39" i="1"/>
  <c r="I39" i="1" s="1"/>
  <c r="C39" i="1"/>
  <c r="B39" i="1"/>
  <c r="A39" i="1"/>
  <c r="H38" i="1"/>
  <c r="K38" i="1"/>
  <c r="N38" i="1"/>
  <c r="Q38" i="1"/>
  <c r="P38" i="1"/>
  <c r="M38" i="1"/>
  <c r="O38" i="1" s="1"/>
  <c r="J38" i="1"/>
  <c r="L38" i="1" s="1"/>
  <c r="G38" i="1"/>
  <c r="I38" i="1" s="1"/>
  <c r="C38" i="1"/>
  <c r="B38" i="1"/>
  <c r="A38" i="1"/>
  <c r="H37" i="1"/>
  <c r="K37" i="1"/>
  <c r="N37" i="1"/>
  <c r="Q37" i="1"/>
  <c r="P37" i="1"/>
  <c r="M37" i="1"/>
  <c r="O37" i="1" s="1"/>
  <c r="J37" i="1"/>
  <c r="L37" i="1" s="1"/>
  <c r="G37" i="1"/>
  <c r="C37" i="1"/>
  <c r="B37" i="1"/>
  <c r="A37" i="1"/>
  <c r="H36" i="1"/>
  <c r="K36" i="1"/>
  <c r="N36" i="1"/>
  <c r="Q36" i="1"/>
  <c r="P36" i="1"/>
  <c r="M36" i="1"/>
  <c r="O36" i="1" s="1"/>
  <c r="J36" i="1"/>
  <c r="G36" i="1"/>
  <c r="C36" i="1"/>
  <c r="B36" i="1"/>
  <c r="A36" i="1"/>
  <c r="H35" i="1"/>
  <c r="K35" i="1"/>
  <c r="N35" i="1"/>
  <c r="Q35" i="1"/>
  <c r="P35" i="1"/>
  <c r="M35" i="1"/>
  <c r="O35" i="1" s="1"/>
  <c r="J35" i="1"/>
  <c r="G35" i="1"/>
  <c r="C35" i="1"/>
  <c r="B35" i="1"/>
  <c r="A35" i="1"/>
  <c r="H34" i="1"/>
  <c r="K34" i="1"/>
  <c r="N34" i="1"/>
  <c r="Q34" i="1"/>
  <c r="P34" i="1"/>
  <c r="M34" i="1"/>
  <c r="O34" i="1" s="1"/>
  <c r="J34" i="1"/>
  <c r="G34" i="1"/>
  <c r="C34" i="1"/>
  <c r="B34" i="1"/>
  <c r="A34" i="1"/>
  <c r="H33" i="1"/>
  <c r="K33" i="1"/>
  <c r="N33" i="1"/>
  <c r="Q33" i="1"/>
  <c r="P33" i="1"/>
  <c r="M33" i="1"/>
  <c r="O33" i="1" s="1"/>
  <c r="J33" i="1"/>
  <c r="G33" i="1"/>
  <c r="C33" i="1"/>
  <c r="B33" i="1"/>
  <c r="A33" i="1"/>
  <c r="H32" i="1"/>
  <c r="K32" i="1"/>
  <c r="N32" i="1"/>
  <c r="Q32" i="1"/>
  <c r="P32" i="1"/>
  <c r="M32" i="1"/>
  <c r="O32" i="1" s="1"/>
  <c r="J32" i="1"/>
  <c r="G32" i="1"/>
  <c r="C32" i="1"/>
  <c r="B32" i="1"/>
  <c r="A32" i="1"/>
  <c r="H31" i="1"/>
  <c r="K31" i="1"/>
  <c r="N31" i="1"/>
  <c r="Q31" i="1"/>
  <c r="P31" i="1"/>
  <c r="M31" i="1"/>
  <c r="O31" i="1" s="1"/>
  <c r="J31" i="1"/>
  <c r="G31" i="1"/>
  <c r="C31" i="1"/>
  <c r="B31" i="1"/>
  <c r="A31" i="1"/>
  <c r="H30" i="1"/>
  <c r="K30" i="1"/>
  <c r="N30" i="1"/>
  <c r="Q30" i="1"/>
  <c r="P30" i="1"/>
  <c r="M30" i="1"/>
  <c r="O30" i="1" s="1"/>
  <c r="J30" i="1"/>
  <c r="G30" i="1"/>
  <c r="C30" i="1"/>
  <c r="B30" i="1"/>
  <c r="A30" i="1"/>
  <c r="H29" i="1"/>
  <c r="K29" i="1"/>
  <c r="N29" i="1"/>
  <c r="Q29" i="1"/>
  <c r="P29" i="1"/>
  <c r="M29" i="1"/>
  <c r="O29" i="1" s="1"/>
  <c r="J29" i="1"/>
  <c r="G29" i="1"/>
  <c r="C29" i="1"/>
  <c r="B29" i="1"/>
  <c r="A29" i="1"/>
  <c r="H28" i="1"/>
  <c r="K28" i="1"/>
  <c r="N28" i="1"/>
  <c r="Q28" i="1"/>
  <c r="P28" i="1"/>
  <c r="M28" i="1"/>
  <c r="O28" i="1" s="1"/>
  <c r="J28" i="1"/>
  <c r="G28" i="1"/>
  <c r="C28" i="1"/>
  <c r="B28" i="1"/>
  <c r="A28" i="1"/>
  <c r="H27" i="1"/>
  <c r="K27" i="1"/>
  <c r="N27" i="1"/>
  <c r="Q27" i="1"/>
  <c r="P27" i="1"/>
  <c r="M27" i="1"/>
  <c r="O27" i="1" s="1"/>
  <c r="J27" i="1"/>
  <c r="G27" i="1"/>
  <c r="C27" i="1"/>
  <c r="B27" i="1"/>
  <c r="A27" i="1"/>
  <c r="H26" i="1"/>
  <c r="K26" i="1"/>
  <c r="N26" i="1"/>
  <c r="Q26" i="1"/>
  <c r="P26" i="1"/>
  <c r="M26" i="1"/>
  <c r="O26" i="1" s="1"/>
  <c r="J26" i="1"/>
  <c r="L26" i="1" s="1"/>
  <c r="G26" i="1"/>
  <c r="C26" i="1"/>
  <c r="B26" i="1"/>
  <c r="A26" i="1"/>
  <c r="H25" i="1"/>
  <c r="K25" i="1"/>
  <c r="N25" i="1"/>
  <c r="Q25" i="1"/>
  <c r="P25" i="1"/>
  <c r="M25" i="1"/>
  <c r="O25" i="1" s="1"/>
  <c r="J25" i="1"/>
  <c r="L25" i="1" s="1"/>
  <c r="G25" i="1"/>
  <c r="C25" i="1"/>
  <c r="B25" i="1"/>
  <c r="A25" i="1"/>
  <c r="H24" i="1"/>
  <c r="K24" i="1"/>
  <c r="N24" i="1"/>
  <c r="Q24" i="1"/>
  <c r="P24" i="1"/>
  <c r="M24" i="1"/>
  <c r="O24" i="1" s="1"/>
  <c r="J24" i="1"/>
  <c r="G24" i="1"/>
  <c r="C24" i="1"/>
  <c r="B24" i="1"/>
  <c r="A24" i="1"/>
  <c r="H23" i="1"/>
  <c r="K23" i="1"/>
  <c r="N23" i="1"/>
  <c r="Q23" i="1"/>
  <c r="P23" i="1"/>
  <c r="M23" i="1"/>
  <c r="O23" i="1" s="1"/>
  <c r="J23" i="1"/>
  <c r="G23" i="1"/>
  <c r="C23" i="1"/>
  <c r="B23" i="1"/>
  <c r="A23" i="1"/>
  <c r="H22" i="1"/>
  <c r="K22" i="1"/>
  <c r="N22" i="1"/>
  <c r="Q22" i="1"/>
  <c r="P22" i="1"/>
  <c r="M22" i="1"/>
  <c r="O22" i="1" s="1"/>
  <c r="J22" i="1"/>
  <c r="L22" i="1" s="1"/>
  <c r="G22" i="1"/>
  <c r="C22" i="1"/>
  <c r="B22" i="1"/>
  <c r="A22" i="1"/>
  <c r="H21" i="1"/>
  <c r="K21" i="1"/>
  <c r="N21" i="1"/>
  <c r="Q21" i="1"/>
  <c r="P21" i="1"/>
  <c r="M21" i="1"/>
  <c r="O21" i="1" s="1"/>
  <c r="J21" i="1"/>
  <c r="L21" i="1" s="1"/>
  <c r="G21" i="1"/>
  <c r="I21" i="1" s="1"/>
  <c r="C21" i="1"/>
  <c r="B21" i="1"/>
  <c r="A21" i="1"/>
  <c r="H20" i="1"/>
  <c r="K20" i="1"/>
  <c r="N20" i="1"/>
  <c r="Q20" i="1"/>
  <c r="P20" i="1"/>
  <c r="M20" i="1"/>
  <c r="O20" i="1" s="1"/>
  <c r="J20" i="1"/>
  <c r="L20" i="1" s="1"/>
  <c r="G20" i="1"/>
  <c r="C20" i="1"/>
  <c r="B20" i="1"/>
  <c r="A20" i="1"/>
  <c r="H19" i="1"/>
  <c r="K19" i="1"/>
  <c r="N19" i="1"/>
  <c r="Q19" i="1"/>
  <c r="P19" i="1"/>
  <c r="M19" i="1"/>
  <c r="O19" i="1" s="1"/>
  <c r="J19" i="1"/>
  <c r="L19" i="1" s="1"/>
  <c r="G19" i="1"/>
  <c r="C19" i="1"/>
  <c r="B19" i="1"/>
  <c r="A19" i="1"/>
  <c r="H18" i="1"/>
  <c r="K18" i="1"/>
  <c r="N18" i="1"/>
  <c r="Q18" i="1"/>
  <c r="P18" i="1"/>
  <c r="M18" i="1"/>
  <c r="O18" i="1" s="1"/>
  <c r="J18" i="1"/>
  <c r="L18" i="1" s="1"/>
  <c r="G18" i="1"/>
  <c r="I18" i="1" s="1"/>
  <c r="C18" i="1"/>
  <c r="B18" i="1"/>
  <c r="A18" i="1"/>
  <c r="H17" i="1"/>
  <c r="E17" i="1" s="1"/>
  <c r="R17" i="1" s="1"/>
  <c r="K17" i="1"/>
  <c r="N17" i="1"/>
  <c r="Q17" i="1"/>
  <c r="P17" i="1"/>
  <c r="M17" i="1"/>
  <c r="O17" i="1" s="1"/>
  <c r="J17" i="1"/>
  <c r="L17" i="1" s="1"/>
  <c r="G17" i="1"/>
  <c r="I17" i="1" s="1"/>
  <c r="C17" i="1"/>
  <c r="B17" i="1"/>
  <c r="A17" i="1"/>
  <c r="H16" i="1"/>
  <c r="K16" i="1"/>
  <c r="N16" i="1"/>
  <c r="Q16" i="1"/>
  <c r="P16" i="1"/>
  <c r="M16" i="1"/>
  <c r="O16" i="1" s="1"/>
  <c r="J16" i="1"/>
  <c r="G16" i="1"/>
  <c r="C16" i="1"/>
  <c r="B16" i="1"/>
  <c r="A16" i="1"/>
  <c r="H15" i="1"/>
  <c r="K15" i="1"/>
  <c r="N15" i="1"/>
  <c r="Q15" i="1"/>
  <c r="P15" i="1"/>
  <c r="M15" i="1"/>
  <c r="O15" i="1" s="1"/>
  <c r="J15" i="1"/>
  <c r="G15" i="1"/>
  <c r="C15" i="1"/>
  <c r="A15" i="1"/>
  <c r="H14" i="1"/>
  <c r="K14" i="1"/>
  <c r="N14" i="1"/>
  <c r="Q14" i="1"/>
  <c r="P14" i="1"/>
  <c r="M14" i="1"/>
  <c r="O14" i="1" s="1"/>
  <c r="J14" i="1"/>
  <c r="G14" i="1"/>
  <c r="I14" i="1" s="1"/>
  <c r="C14" i="1"/>
  <c r="B14" i="1"/>
  <c r="A14" i="1"/>
  <c r="H13" i="1"/>
  <c r="K13" i="1"/>
  <c r="N13" i="1"/>
  <c r="Q13" i="1"/>
  <c r="P13" i="1"/>
  <c r="M13" i="1"/>
  <c r="O13" i="1" s="1"/>
  <c r="J13" i="1"/>
  <c r="L13" i="1" s="1"/>
  <c r="G13" i="1"/>
  <c r="C13" i="1"/>
  <c r="B13" i="1"/>
  <c r="A13" i="1"/>
  <c r="H12" i="1"/>
  <c r="K12" i="1"/>
  <c r="N12" i="1"/>
  <c r="Q12" i="1"/>
  <c r="P12" i="1"/>
  <c r="M12" i="1"/>
  <c r="O12" i="1" s="1"/>
  <c r="J12" i="1"/>
  <c r="L12" i="1" s="1"/>
  <c r="G12" i="1"/>
  <c r="C12" i="1"/>
  <c r="B12" i="1"/>
  <c r="A12" i="1"/>
  <c r="H11" i="1"/>
  <c r="K11" i="1"/>
  <c r="N11" i="1"/>
  <c r="Q11" i="1"/>
  <c r="P11" i="1"/>
  <c r="M11" i="1"/>
  <c r="O11" i="1" s="1"/>
  <c r="J11" i="1"/>
  <c r="L11" i="1" s="1"/>
  <c r="G11" i="1"/>
  <c r="I11" i="1" s="1"/>
  <c r="C11" i="1"/>
  <c r="B11" i="1"/>
  <c r="A11" i="1"/>
  <c r="H10" i="1"/>
  <c r="K10" i="1"/>
  <c r="N10" i="1"/>
  <c r="Q10" i="1"/>
  <c r="P10" i="1"/>
  <c r="M10" i="1"/>
  <c r="O10" i="1" s="1"/>
  <c r="J10" i="1"/>
  <c r="L10" i="1" s="1"/>
  <c r="G10" i="1"/>
  <c r="C10" i="1"/>
  <c r="B10" i="1"/>
  <c r="A10" i="1"/>
  <c r="H9" i="1"/>
  <c r="K9" i="1"/>
  <c r="N9" i="1"/>
  <c r="Q9" i="1"/>
  <c r="P9" i="1"/>
  <c r="M9" i="1"/>
  <c r="O9" i="1" s="1"/>
  <c r="J9" i="1"/>
  <c r="L9" i="1" s="1"/>
  <c r="G9" i="1"/>
  <c r="C9" i="1"/>
  <c r="B9" i="1"/>
  <c r="A9" i="1"/>
  <c r="H8" i="1"/>
  <c r="K8" i="1"/>
  <c r="N8" i="1"/>
  <c r="Q8" i="1"/>
  <c r="P8" i="1"/>
  <c r="M8" i="1"/>
  <c r="O8" i="1" s="1"/>
  <c r="J8" i="1"/>
  <c r="G8" i="1"/>
  <c r="C8" i="1"/>
  <c r="B8" i="1"/>
  <c r="A8" i="1"/>
  <c r="H7" i="1"/>
  <c r="K7" i="1"/>
  <c r="N7" i="1"/>
  <c r="Q7" i="1"/>
  <c r="P7" i="1"/>
  <c r="M7" i="1"/>
  <c r="O7" i="1" s="1"/>
  <c r="J7" i="1"/>
  <c r="G7" i="1"/>
  <c r="C7" i="1"/>
  <c r="B7" i="1"/>
  <c r="A7" i="1"/>
  <c r="H6" i="1"/>
  <c r="K6" i="1"/>
  <c r="N6" i="1"/>
  <c r="Q6" i="1"/>
  <c r="P6" i="1"/>
  <c r="M6" i="1"/>
  <c r="O6" i="1" s="1"/>
  <c r="J6" i="1"/>
  <c r="G6" i="1"/>
  <c r="C6" i="1"/>
  <c r="B6" i="1"/>
  <c r="A6" i="1"/>
  <c r="D10" i="2"/>
  <c r="B5" i="1" s="1"/>
  <c r="CF50" i="2"/>
  <c r="CB50" i="2"/>
  <c r="BX50" i="2"/>
  <c r="BT50" i="2"/>
  <c r="BP50" i="2"/>
  <c r="BL50" i="2"/>
  <c r="BH50" i="2"/>
  <c r="BD50" i="2"/>
  <c r="AZ50" i="2"/>
  <c r="AV50" i="2"/>
  <c r="AR50" i="2"/>
  <c r="AN50" i="2"/>
  <c r="AJ50" i="2"/>
  <c r="AF50" i="2"/>
  <c r="AB50" i="2"/>
  <c r="X50" i="2"/>
  <c r="T50" i="2"/>
  <c r="P50" i="2"/>
  <c r="L50" i="2"/>
  <c r="F43" i="2"/>
  <c r="G43" i="2"/>
  <c r="H43" i="2"/>
  <c r="F44" i="2"/>
  <c r="G44" i="2"/>
  <c r="H44" i="2"/>
  <c r="Q5" i="1"/>
  <c r="P5" i="1"/>
  <c r="N5" i="1"/>
  <c r="M5" i="1"/>
  <c r="O5" i="1" s="1"/>
  <c r="K5" i="1"/>
  <c r="J5" i="1"/>
  <c r="H5" i="1"/>
  <c r="G5" i="1"/>
  <c r="C5" i="1"/>
  <c r="A5" i="1"/>
  <c r="G144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E101" i="2"/>
  <c r="G62" i="2"/>
  <c r="BL62" i="2"/>
  <c r="BK62" i="2"/>
  <c r="BJ62" i="2"/>
  <c r="BI62" i="2"/>
  <c r="BH62" i="2"/>
  <c r="BG62" i="2"/>
  <c r="BF62" i="2"/>
  <c r="BE62" i="2"/>
  <c r="BC62" i="2"/>
  <c r="BB62" i="2"/>
  <c r="BA62" i="2"/>
  <c r="AY62" i="2"/>
  <c r="AX62" i="2"/>
  <c r="AW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A62" i="2"/>
  <c r="Z62" i="2"/>
  <c r="Y62" i="2"/>
  <c r="W62" i="2"/>
  <c r="V62" i="2"/>
  <c r="U62" i="2"/>
  <c r="S62" i="2"/>
  <c r="R62" i="2"/>
  <c r="Q62" i="2"/>
  <c r="O62" i="2"/>
  <c r="N62" i="2"/>
  <c r="M62" i="2"/>
  <c r="K62" i="2"/>
  <c r="J62" i="2"/>
  <c r="I62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L102" i="2" s="1"/>
  <c r="BL103" i="2" s="1"/>
  <c r="BL104" i="2" s="1"/>
  <c r="BL105" i="2" s="1"/>
  <c r="BL106" i="2" s="1"/>
  <c r="BL107" i="2" s="1"/>
  <c r="BL108" i="2" s="1"/>
  <c r="BL109" i="2" s="1"/>
  <c r="BL110" i="2" s="1"/>
  <c r="BL111" i="2" s="1"/>
  <c r="BL112" i="2" s="1"/>
  <c r="BL113" i="2" s="1"/>
  <c r="BL114" i="2" s="1"/>
  <c r="BL115" i="2" s="1"/>
  <c r="BL116" i="2" s="1"/>
  <c r="BL117" i="2" s="1"/>
  <c r="BL118" i="2" s="1"/>
  <c r="BL119" i="2" s="1"/>
  <c r="BL120" i="2" s="1"/>
  <c r="BL121" i="2" s="1"/>
  <c r="BL122" i="2" s="1"/>
  <c r="BL123" i="2" s="1"/>
  <c r="BL124" i="2" s="1"/>
  <c r="BL125" i="2" s="1"/>
  <c r="BL126" i="2" s="1"/>
  <c r="BL127" i="2" s="1"/>
  <c r="BL128" i="2" s="1"/>
  <c r="BL129" i="2" s="1"/>
  <c r="BL130" i="2" s="1"/>
  <c r="BL131" i="2" s="1"/>
  <c r="BL132" i="2" s="1"/>
  <c r="BL133" i="2" s="1"/>
  <c r="BL134" i="2" s="1"/>
  <c r="BL135" i="2" s="1"/>
  <c r="BL136" i="2" s="1"/>
  <c r="BL137" i="2" s="1"/>
  <c r="BL138" i="2" s="1"/>
  <c r="BL139" i="2" s="1"/>
  <c r="BL140" i="2" s="1"/>
  <c r="BL141" i="2" s="1"/>
  <c r="BK61" i="2"/>
  <c r="BK102" i="2" s="1"/>
  <c r="BJ61" i="2"/>
  <c r="BJ102" i="2" s="1"/>
  <c r="BJ103" i="2" s="1"/>
  <c r="BJ104" i="2" s="1"/>
  <c r="BJ105" i="2" s="1"/>
  <c r="BJ106" i="2" s="1"/>
  <c r="BJ107" i="2" s="1"/>
  <c r="BJ108" i="2" s="1"/>
  <c r="BJ109" i="2" s="1"/>
  <c r="BJ110" i="2" s="1"/>
  <c r="BJ111" i="2" s="1"/>
  <c r="BJ112" i="2" s="1"/>
  <c r="BJ113" i="2" s="1"/>
  <c r="BJ114" i="2" s="1"/>
  <c r="BJ115" i="2" s="1"/>
  <c r="BJ116" i="2" s="1"/>
  <c r="BJ117" i="2" s="1"/>
  <c r="BJ118" i="2" s="1"/>
  <c r="BJ119" i="2" s="1"/>
  <c r="BJ120" i="2" s="1"/>
  <c r="BJ121" i="2" s="1"/>
  <c r="BJ122" i="2" s="1"/>
  <c r="BJ123" i="2" s="1"/>
  <c r="BJ124" i="2" s="1"/>
  <c r="BJ125" i="2" s="1"/>
  <c r="BJ126" i="2" s="1"/>
  <c r="BJ127" i="2" s="1"/>
  <c r="BJ128" i="2" s="1"/>
  <c r="BJ129" i="2" s="1"/>
  <c r="BJ130" i="2" s="1"/>
  <c r="BJ131" i="2" s="1"/>
  <c r="BJ132" i="2" s="1"/>
  <c r="BJ133" i="2" s="1"/>
  <c r="BJ134" i="2" s="1"/>
  <c r="BJ135" i="2" s="1"/>
  <c r="BJ136" i="2" s="1"/>
  <c r="BJ137" i="2" s="1"/>
  <c r="BJ138" i="2" s="1"/>
  <c r="BJ139" i="2" s="1"/>
  <c r="BJ140" i="2" s="1"/>
  <c r="BJ141" i="2" s="1"/>
  <c r="BI61" i="2"/>
  <c r="BI102" i="2" s="1"/>
  <c r="BH61" i="2"/>
  <c r="BH102" i="2" s="1"/>
  <c r="BH103" i="2" s="1"/>
  <c r="BG61" i="2"/>
  <c r="BG102" i="2" s="1"/>
  <c r="BF61" i="2"/>
  <c r="BF102" i="2" s="1"/>
  <c r="BE61" i="2"/>
  <c r="BE102" i="2" s="1"/>
  <c r="BD61" i="2"/>
  <c r="BD102" i="2"/>
  <c r="BC61" i="2"/>
  <c r="BC102" i="2" s="1"/>
  <c r="BC103" i="2" s="1"/>
  <c r="BC104" i="2" s="1"/>
  <c r="BC105" i="2" s="1"/>
  <c r="BC106" i="2" s="1"/>
  <c r="BC107" i="2" s="1"/>
  <c r="BB61" i="2"/>
  <c r="BB102" i="2" s="1"/>
  <c r="BB103" i="2" s="1"/>
  <c r="BB104" i="2" s="1"/>
  <c r="BB105" i="2" s="1"/>
  <c r="BB106" i="2" s="1"/>
  <c r="BB107" i="2" s="1"/>
  <c r="BB108" i="2" s="1"/>
  <c r="BB109" i="2" s="1"/>
  <c r="BB110" i="2" s="1"/>
  <c r="BB111" i="2" s="1"/>
  <c r="BB112" i="2" s="1"/>
  <c r="BB113" i="2" s="1"/>
  <c r="BB114" i="2" s="1"/>
  <c r="BB115" i="2" s="1"/>
  <c r="BB116" i="2" s="1"/>
  <c r="BB117" i="2" s="1"/>
  <c r="BB118" i="2" s="1"/>
  <c r="BB119" i="2" s="1"/>
  <c r="BB120" i="2" s="1"/>
  <c r="BB121" i="2" s="1"/>
  <c r="BB122" i="2" s="1"/>
  <c r="BB123" i="2" s="1"/>
  <c r="BB124" i="2" s="1"/>
  <c r="BA61" i="2"/>
  <c r="BA102" i="2" s="1"/>
  <c r="BA103" i="2" s="1"/>
  <c r="BA104" i="2" s="1"/>
  <c r="BA105" i="2" s="1"/>
  <c r="BA106" i="2" s="1"/>
  <c r="BA107" i="2" s="1"/>
  <c r="BA108" i="2" s="1"/>
  <c r="BA109" i="2" s="1"/>
  <c r="BA110" i="2" s="1"/>
  <c r="BA111" i="2" s="1"/>
  <c r="BA112" i="2" s="1"/>
  <c r="BA113" i="2" s="1"/>
  <c r="BA114" i="2" s="1"/>
  <c r="BA115" i="2" s="1"/>
  <c r="BA116" i="2" s="1"/>
  <c r="BA117" i="2" s="1"/>
  <c r="BA118" i="2" s="1"/>
  <c r="BA119" i="2" s="1"/>
  <c r="BA120" i="2" s="1"/>
  <c r="BA121" i="2" s="1"/>
  <c r="BA122" i="2" s="1"/>
  <c r="BA123" i="2" s="1"/>
  <c r="BA124" i="2" s="1"/>
  <c r="BA125" i="2" s="1"/>
  <c r="BA126" i="2" s="1"/>
  <c r="BA127" i="2" s="1"/>
  <c r="BA128" i="2" s="1"/>
  <c r="BA129" i="2" s="1"/>
  <c r="BA130" i="2" s="1"/>
  <c r="BA131" i="2" s="1"/>
  <c r="BA132" i="2" s="1"/>
  <c r="BA133" i="2" s="1"/>
  <c r="BA134" i="2" s="1"/>
  <c r="BA135" i="2" s="1"/>
  <c r="BA136" i="2" s="1"/>
  <c r="BA137" i="2" s="1"/>
  <c r="BA138" i="2" s="1"/>
  <c r="BA139" i="2" s="1"/>
  <c r="BA140" i="2" s="1"/>
  <c r="BA141" i="2" s="1"/>
  <c r="AZ61" i="2"/>
  <c r="AZ102" i="2" s="1"/>
  <c r="AY61" i="2"/>
  <c r="AY102" i="2" s="1"/>
  <c r="AY103" i="2" s="1"/>
  <c r="AY104" i="2" s="1"/>
  <c r="AY105" i="2" s="1"/>
  <c r="AY106" i="2" s="1"/>
  <c r="AY107" i="2" s="1"/>
  <c r="AY108" i="2" s="1"/>
  <c r="AY109" i="2" s="1"/>
  <c r="AY110" i="2" s="1"/>
  <c r="AY111" i="2" s="1"/>
  <c r="AY112" i="2" s="1"/>
  <c r="AY113" i="2" s="1"/>
  <c r="AY114" i="2" s="1"/>
  <c r="AY115" i="2" s="1"/>
  <c r="AY116" i="2" s="1"/>
  <c r="AY117" i="2" s="1"/>
  <c r="AY118" i="2" s="1"/>
  <c r="AY119" i="2" s="1"/>
  <c r="AY120" i="2" s="1"/>
  <c r="AY121" i="2" s="1"/>
  <c r="AY122" i="2" s="1"/>
  <c r="AY123" i="2" s="1"/>
  <c r="AY124" i="2" s="1"/>
  <c r="AY125" i="2" s="1"/>
  <c r="AY126" i="2" s="1"/>
  <c r="AX61" i="2"/>
  <c r="AX102" i="2" s="1"/>
  <c r="AW61" i="2"/>
  <c r="AW102" i="2" s="1"/>
  <c r="AV61" i="2"/>
  <c r="AV102" i="2" s="1"/>
  <c r="AV103" i="2" s="1"/>
  <c r="AV104" i="2" s="1"/>
  <c r="AV105" i="2" s="1"/>
  <c r="AV106" i="2" s="1"/>
  <c r="AV107" i="2" s="1"/>
  <c r="AV108" i="2" s="1"/>
  <c r="AV109" i="2" s="1"/>
  <c r="AV110" i="2" s="1"/>
  <c r="AV111" i="2" s="1"/>
  <c r="AV112" i="2" s="1"/>
  <c r="AV113" i="2" s="1"/>
  <c r="AV114" i="2" s="1"/>
  <c r="AV115" i="2" s="1"/>
  <c r="AV116" i="2" s="1"/>
  <c r="AV117" i="2" s="1"/>
  <c r="AV118" i="2" s="1"/>
  <c r="AV119" i="2" s="1"/>
  <c r="AV120" i="2" s="1"/>
  <c r="AV121" i="2" s="1"/>
  <c r="AV122" i="2" s="1"/>
  <c r="AV123" i="2" s="1"/>
  <c r="AV124" i="2" s="1"/>
  <c r="AV125" i="2" s="1"/>
  <c r="AV126" i="2" s="1"/>
  <c r="AV127" i="2" s="1"/>
  <c r="AV128" i="2" s="1"/>
  <c r="AV129" i="2" s="1"/>
  <c r="AV130" i="2" s="1"/>
  <c r="AV131" i="2" s="1"/>
  <c r="AV132" i="2" s="1"/>
  <c r="AV133" i="2" s="1"/>
  <c r="AV134" i="2" s="1"/>
  <c r="AV135" i="2" s="1"/>
  <c r="AV136" i="2" s="1"/>
  <c r="AV137" i="2" s="1"/>
  <c r="AV138" i="2" s="1"/>
  <c r="AV139" i="2" s="1"/>
  <c r="AV140" i="2" s="1"/>
  <c r="AV141" i="2" s="1"/>
  <c r="AU61" i="2"/>
  <c r="AU102" i="2" s="1"/>
  <c r="AU103" i="2" s="1"/>
  <c r="AU104" i="2" s="1"/>
  <c r="AU105" i="2" s="1"/>
  <c r="AU106" i="2" s="1"/>
  <c r="AU107" i="2" s="1"/>
  <c r="AU108" i="2" s="1"/>
  <c r="AU109" i="2" s="1"/>
  <c r="AU110" i="2" s="1"/>
  <c r="AU111" i="2" s="1"/>
  <c r="AU112" i="2" s="1"/>
  <c r="AU113" i="2" s="1"/>
  <c r="AU114" i="2" s="1"/>
  <c r="AU115" i="2" s="1"/>
  <c r="AU116" i="2" s="1"/>
  <c r="AU117" i="2" s="1"/>
  <c r="AU118" i="2" s="1"/>
  <c r="AU119" i="2" s="1"/>
  <c r="AU120" i="2" s="1"/>
  <c r="AU121" i="2" s="1"/>
  <c r="AU122" i="2" s="1"/>
  <c r="AU123" i="2" s="1"/>
  <c r="AU124" i="2" s="1"/>
  <c r="AU125" i="2" s="1"/>
  <c r="AU126" i="2" s="1"/>
  <c r="AT61" i="2"/>
  <c r="AT102" i="2" s="1"/>
  <c r="AT103" i="2" s="1"/>
  <c r="AT104" i="2" s="1"/>
  <c r="AT105" i="2" s="1"/>
  <c r="AT106" i="2" s="1"/>
  <c r="AT107" i="2" s="1"/>
  <c r="AT108" i="2" s="1"/>
  <c r="AT109" i="2" s="1"/>
  <c r="AT110" i="2" s="1"/>
  <c r="AT111" i="2" s="1"/>
  <c r="AT112" i="2" s="1"/>
  <c r="AT113" i="2" s="1"/>
  <c r="AT114" i="2" s="1"/>
  <c r="AT115" i="2" s="1"/>
  <c r="AT116" i="2" s="1"/>
  <c r="AT117" i="2" s="1"/>
  <c r="AT118" i="2" s="1"/>
  <c r="AT119" i="2" s="1"/>
  <c r="AT120" i="2" s="1"/>
  <c r="AT121" i="2" s="1"/>
  <c r="AT122" i="2" s="1"/>
  <c r="AT123" i="2" s="1"/>
  <c r="AT124" i="2" s="1"/>
  <c r="AT125" i="2" s="1"/>
  <c r="AT126" i="2" s="1"/>
  <c r="AT127" i="2" s="1"/>
  <c r="AT128" i="2" s="1"/>
  <c r="AT129" i="2" s="1"/>
  <c r="AT130" i="2" s="1"/>
  <c r="AT131" i="2" s="1"/>
  <c r="AT132" i="2" s="1"/>
  <c r="AT133" i="2" s="1"/>
  <c r="AT134" i="2" s="1"/>
  <c r="AT135" i="2" s="1"/>
  <c r="AT136" i="2" s="1"/>
  <c r="AT137" i="2" s="1"/>
  <c r="AT138" i="2" s="1"/>
  <c r="AT139" i="2" s="1"/>
  <c r="AT140" i="2" s="1"/>
  <c r="AT141" i="2" s="1"/>
  <c r="AS61" i="2"/>
  <c r="AS102" i="2" s="1"/>
  <c r="AS103" i="2" s="1"/>
  <c r="AS104" i="2" s="1"/>
  <c r="AS105" i="2" s="1"/>
  <c r="AS106" i="2" s="1"/>
  <c r="AS107" i="2" s="1"/>
  <c r="AS108" i="2" s="1"/>
  <c r="AS109" i="2" s="1"/>
  <c r="AS110" i="2" s="1"/>
  <c r="AS111" i="2" s="1"/>
  <c r="AS112" i="2" s="1"/>
  <c r="AS113" i="2" s="1"/>
  <c r="AS114" i="2" s="1"/>
  <c r="AS115" i="2" s="1"/>
  <c r="AS116" i="2" s="1"/>
  <c r="AS117" i="2" s="1"/>
  <c r="AS118" i="2" s="1"/>
  <c r="AS119" i="2" s="1"/>
  <c r="AS120" i="2" s="1"/>
  <c r="AS121" i="2" s="1"/>
  <c r="AS122" i="2" s="1"/>
  <c r="AS123" i="2" s="1"/>
  <c r="AS124" i="2" s="1"/>
  <c r="AS125" i="2" s="1"/>
  <c r="AS126" i="2" s="1"/>
  <c r="AS127" i="2" s="1"/>
  <c r="AS128" i="2" s="1"/>
  <c r="AS129" i="2" s="1"/>
  <c r="AS130" i="2" s="1"/>
  <c r="AS131" i="2" s="1"/>
  <c r="AS132" i="2" s="1"/>
  <c r="AS133" i="2" s="1"/>
  <c r="AS134" i="2" s="1"/>
  <c r="AS135" i="2" s="1"/>
  <c r="AS136" i="2" s="1"/>
  <c r="AS137" i="2" s="1"/>
  <c r="AS138" i="2" s="1"/>
  <c r="AS139" i="2" s="1"/>
  <c r="AS140" i="2" s="1"/>
  <c r="AS141" i="2" s="1"/>
  <c r="AR61" i="2"/>
  <c r="AR102" i="2" s="1"/>
  <c r="AR103" i="2" s="1"/>
  <c r="AR104" i="2" s="1"/>
  <c r="AR105" i="2" s="1"/>
  <c r="AR106" i="2" s="1"/>
  <c r="AR107" i="2" s="1"/>
  <c r="AR108" i="2" s="1"/>
  <c r="AR109" i="2" s="1"/>
  <c r="AR110" i="2" s="1"/>
  <c r="AR111" i="2" s="1"/>
  <c r="AR112" i="2" s="1"/>
  <c r="AR113" i="2" s="1"/>
  <c r="AR114" i="2" s="1"/>
  <c r="AR115" i="2" s="1"/>
  <c r="AR116" i="2" s="1"/>
  <c r="AR117" i="2" s="1"/>
  <c r="AR118" i="2" s="1"/>
  <c r="AR119" i="2" s="1"/>
  <c r="AR120" i="2" s="1"/>
  <c r="AR121" i="2" s="1"/>
  <c r="AR122" i="2" s="1"/>
  <c r="AR123" i="2" s="1"/>
  <c r="AR124" i="2" s="1"/>
  <c r="AR125" i="2" s="1"/>
  <c r="AR126" i="2" s="1"/>
  <c r="AR127" i="2" s="1"/>
  <c r="AR128" i="2" s="1"/>
  <c r="AR129" i="2" s="1"/>
  <c r="AR130" i="2" s="1"/>
  <c r="AR131" i="2" s="1"/>
  <c r="AR132" i="2" s="1"/>
  <c r="AR133" i="2" s="1"/>
  <c r="AR134" i="2" s="1"/>
  <c r="AR135" i="2" s="1"/>
  <c r="AR136" i="2" s="1"/>
  <c r="AR137" i="2" s="1"/>
  <c r="AR138" i="2" s="1"/>
  <c r="AR139" i="2" s="1"/>
  <c r="AR140" i="2" s="1"/>
  <c r="AR141" i="2" s="1"/>
  <c r="AQ61" i="2"/>
  <c r="AQ102" i="2" s="1"/>
  <c r="AQ103" i="2" s="1"/>
  <c r="AQ104" i="2" s="1"/>
  <c r="AQ105" i="2" s="1"/>
  <c r="AQ106" i="2" s="1"/>
  <c r="AQ107" i="2" s="1"/>
  <c r="AQ108" i="2" s="1"/>
  <c r="AQ109" i="2" s="1"/>
  <c r="AQ110" i="2" s="1"/>
  <c r="AQ111" i="2" s="1"/>
  <c r="AQ112" i="2" s="1"/>
  <c r="AQ113" i="2" s="1"/>
  <c r="AQ114" i="2" s="1"/>
  <c r="AQ115" i="2" s="1"/>
  <c r="AQ116" i="2" s="1"/>
  <c r="AQ117" i="2" s="1"/>
  <c r="AQ118" i="2" s="1"/>
  <c r="AQ119" i="2" s="1"/>
  <c r="AQ120" i="2" s="1"/>
  <c r="AQ121" i="2" s="1"/>
  <c r="AQ122" i="2" s="1"/>
  <c r="AQ123" i="2" s="1"/>
  <c r="AQ124" i="2" s="1"/>
  <c r="AQ125" i="2" s="1"/>
  <c r="AQ126" i="2" s="1"/>
  <c r="AP61" i="2"/>
  <c r="AP102" i="2" s="1"/>
  <c r="AP103" i="2" s="1"/>
  <c r="AP104" i="2" s="1"/>
  <c r="AP105" i="2" s="1"/>
  <c r="AP106" i="2" s="1"/>
  <c r="AP107" i="2" s="1"/>
  <c r="AP108" i="2" s="1"/>
  <c r="AP109" i="2" s="1"/>
  <c r="AP110" i="2" s="1"/>
  <c r="AP111" i="2" s="1"/>
  <c r="AP112" i="2" s="1"/>
  <c r="AP113" i="2" s="1"/>
  <c r="AP114" i="2" s="1"/>
  <c r="AP115" i="2" s="1"/>
  <c r="AP116" i="2" s="1"/>
  <c r="AP117" i="2" s="1"/>
  <c r="AP118" i="2" s="1"/>
  <c r="AP119" i="2" s="1"/>
  <c r="AP120" i="2" s="1"/>
  <c r="AP121" i="2" s="1"/>
  <c r="AP122" i="2" s="1"/>
  <c r="AP123" i="2" s="1"/>
  <c r="AP124" i="2" s="1"/>
  <c r="AP125" i="2" s="1"/>
  <c r="AP126" i="2" s="1"/>
  <c r="AP127" i="2" s="1"/>
  <c r="AP128" i="2" s="1"/>
  <c r="AP129" i="2" s="1"/>
  <c r="AP130" i="2" s="1"/>
  <c r="AP131" i="2" s="1"/>
  <c r="AP132" i="2" s="1"/>
  <c r="AP133" i="2" s="1"/>
  <c r="AP134" i="2" s="1"/>
  <c r="AP135" i="2" s="1"/>
  <c r="AP136" i="2" s="1"/>
  <c r="AP137" i="2" s="1"/>
  <c r="AP138" i="2" s="1"/>
  <c r="AP139" i="2" s="1"/>
  <c r="AP140" i="2" s="1"/>
  <c r="AP141" i="2" s="1"/>
  <c r="AO61" i="2"/>
  <c r="AO102" i="2" s="1"/>
  <c r="AO103" i="2" s="1"/>
  <c r="AO104" i="2" s="1"/>
  <c r="AO105" i="2" s="1"/>
  <c r="AO106" i="2" s="1"/>
  <c r="AO107" i="2" s="1"/>
  <c r="AO108" i="2" s="1"/>
  <c r="AO109" i="2" s="1"/>
  <c r="AO110" i="2" s="1"/>
  <c r="AO111" i="2" s="1"/>
  <c r="AO112" i="2" s="1"/>
  <c r="AO113" i="2" s="1"/>
  <c r="AO114" i="2" s="1"/>
  <c r="AO115" i="2" s="1"/>
  <c r="AO116" i="2" s="1"/>
  <c r="AO117" i="2" s="1"/>
  <c r="AO118" i="2" s="1"/>
  <c r="AO119" i="2" s="1"/>
  <c r="AO120" i="2" s="1"/>
  <c r="AO121" i="2" s="1"/>
  <c r="AO122" i="2" s="1"/>
  <c r="AO123" i="2" s="1"/>
  <c r="AO124" i="2" s="1"/>
  <c r="AO125" i="2" s="1"/>
  <c r="AO126" i="2" s="1"/>
  <c r="AO127" i="2" s="1"/>
  <c r="AO128" i="2" s="1"/>
  <c r="AO129" i="2" s="1"/>
  <c r="AO130" i="2" s="1"/>
  <c r="AO131" i="2" s="1"/>
  <c r="AO132" i="2" s="1"/>
  <c r="AO133" i="2" s="1"/>
  <c r="AO134" i="2" s="1"/>
  <c r="AO135" i="2" s="1"/>
  <c r="AO136" i="2" s="1"/>
  <c r="AO137" i="2" s="1"/>
  <c r="AO138" i="2" s="1"/>
  <c r="AO139" i="2" s="1"/>
  <c r="AO140" i="2" s="1"/>
  <c r="AO141" i="2" s="1"/>
  <c r="AN61" i="2"/>
  <c r="AN102" i="2" s="1"/>
  <c r="AN103" i="2" s="1"/>
  <c r="AN104" i="2" s="1"/>
  <c r="AN105" i="2" s="1"/>
  <c r="AN106" i="2" s="1"/>
  <c r="AN107" i="2" s="1"/>
  <c r="AN108" i="2" s="1"/>
  <c r="AN109" i="2" s="1"/>
  <c r="AN110" i="2" s="1"/>
  <c r="AN111" i="2" s="1"/>
  <c r="AN112" i="2" s="1"/>
  <c r="AN113" i="2" s="1"/>
  <c r="AN114" i="2" s="1"/>
  <c r="AN115" i="2" s="1"/>
  <c r="AN116" i="2" s="1"/>
  <c r="AN117" i="2" s="1"/>
  <c r="AN118" i="2" s="1"/>
  <c r="AN119" i="2" s="1"/>
  <c r="AN120" i="2" s="1"/>
  <c r="AN121" i="2" s="1"/>
  <c r="AN122" i="2" s="1"/>
  <c r="AN123" i="2" s="1"/>
  <c r="AN124" i="2" s="1"/>
  <c r="AN125" i="2" s="1"/>
  <c r="AN126" i="2" s="1"/>
  <c r="AN127" i="2" s="1"/>
  <c r="AN128" i="2" s="1"/>
  <c r="AN129" i="2" s="1"/>
  <c r="AN130" i="2" s="1"/>
  <c r="AN131" i="2" s="1"/>
  <c r="AN132" i="2" s="1"/>
  <c r="AN133" i="2" s="1"/>
  <c r="AN134" i="2" s="1"/>
  <c r="AN135" i="2" s="1"/>
  <c r="AN136" i="2" s="1"/>
  <c r="AN137" i="2" s="1"/>
  <c r="AN138" i="2" s="1"/>
  <c r="AN139" i="2" s="1"/>
  <c r="AN140" i="2" s="1"/>
  <c r="AN141" i="2" s="1"/>
  <c r="AM61" i="2"/>
  <c r="AM102" i="2" s="1"/>
  <c r="AM103" i="2" s="1"/>
  <c r="AM104" i="2" s="1"/>
  <c r="AM105" i="2" s="1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AM117" i="2" s="1"/>
  <c r="AM118" i="2" s="1"/>
  <c r="AM119" i="2" s="1"/>
  <c r="AM120" i="2" s="1"/>
  <c r="AM121" i="2" s="1"/>
  <c r="AM122" i="2" s="1"/>
  <c r="AM123" i="2" s="1"/>
  <c r="AM124" i="2" s="1"/>
  <c r="AM125" i="2" s="1"/>
  <c r="AM126" i="2" s="1"/>
  <c r="AL61" i="2"/>
  <c r="AL102" i="2" s="1"/>
  <c r="AL103" i="2" s="1"/>
  <c r="AL104" i="2" s="1"/>
  <c r="AL105" i="2" s="1"/>
  <c r="AL106" i="2" s="1"/>
  <c r="AL107" i="2" s="1"/>
  <c r="AL108" i="2" s="1"/>
  <c r="AL109" i="2" s="1"/>
  <c r="AL110" i="2" s="1"/>
  <c r="AL111" i="2" s="1"/>
  <c r="AL112" i="2" s="1"/>
  <c r="AL113" i="2" s="1"/>
  <c r="AL114" i="2" s="1"/>
  <c r="AL115" i="2" s="1"/>
  <c r="AL116" i="2" s="1"/>
  <c r="AL117" i="2" s="1"/>
  <c r="AL118" i="2" s="1"/>
  <c r="AL119" i="2" s="1"/>
  <c r="AL120" i="2" s="1"/>
  <c r="AL121" i="2" s="1"/>
  <c r="AL122" i="2" s="1"/>
  <c r="AL123" i="2" s="1"/>
  <c r="AL124" i="2" s="1"/>
  <c r="AL125" i="2" s="1"/>
  <c r="AL126" i="2" s="1"/>
  <c r="AL127" i="2" s="1"/>
  <c r="AL128" i="2" s="1"/>
  <c r="AL129" i="2" s="1"/>
  <c r="AL130" i="2" s="1"/>
  <c r="AL131" i="2" s="1"/>
  <c r="AL132" i="2" s="1"/>
  <c r="AL133" i="2" s="1"/>
  <c r="AL134" i="2" s="1"/>
  <c r="AL135" i="2" s="1"/>
  <c r="AL136" i="2" s="1"/>
  <c r="AL137" i="2" s="1"/>
  <c r="AL138" i="2" s="1"/>
  <c r="AL139" i="2" s="1"/>
  <c r="AL140" i="2" s="1"/>
  <c r="AL141" i="2" s="1"/>
  <c r="AK61" i="2"/>
  <c r="AK102" i="2" s="1"/>
  <c r="AK103" i="2" s="1"/>
  <c r="AK104" i="2" s="1"/>
  <c r="AK105" i="2" s="1"/>
  <c r="AK106" i="2" s="1"/>
  <c r="AK107" i="2" s="1"/>
  <c r="AK108" i="2" s="1"/>
  <c r="AK109" i="2" s="1"/>
  <c r="AK110" i="2" s="1"/>
  <c r="AK111" i="2" s="1"/>
  <c r="AK112" i="2" s="1"/>
  <c r="AK113" i="2" s="1"/>
  <c r="AK114" i="2" s="1"/>
  <c r="AK115" i="2" s="1"/>
  <c r="AK116" i="2" s="1"/>
  <c r="AK117" i="2" s="1"/>
  <c r="AK118" i="2" s="1"/>
  <c r="AK119" i="2" s="1"/>
  <c r="AK120" i="2" s="1"/>
  <c r="AK121" i="2" s="1"/>
  <c r="AK122" i="2" s="1"/>
  <c r="AK123" i="2" s="1"/>
  <c r="AK124" i="2" s="1"/>
  <c r="AK125" i="2" s="1"/>
  <c r="AK126" i="2" s="1"/>
  <c r="AJ61" i="2"/>
  <c r="AJ102" i="2" s="1"/>
  <c r="AJ103" i="2" s="1"/>
  <c r="AJ104" i="2" s="1"/>
  <c r="AJ105" i="2" s="1"/>
  <c r="AJ106" i="2" s="1"/>
  <c r="AJ107" i="2" s="1"/>
  <c r="AI61" i="2"/>
  <c r="AI102" i="2" s="1"/>
  <c r="AI103" i="2" s="1"/>
  <c r="AI104" i="2" s="1"/>
  <c r="AI105" i="2" s="1"/>
  <c r="AI106" i="2" s="1"/>
  <c r="AI107" i="2" s="1"/>
  <c r="AI108" i="2" s="1"/>
  <c r="AI109" i="2" s="1"/>
  <c r="AI110" i="2" s="1"/>
  <c r="AI111" i="2" s="1"/>
  <c r="AI112" i="2" s="1"/>
  <c r="AI113" i="2" s="1"/>
  <c r="AI114" i="2" s="1"/>
  <c r="AI115" i="2" s="1"/>
  <c r="AI116" i="2" s="1"/>
  <c r="AI117" i="2" s="1"/>
  <c r="AI118" i="2" s="1"/>
  <c r="AI119" i="2" s="1"/>
  <c r="AI120" i="2" s="1"/>
  <c r="AI121" i="2" s="1"/>
  <c r="AI122" i="2" s="1"/>
  <c r="AI123" i="2" s="1"/>
  <c r="AI124" i="2" s="1"/>
  <c r="AI125" i="2" s="1"/>
  <c r="AI126" i="2" s="1"/>
  <c r="AI127" i="2" s="1"/>
  <c r="AI128" i="2" s="1"/>
  <c r="AI129" i="2" s="1"/>
  <c r="AI130" i="2" s="1"/>
  <c r="AI131" i="2" s="1"/>
  <c r="AI132" i="2" s="1"/>
  <c r="AI133" i="2" s="1"/>
  <c r="AI134" i="2" s="1"/>
  <c r="AI135" i="2" s="1"/>
  <c r="AI136" i="2" s="1"/>
  <c r="AI137" i="2" s="1"/>
  <c r="AI138" i="2" s="1"/>
  <c r="AI139" i="2" s="1"/>
  <c r="AI140" i="2" s="1"/>
  <c r="AI141" i="2" s="1"/>
  <c r="AH61" i="2"/>
  <c r="AH102" i="2" s="1"/>
  <c r="AH103" i="2" s="1"/>
  <c r="AH104" i="2" s="1"/>
  <c r="AH105" i="2" s="1"/>
  <c r="AH106" i="2" s="1"/>
  <c r="AH107" i="2" s="1"/>
  <c r="AH108" i="2" s="1"/>
  <c r="AG61" i="2"/>
  <c r="AG102" i="2" s="1"/>
  <c r="AG103" i="2" s="1"/>
  <c r="AG104" i="2" s="1"/>
  <c r="AG105" i="2" s="1"/>
  <c r="AG106" i="2" s="1"/>
  <c r="AG107" i="2" s="1"/>
  <c r="AG108" i="2" s="1"/>
  <c r="AG109" i="2" s="1"/>
  <c r="AG110" i="2" s="1"/>
  <c r="AG111" i="2" s="1"/>
  <c r="AG112" i="2" s="1"/>
  <c r="AG113" i="2" s="1"/>
  <c r="AG114" i="2" s="1"/>
  <c r="AG115" i="2" s="1"/>
  <c r="AG116" i="2" s="1"/>
  <c r="AG117" i="2" s="1"/>
  <c r="AG118" i="2" s="1"/>
  <c r="AG119" i="2" s="1"/>
  <c r="AG120" i="2" s="1"/>
  <c r="AG121" i="2" s="1"/>
  <c r="AG122" i="2" s="1"/>
  <c r="AG123" i="2" s="1"/>
  <c r="AG124" i="2" s="1"/>
  <c r="AG125" i="2" s="1"/>
  <c r="AG126" i="2" s="1"/>
  <c r="AF61" i="2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E61" i="2"/>
  <c r="AE102" i="2" s="1"/>
  <c r="AE103" i="2" s="1"/>
  <c r="AE104" i="2" s="1"/>
  <c r="AE105" i="2" s="1"/>
  <c r="AE106" i="2" s="1"/>
  <c r="AE107" i="2" s="1"/>
  <c r="AE108" i="2" s="1"/>
  <c r="AE109" i="2" s="1"/>
  <c r="AE110" i="2" s="1"/>
  <c r="AE111" i="2" s="1"/>
  <c r="AE112" i="2" s="1"/>
  <c r="AE113" i="2" s="1"/>
  <c r="AE114" i="2" s="1"/>
  <c r="AE115" i="2" s="1"/>
  <c r="AE116" i="2" s="1"/>
  <c r="AE117" i="2" s="1"/>
  <c r="AE118" i="2" s="1"/>
  <c r="AE119" i="2" s="1"/>
  <c r="AE120" i="2" s="1"/>
  <c r="AE121" i="2" s="1"/>
  <c r="AE122" i="2" s="1"/>
  <c r="AE123" i="2" s="1"/>
  <c r="AE124" i="2" s="1"/>
  <c r="AE125" i="2" s="1"/>
  <c r="AE126" i="2" s="1"/>
  <c r="AD61" i="2"/>
  <c r="AD102" i="2" s="1"/>
  <c r="AD103" i="2" s="1"/>
  <c r="AD104" i="2" s="1"/>
  <c r="AD105" i="2" s="1"/>
  <c r="AD106" i="2" s="1"/>
  <c r="AD107" i="2" s="1"/>
  <c r="AD108" i="2" s="1"/>
  <c r="AD109" i="2" s="1"/>
  <c r="AD110" i="2" s="1"/>
  <c r="AD111" i="2" s="1"/>
  <c r="AD112" i="2" s="1"/>
  <c r="AD113" i="2" s="1"/>
  <c r="AD114" i="2" s="1"/>
  <c r="AD115" i="2" s="1"/>
  <c r="AD116" i="2" s="1"/>
  <c r="AD117" i="2" s="1"/>
  <c r="AD118" i="2" s="1"/>
  <c r="AD119" i="2" s="1"/>
  <c r="AD120" i="2" s="1"/>
  <c r="AD121" i="2" s="1"/>
  <c r="AD122" i="2" s="1"/>
  <c r="AD123" i="2" s="1"/>
  <c r="AD124" i="2" s="1"/>
  <c r="AD125" i="2" s="1"/>
  <c r="AD126" i="2" s="1"/>
  <c r="AD127" i="2" s="1"/>
  <c r="AD128" i="2" s="1"/>
  <c r="AD129" i="2" s="1"/>
  <c r="AD130" i="2" s="1"/>
  <c r="AD131" i="2" s="1"/>
  <c r="AD132" i="2" s="1"/>
  <c r="AD133" i="2" s="1"/>
  <c r="AD134" i="2" s="1"/>
  <c r="AD135" i="2" s="1"/>
  <c r="AD136" i="2" s="1"/>
  <c r="AD137" i="2" s="1"/>
  <c r="AD138" i="2" s="1"/>
  <c r="AD139" i="2" s="1"/>
  <c r="AD140" i="2" s="1"/>
  <c r="AD141" i="2" s="1"/>
  <c r="AC61" i="2"/>
  <c r="AC102" i="2" s="1"/>
  <c r="AC103" i="2" s="1"/>
  <c r="AC104" i="2" s="1"/>
  <c r="AC105" i="2" s="1"/>
  <c r="AC106" i="2" s="1"/>
  <c r="AC107" i="2" s="1"/>
  <c r="AC108" i="2" s="1"/>
  <c r="AC109" i="2" s="1"/>
  <c r="AC110" i="2" s="1"/>
  <c r="AC111" i="2" s="1"/>
  <c r="AC112" i="2" s="1"/>
  <c r="AC113" i="2" s="1"/>
  <c r="AC114" i="2" s="1"/>
  <c r="AC115" i="2" s="1"/>
  <c r="AC116" i="2" s="1"/>
  <c r="AC117" i="2" s="1"/>
  <c r="AC118" i="2" s="1"/>
  <c r="AC119" i="2" s="1"/>
  <c r="AC120" i="2" s="1"/>
  <c r="AC121" i="2" s="1"/>
  <c r="AC122" i="2" s="1"/>
  <c r="AC123" i="2" s="1"/>
  <c r="AC124" i="2" s="1"/>
  <c r="AC125" i="2" s="1"/>
  <c r="AC126" i="2" s="1"/>
  <c r="AB61" i="2"/>
  <c r="AB102" i="2" s="1"/>
  <c r="AB103" i="2" s="1"/>
  <c r="AB104" i="2" s="1"/>
  <c r="AB105" i="2" s="1"/>
  <c r="AB106" i="2" s="1"/>
  <c r="AB107" i="2" s="1"/>
  <c r="AB108" i="2" s="1"/>
  <c r="AB109" i="2" s="1"/>
  <c r="AB110" i="2" s="1"/>
  <c r="AB111" i="2" s="1"/>
  <c r="AB112" i="2" s="1"/>
  <c r="AB113" i="2" s="1"/>
  <c r="AB114" i="2" s="1"/>
  <c r="AB115" i="2" s="1"/>
  <c r="AB116" i="2" s="1"/>
  <c r="AB117" i="2" s="1"/>
  <c r="AB118" i="2" s="1"/>
  <c r="AB119" i="2" s="1"/>
  <c r="AB120" i="2" s="1"/>
  <c r="AB121" i="2" s="1"/>
  <c r="AB122" i="2" s="1"/>
  <c r="AB123" i="2" s="1"/>
  <c r="AB124" i="2" s="1"/>
  <c r="AB125" i="2" s="1"/>
  <c r="AB126" i="2" s="1"/>
  <c r="AB127" i="2" s="1"/>
  <c r="AB128" i="2" s="1"/>
  <c r="AB129" i="2" s="1"/>
  <c r="AB130" i="2" s="1"/>
  <c r="AB131" i="2" s="1"/>
  <c r="AB132" i="2" s="1"/>
  <c r="AB133" i="2" s="1"/>
  <c r="AB134" i="2" s="1"/>
  <c r="AB135" i="2" s="1"/>
  <c r="AB136" i="2" s="1"/>
  <c r="AB137" i="2" s="1"/>
  <c r="AB138" i="2" s="1"/>
  <c r="AB139" i="2" s="1"/>
  <c r="AB140" i="2" s="1"/>
  <c r="AB141" i="2" s="1"/>
  <c r="AA61" i="2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AA138" i="2" s="1"/>
  <c r="AA139" i="2" s="1"/>
  <c r="AA140" i="2" s="1"/>
  <c r="AA141" i="2" s="1"/>
  <c r="Z61" i="2"/>
  <c r="Z102" i="2" s="1"/>
  <c r="Z103" i="2" s="1"/>
  <c r="Z104" i="2" s="1"/>
  <c r="Z105" i="2" s="1"/>
  <c r="Z106" i="2" s="1"/>
  <c r="Z107" i="2" s="1"/>
  <c r="Z108" i="2" s="1"/>
  <c r="Z109" i="2" s="1"/>
  <c r="Z110" i="2" s="1"/>
  <c r="Z111" i="2" s="1"/>
  <c r="Z112" i="2" s="1"/>
  <c r="Z113" i="2" s="1"/>
  <c r="Z114" i="2" s="1"/>
  <c r="Z115" i="2" s="1"/>
  <c r="Z116" i="2" s="1"/>
  <c r="Z117" i="2" s="1"/>
  <c r="Z118" i="2" s="1"/>
  <c r="Z119" i="2" s="1"/>
  <c r="Z120" i="2" s="1"/>
  <c r="Z121" i="2" s="1"/>
  <c r="Z122" i="2" s="1"/>
  <c r="Z123" i="2" s="1"/>
  <c r="Z124" i="2" s="1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Y61" i="2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X61" i="2"/>
  <c r="X102" i="2" s="1"/>
  <c r="W61" i="2"/>
  <c r="W102" i="2" s="1"/>
  <c r="W103" i="2" s="1"/>
  <c r="W104" i="2" s="1"/>
  <c r="W105" i="2" s="1"/>
  <c r="W106" i="2" s="1"/>
  <c r="W107" i="2" s="1"/>
  <c r="W108" i="2" s="1"/>
  <c r="V61" i="2"/>
  <c r="V102" i="2" s="1"/>
  <c r="V103" i="2" s="1"/>
  <c r="V104" i="2" s="1"/>
  <c r="V105" i="2" s="1"/>
  <c r="V106" i="2" s="1"/>
  <c r="V107" i="2" s="1"/>
  <c r="V108" i="2" s="1"/>
  <c r="U61" i="2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T61" i="2"/>
  <c r="T102" i="2" s="1"/>
  <c r="S61" i="2"/>
  <c r="S102" i="2" s="1"/>
  <c r="S103" i="2" s="1"/>
  <c r="R61" i="2"/>
  <c r="R102" i="2" s="1"/>
  <c r="R103" i="2" s="1"/>
  <c r="Q61" i="2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P61" i="2"/>
  <c r="P102" i="2" s="1"/>
  <c r="O61" i="2"/>
  <c r="O102" i="2" s="1"/>
  <c r="O103" i="2" s="1"/>
  <c r="N61" i="2"/>
  <c r="N102" i="2" s="1"/>
  <c r="N103" i="2" s="1"/>
  <c r="N104" i="2" s="1"/>
  <c r="M61" i="2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L61" i="2"/>
  <c r="L102" i="2" s="1"/>
  <c r="K61" i="2"/>
  <c r="K102" i="2" s="1"/>
  <c r="J61" i="2"/>
  <c r="J102" i="2" s="1"/>
  <c r="J103" i="2" s="1"/>
  <c r="I61" i="2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CD55" i="2"/>
  <c r="BZ55" i="2"/>
  <c r="BV55" i="2"/>
  <c r="BR55" i="2"/>
  <c r="BN55" i="2"/>
  <c r="BJ55" i="2"/>
  <c r="BF55" i="2"/>
  <c r="BB55" i="2"/>
  <c r="AT55" i="2"/>
  <c r="AP55" i="2"/>
  <c r="AL55" i="2"/>
  <c r="AH55" i="2"/>
  <c r="AD55" i="2"/>
  <c r="Z55" i="2"/>
  <c r="V55" i="2"/>
  <c r="R55" i="2"/>
  <c r="N55" i="2"/>
  <c r="J55" i="2"/>
  <c r="CD54" i="2"/>
  <c r="BZ54" i="2"/>
  <c r="BV54" i="2"/>
  <c r="BR54" i="2"/>
  <c r="BN54" i="2"/>
  <c r="BJ54" i="2"/>
  <c r="BF54" i="2"/>
  <c r="BB54" i="2"/>
  <c r="AX54" i="2"/>
  <c r="AT54" i="2"/>
  <c r="AP54" i="2"/>
  <c r="AL54" i="2"/>
  <c r="AH54" i="2"/>
  <c r="AD54" i="2"/>
  <c r="Z54" i="2"/>
  <c r="V54" i="2"/>
  <c r="R54" i="2"/>
  <c r="N54" i="2"/>
  <c r="J54" i="2"/>
  <c r="CD53" i="2"/>
  <c r="BZ53" i="2"/>
  <c r="BV53" i="2"/>
  <c r="BR53" i="2"/>
  <c r="BN53" i="2"/>
  <c r="BJ53" i="2"/>
  <c r="BF53" i="2"/>
  <c r="BB53" i="2"/>
  <c r="AX53" i="2"/>
  <c r="AT53" i="2"/>
  <c r="AP53" i="2"/>
  <c r="AL53" i="2"/>
  <c r="AH53" i="2"/>
  <c r="AD53" i="2"/>
  <c r="Z53" i="2"/>
  <c r="V53" i="2"/>
  <c r="R53" i="2"/>
  <c r="N53" i="2"/>
  <c r="J53" i="2"/>
  <c r="CD52" i="2"/>
  <c r="BZ52" i="2"/>
  <c r="BV52" i="2"/>
  <c r="BR52" i="2"/>
  <c r="BN52" i="2"/>
  <c r="BJ52" i="2"/>
  <c r="BF52" i="2"/>
  <c r="BB52" i="2"/>
  <c r="AX52" i="2"/>
  <c r="AT52" i="2"/>
  <c r="AP52" i="2"/>
  <c r="AL52" i="2"/>
  <c r="AH52" i="2"/>
  <c r="AD52" i="2"/>
  <c r="Z52" i="2"/>
  <c r="V52" i="2"/>
  <c r="R52" i="2"/>
  <c r="N52" i="2"/>
  <c r="J52" i="2"/>
  <c r="CD51" i="2"/>
  <c r="BZ51" i="2"/>
  <c r="BV51" i="2"/>
  <c r="BR51" i="2"/>
  <c r="BN51" i="2"/>
  <c r="BJ51" i="2"/>
  <c r="BF51" i="2"/>
  <c r="BB51" i="2"/>
  <c r="AX51" i="2"/>
  <c r="AT51" i="2"/>
  <c r="AP51" i="2"/>
  <c r="AL51" i="2"/>
  <c r="AH51" i="2"/>
  <c r="AD51" i="2"/>
  <c r="Z51" i="2"/>
  <c r="V51" i="2"/>
  <c r="R51" i="2"/>
  <c r="N51" i="2"/>
  <c r="J51" i="2"/>
  <c r="C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10" i="2"/>
  <c r="G10" i="2"/>
  <c r="F10" i="2"/>
  <c r="G7" i="2"/>
  <c r="G6" i="2"/>
  <c r="CC5" i="2"/>
  <c r="BQ5" i="2"/>
  <c r="BI5" i="2"/>
  <c r="BE5" i="2"/>
  <c r="BA5" i="2"/>
  <c r="AW5" i="2"/>
  <c r="AS5" i="2"/>
  <c r="AK5" i="2"/>
  <c r="AC5" i="2"/>
  <c r="Y5" i="2"/>
  <c r="U5" i="2"/>
  <c r="Q5" i="2"/>
  <c r="M5" i="2"/>
  <c r="I5" i="2"/>
  <c r="S104" i="2"/>
  <c r="S105" i="2" s="1"/>
  <c r="L62" i="2"/>
  <c r="P62" i="2"/>
  <c r="T62" i="2"/>
  <c r="T103" i="2"/>
  <c r="T104" i="2" s="1"/>
  <c r="T105" i="2" s="1"/>
  <c r="T106" i="2" s="1"/>
  <c r="T107" i="2" s="1"/>
  <c r="T108" i="2" s="1"/>
  <c r="T109" i="2" s="1"/>
  <c r="T110" i="2" s="1"/>
  <c r="T111" i="2" s="1"/>
  <c r="T112" i="2" s="1"/>
  <c r="T113" i="2" s="1"/>
  <c r="T114" i="2" s="1"/>
  <c r="T115" i="2" s="1"/>
  <c r="T116" i="2" s="1"/>
  <c r="T117" i="2" s="1"/>
  <c r="T118" i="2" s="1"/>
  <c r="T119" i="2" s="1"/>
  <c r="T120" i="2" s="1"/>
  <c r="T121" i="2" s="1"/>
  <c r="T122" i="2" s="1"/>
  <c r="T123" i="2" s="1"/>
  <c r="T124" i="2" s="1"/>
  <c r="T125" i="2" s="1"/>
  <c r="T126" i="2" s="1"/>
  <c r="T127" i="2" s="1"/>
  <c r="T128" i="2" s="1"/>
  <c r="T129" i="2" s="1"/>
  <c r="T130" i="2" s="1"/>
  <c r="T131" i="2" s="1"/>
  <c r="T132" i="2" s="1"/>
  <c r="T133" i="2" s="1"/>
  <c r="T134" i="2" s="1"/>
  <c r="T135" i="2" s="1"/>
  <c r="T136" i="2" s="1"/>
  <c r="T137" i="2" s="1"/>
  <c r="T138" i="2" s="1"/>
  <c r="T139" i="2" s="1"/>
  <c r="T140" i="2" s="1"/>
  <c r="T141" i="2" s="1"/>
  <c r="X62" i="2"/>
  <c r="AB62" i="2"/>
  <c r="AV62" i="2"/>
  <c r="AZ62" i="2"/>
  <c r="BD62" i="2"/>
  <c r="BD103" i="2"/>
  <c r="BD104" i="2" s="1"/>
  <c r="BD105" i="2" s="1"/>
  <c r="BD106" i="2" s="1"/>
  <c r="BD107" i="2" s="1"/>
  <c r="BD108" i="2" s="1"/>
  <c r="BD109" i="2" s="1"/>
  <c r="BD110" i="2" s="1"/>
  <c r="BD111" i="2" s="1"/>
  <c r="BD112" i="2" s="1"/>
  <c r="BD113" i="2" s="1"/>
  <c r="BD114" i="2" s="1"/>
  <c r="BD115" i="2" s="1"/>
  <c r="BD116" i="2" s="1"/>
  <c r="BD117" i="2" s="1"/>
  <c r="BD118" i="2" s="1"/>
  <c r="BD119" i="2" s="1"/>
  <c r="BD120" i="2" s="1"/>
  <c r="BD121" i="2" s="1"/>
  <c r="BD122" i="2" s="1"/>
  <c r="BD123" i="2" s="1"/>
  <c r="BD124" i="2" s="1"/>
  <c r="BD125" i="2" s="1"/>
  <c r="BD126" i="2" s="1"/>
  <c r="BD127" i="2" s="1"/>
  <c r="BD128" i="2" s="1"/>
  <c r="BD129" i="2" s="1"/>
  <c r="BD130" i="2" s="1"/>
  <c r="BD131" i="2" s="1"/>
  <c r="BD132" i="2" s="1"/>
  <c r="BD133" i="2" s="1"/>
  <c r="BD134" i="2" s="1"/>
  <c r="BD135" i="2" s="1"/>
  <c r="BD136" i="2" s="1"/>
  <c r="BD137" i="2" s="1"/>
  <c r="BD138" i="2" s="1"/>
  <c r="BD139" i="2" s="1"/>
  <c r="BD140" i="2" s="1"/>
  <c r="BD141" i="2" s="1"/>
  <c r="W109" i="2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BC108" i="2"/>
  <c r="BC109" i="2" s="1"/>
  <c r="BC110" i="2" s="1"/>
  <c r="BC111" i="2" s="1"/>
  <c r="BC112" i="2" s="1"/>
  <c r="BC113" i="2" s="1"/>
  <c r="BC114" i="2" s="1"/>
  <c r="BC115" i="2" s="1"/>
  <c r="BC116" i="2" s="1"/>
  <c r="BC117" i="2" s="1"/>
  <c r="AJ108" i="2"/>
  <c r="AJ109" i="2" s="1"/>
  <c r="AJ110" i="2" s="1"/>
  <c r="AJ111" i="2" s="1"/>
  <c r="AJ112" i="2" s="1"/>
  <c r="AJ113" i="2" s="1"/>
  <c r="AJ114" i="2" s="1"/>
  <c r="AJ115" i="2" s="1"/>
  <c r="AJ116" i="2" s="1"/>
  <c r="AJ117" i="2" s="1"/>
  <c r="AJ118" i="2" s="1"/>
  <c r="AJ119" i="2" s="1"/>
  <c r="AJ120" i="2" s="1"/>
  <c r="AJ121" i="2" s="1"/>
  <c r="AJ122" i="2" s="1"/>
  <c r="AJ123" i="2" s="1"/>
  <c r="AJ124" i="2" s="1"/>
  <c r="AJ125" i="2" s="1"/>
  <c r="AJ126" i="2" s="1"/>
  <c r="AJ127" i="2" s="1"/>
  <c r="AJ128" i="2" s="1"/>
  <c r="AJ129" i="2" s="1"/>
  <c r="AJ130" i="2" s="1"/>
  <c r="AJ131" i="2" s="1"/>
  <c r="AJ132" i="2" s="1"/>
  <c r="AJ133" i="2" s="1"/>
  <c r="AJ134" i="2" s="1"/>
  <c r="AJ135" i="2" s="1"/>
  <c r="AJ136" i="2" s="1"/>
  <c r="AJ137" i="2" s="1"/>
  <c r="AJ138" i="2" s="1"/>
  <c r="AJ139" i="2" s="1"/>
  <c r="AJ140" i="2" s="1"/>
  <c r="AJ141" i="2" s="1"/>
  <c r="S106" i="2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R104" i="2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R131" i="2" s="1"/>
  <c r="R132" i="2" s="1"/>
  <c r="R133" i="2" s="1"/>
  <c r="R134" i="2" s="1"/>
  <c r="R135" i="2" s="1"/>
  <c r="R136" i="2" s="1"/>
  <c r="R137" i="2" s="1"/>
  <c r="R138" i="2" s="1"/>
  <c r="R139" i="2" s="1"/>
  <c r="R140" i="2" s="1"/>
  <c r="R141" i="2" s="1"/>
  <c r="O104" i="2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N105" i="2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V109" i="2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AH109" i="2"/>
  <c r="AH110" i="2" s="1"/>
  <c r="AH111" i="2" s="1"/>
  <c r="AH112" i="2" s="1"/>
  <c r="AH113" i="2" s="1"/>
  <c r="AH114" i="2" s="1"/>
  <c r="AH115" i="2" s="1"/>
  <c r="AH116" i="2" s="1"/>
  <c r="AH117" i="2" s="1"/>
  <c r="AH118" i="2" s="1"/>
  <c r="AH119" i="2" s="1"/>
  <c r="AH120" i="2" s="1"/>
  <c r="AH121" i="2" s="1"/>
  <c r="AH122" i="2" s="1"/>
  <c r="AH123" i="2" s="1"/>
  <c r="AH124" i="2" s="1"/>
  <c r="AH125" i="2" s="1"/>
  <c r="AH126" i="2" s="1"/>
  <c r="AH127" i="2" s="1"/>
  <c r="AH128" i="2" s="1"/>
  <c r="AH129" i="2" s="1"/>
  <c r="AH130" i="2" s="1"/>
  <c r="AH131" i="2" s="1"/>
  <c r="AH132" i="2" s="1"/>
  <c r="AH133" i="2" s="1"/>
  <c r="AH134" i="2" s="1"/>
  <c r="AH135" i="2" s="1"/>
  <c r="AH136" i="2" s="1"/>
  <c r="AH137" i="2" s="1"/>
  <c r="AH138" i="2" s="1"/>
  <c r="AH139" i="2" s="1"/>
  <c r="AH140" i="2" s="1"/>
  <c r="AH141" i="2" s="1"/>
  <c r="J104" i="2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52" i="1"/>
  <c r="H52" i="1"/>
  <c r="K52" i="1"/>
  <c r="M52" i="1"/>
  <c r="N52" i="1"/>
  <c r="G52" i="1"/>
  <c r="I22" i="1" l="1"/>
  <c r="I25" i="1"/>
  <c r="I33" i="1"/>
  <c r="I37" i="1"/>
  <c r="I15" i="1"/>
  <c r="D10" i="1"/>
  <c r="E8" i="1"/>
  <c r="R8" i="1" s="1"/>
  <c r="L6" i="1"/>
  <c r="I9" i="1"/>
  <c r="L29" i="1"/>
  <c r="I36" i="1"/>
  <c r="F50" i="2"/>
  <c r="D50" i="1" s="1"/>
  <c r="I13" i="1"/>
  <c r="E18" i="1"/>
  <c r="R18" i="1" s="1"/>
  <c r="I20" i="1"/>
  <c r="L35" i="1"/>
  <c r="E37" i="1"/>
  <c r="R37" i="1" s="1"/>
  <c r="E38" i="1"/>
  <c r="R38" i="1" s="1"/>
  <c r="E39" i="1"/>
  <c r="R39" i="1" s="1"/>
  <c r="E40" i="1"/>
  <c r="R40" i="1" s="1"/>
  <c r="E41" i="1"/>
  <c r="R41" i="1" s="1"/>
  <c r="L8" i="1"/>
  <c r="L16" i="1"/>
  <c r="E16" i="1"/>
  <c r="R1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E42" i="1"/>
  <c r="R42" i="1" s="1"/>
  <c r="D43" i="1"/>
  <c r="F43" i="1" s="1"/>
  <c r="I10" i="1"/>
  <c r="R43" i="1"/>
  <c r="D44" i="1"/>
  <c r="L36" i="1"/>
  <c r="R44" i="1"/>
  <c r="E52" i="1"/>
  <c r="I8" i="1"/>
  <c r="E10" i="1"/>
  <c r="R10" i="1" s="1"/>
  <c r="I12" i="1"/>
  <c r="L14" i="1"/>
  <c r="I16" i="1"/>
  <c r="I32" i="1"/>
  <c r="L34" i="1"/>
  <c r="I7" i="1"/>
  <c r="E13" i="1"/>
  <c r="R13" i="1" s="1"/>
  <c r="D17" i="1"/>
  <c r="F17" i="1" s="1"/>
  <c r="E35" i="1"/>
  <c r="R35" i="1" s="1"/>
  <c r="D36" i="1"/>
  <c r="L7" i="1"/>
  <c r="E11" i="1"/>
  <c r="R11" i="1" s="1"/>
  <c r="L15" i="1"/>
  <c r="D29" i="1"/>
  <c r="E29" i="1"/>
  <c r="R29" i="1" s="1"/>
  <c r="I30" i="1"/>
  <c r="E34" i="1"/>
  <c r="R34" i="1" s="1"/>
  <c r="D35" i="1"/>
  <c r="E36" i="1"/>
  <c r="R36" i="1" s="1"/>
  <c r="D8" i="1"/>
  <c r="F8" i="1" s="1"/>
  <c r="E30" i="1"/>
  <c r="R30" i="1" s="1"/>
  <c r="L33" i="1"/>
  <c r="L30" i="1"/>
  <c r="I29" i="1"/>
  <c r="D33" i="1"/>
  <c r="E33" i="1"/>
  <c r="R33" i="1" s="1"/>
  <c r="I34" i="1"/>
  <c r="I24" i="1"/>
  <c r="E32" i="1"/>
  <c r="R32" i="1" s="1"/>
  <c r="D22" i="1"/>
  <c r="E22" i="1"/>
  <c r="R22" i="1" s="1"/>
  <c r="L24" i="1"/>
  <c r="E24" i="1"/>
  <c r="R24" i="1" s="1"/>
  <c r="I26" i="1"/>
  <c r="D27" i="1"/>
  <c r="D14" i="1"/>
  <c r="F14" i="1" s="1"/>
  <c r="E14" i="1"/>
  <c r="R14" i="1" s="1"/>
  <c r="BI103" i="2"/>
  <c r="BI104" i="2" s="1"/>
  <c r="BI105" i="2" s="1"/>
  <c r="BI106" i="2" s="1"/>
  <c r="BI107" i="2" s="1"/>
  <c r="BI108" i="2" s="1"/>
  <c r="BI109" i="2" s="1"/>
  <c r="BI110" i="2" s="1"/>
  <c r="BI111" i="2" s="1"/>
  <c r="BI112" i="2" s="1"/>
  <c r="BI113" i="2" s="1"/>
  <c r="BI114" i="2" s="1"/>
  <c r="BI115" i="2" s="1"/>
  <c r="BI116" i="2" s="1"/>
  <c r="BI117" i="2" s="1"/>
  <c r="BI118" i="2" s="1"/>
  <c r="BI119" i="2" s="1"/>
  <c r="BI120" i="2" s="1"/>
  <c r="BI121" i="2" s="1"/>
  <c r="BI122" i="2" s="1"/>
  <c r="BI123" i="2" s="1"/>
  <c r="BI124" i="2" s="1"/>
  <c r="BI125" i="2" s="1"/>
  <c r="BI126" i="2" s="1"/>
  <c r="BI127" i="2" s="1"/>
  <c r="BI128" i="2" s="1"/>
  <c r="BI129" i="2" s="1"/>
  <c r="BI130" i="2" s="1"/>
  <c r="BI131" i="2" s="1"/>
  <c r="BI132" i="2" s="1"/>
  <c r="BI133" i="2" s="1"/>
  <c r="BI134" i="2" s="1"/>
  <c r="BI135" i="2" s="1"/>
  <c r="BI136" i="2" s="1"/>
  <c r="BI137" i="2" s="1"/>
  <c r="BI138" i="2" s="1"/>
  <c r="BI139" i="2" s="1"/>
  <c r="BI140" i="2" s="1"/>
  <c r="BI141" i="2" s="1"/>
  <c r="BK103" i="2"/>
  <c r="BK104" i="2" s="1"/>
  <c r="BK105" i="2" s="1"/>
  <c r="BK106" i="2" s="1"/>
  <c r="BK107" i="2" s="1"/>
  <c r="BK108" i="2" s="1"/>
  <c r="BK109" i="2" s="1"/>
  <c r="BK110" i="2" s="1"/>
  <c r="BK111" i="2" s="1"/>
  <c r="BK112" i="2" s="1"/>
  <c r="BK113" i="2" s="1"/>
  <c r="BK114" i="2" s="1"/>
  <c r="BK115" i="2" s="1"/>
  <c r="BK116" i="2" s="1"/>
  <c r="BK117" i="2" s="1"/>
  <c r="BK118" i="2" s="1"/>
  <c r="BK119" i="2" s="1"/>
  <c r="BK120" i="2" s="1"/>
  <c r="BK121" i="2" s="1"/>
  <c r="BK122" i="2" s="1"/>
  <c r="BK123" i="2" s="1"/>
  <c r="BK124" i="2" s="1"/>
  <c r="BK125" i="2" s="1"/>
  <c r="BK126" i="2" s="1"/>
  <c r="BK127" i="2" s="1"/>
  <c r="BK128" i="2" s="1"/>
  <c r="BK129" i="2" s="1"/>
  <c r="BK130" i="2" s="1"/>
  <c r="BK131" i="2" s="1"/>
  <c r="BK132" i="2" s="1"/>
  <c r="BK133" i="2" s="1"/>
  <c r="BK134" i="2" s="1"/>
  <c r="BK135" i="2" s="1"/>
  <c r="BK136" i="2" s="1"/>
  <c r="BK137" i="2" s="1"/>
  <c r="BK138" i="2" s="1"/>
  <c r="BK139" i="2" s="1"/>
  <c r="BK140" i="2" s="1"/>
  <c r="BK141" i="2" s="1"/>
  <c r="L32" i="1"/>
  <c r="D32" i="1"/>
  <c r="BF103" i="2"/>
  <c r="BF104" i="2" s="1"/>
  <c r="BF105" i="2" s="1"/>
  <c r="E6" i="1"/>
  <c r="R6" i="1" s="1"/>
  <c r="BG103" i="2"/>
  <c r="BG104" i="2" s="1"/>
  <c r="BG105" i="2" s="1"/>
  <c r="BG106" i="2" s="1"/>
  <c r="BG107" i="2" s="1"/>
  <c r="BG108" i="2" s="1"/>
  <c r="BG109" i="2" s="1"/>
  <c r="BG110" i="2" s="1"/>
  <c r="BG111" i="2" s="1"/>
  <c r="BG112" i="2" s="1"/>
  <c r="BG113" i="2" s="1"/>
  <c r="BG114" i="2" s="1"/>
  <c r="BG115" i="2" s="1"/>
  <c r="BG116" i="2" s="1"/>
  <c r="BG117" i="2" s="1"/>
  <c r="BG118" i="2" s="1"/>
  <c r="BG119" i="2" s="1"/>
  <c r="BG120" i="2" s="1"/>
  <c r="BG121" i="2" s="1"/>
  <c r="BG122" i="2" s="1"/>
  <c r="BG123" i="2" s="1"/>
  <c r="BG124" i="2" s="1"/>
  <c r="BG125" i="2" s="1"/>
  <c r="BG126" i="2" s="1"/>
  <c r="BG127" i="2" s="1"/>
  <c r="BG128" i="2" s="1"/>
  <c r="BG129" i="2" s="1"/>
  <c r="BG130" i="2" s="1"/>
  <c r="BG131" i="2" s="1"/>
  <c r="BG132" i="2" s="1"/>
  <c r="BG133" i="2" s="1"/>
  <c r="BG134" i="2" s="1"/>
  <c r="BG135" i="2" s="1"/>
  <c r="BG136" i="2" s="1"/>
  <c r="BG137" i="2" s="1"/>
  <c r="BG138" i="2" s="1"/>
  <c r="BG139" i="2" s="1"/>
  <c r="BG140" i="2" s="1"/>
  <c r="BG141" i="2" s="1"/>
  <c r="D6" i="1"/>
  <c r="BE103" i="2"/>
  <c r="BE104" i="2" s="1"/>
  <c r="BE105" i="2" s="1"/>
  <c r="BE106" i="2" s="1"/>
  <c r="BE107" i="2" s="1"/>
  <c r="BE108" i="2" s="1"/>
  <c r="BE109" i="2" s="1"/>
  <c r="BE110" i="2" s="1"/>
  <c r="BE111" i="2" s="1"/>
  <c r="BE112" i="2" s="1"/>
  <c r="BE113" i="2" s="1"/>
  <c r="BE114" i="2" s="1"/>
  <c r="BE115" i="2" s="1"/>
  <c r="BE116" i="2" s="1"/>
  <c r="BE117" i="2" s="1"/>
  <c r="BE118" i="2" s="1"/>
  <c r="BE119" i="2" s="1"/>
  <c r="BE120" i="2" s="1"/>
  <c r="BE121" i="2" s="1"/>
  <c r="BE122" i="2" s="1"/>
  <c r="BE123" i="2" s="1"/>
  <c r="BE124" i="2" s="1"/>
  <c r="BE125" i="2" s="1"/>
  <c r="BE126" i="2" s="1"/>
  <c r="BE127" i="2" s="1"/>
  <c r="BE128" i="2" s="1"/>
  <c r="BE129" i="2" s="1"/>
  <c r="BE130" i="2" s="1"/>
  <c r="BE131" i="2" s="1"/>
  <c r="BE132" i="2" s="1"/>
  <c r="BE133" i="2" s="1"/>
  <c r="BE134" i="2" s="1"/>
  <c r="BE135" i="2" s="1"/>
  <c r="BE136" i="2" s="1"/>
  <c r="BE137" i="2" s="1"/>
  <c r="BE138" i="2" s="1"/>
  <c r="BE139" i="2" s="1"/>
  <c r="BE140" i="2" s="1"/>
  <c r="BE141" i="2" s="1"/>
  <c r="L23" i="1"/>
  <c r="G5" i="2"/>
  <c r="H5" i="2" s="1"/>
  <c r="BF106" i="2"/>
  <c r="BF107" i="2" s="1"/>
  <c r="BF108" i="2" s="1"/>
  <c r="BF109" i="2" s="1"/>
  <c r="BF110" i="2" s="1"/>
  <c r="BF111" i="2" s="1"/>
  <c r="BF112" i="2" s="1"/>
  <c r="BF113" i="2" s="1"/>
  <c r="BF114" i="2" s="1"/>
  <c r="BF115" i="2" s="1"/>
  <c r="BF116" i="2" s="1"/>
  <c r="BF117" i="2" s="1"/>
  <c r="BF118" i="2" s="1"/>
  <c r="BF119" i="2" s="1"/>
  <c r="BF120" i="2" s="1"/>
  <c r="BF121" i="2" s="1"/>
  <c r="BF122" i="2" s="1"/>
  <c r="BF123" i="2" s="1"/>
  <c r="BF124" i="2" s="1"/>
  <c r="BF125" i="2" s="1"/>
  <c r="BF126" i="2" s="1"/>
  <c r="BF127" i="2" s="1"/>
  <c r="BF128" i="2" s="1"/>
  <c r="BF129" i="2" s="1"/>
  <c r="BF130" i="2" s="1"/>
  <c r="BF131" i="2" s="1"/>
  <c r="BF132" i="2" s="1"/>
  <c r="BF133" i="2" s="1"/>
  <c r="BF134" i="2" s="1"/>
  <c r="BF135" i="2" s="1"/>
  <c r="BF136" i="2" s="1"/>
  <c r="BF137" i="2" s="1"/>
  <c r="BF138" i="2" s="1"/>
  <c r="BF139" i="2" s="1"/>
  <c r="BF140" i="2" s="1"/>
  <c r="BF141" i="2" s="1"/>
  <c r="E9" i="1"/>
  <c r="R9" i="1" s="1"/>
  <c r="H6" i="2"/>
  <c r="K46" i="1"/>
  <c r="BH104" i="2"/>
  <c r="BH105" i="2" s="1"/>
  <c r="BH106" i="2" s="1"/>
  <c r="BH107" i="2" s="1"/>
  <c r="BH108" i="2" s="1"/>
  <c r="BH109" i="2" s="1"/>
  <c r="BH110" i="2" s="1"/>
  <c r="BH111" i="2" s="1"/>
  <c r="BH112" i="2" s="1"/>
  <c r="BH113" i="2" s="1"/>
  <c r="BH114" i="2" s="1"/>
  <c r="BH115" i="2" s="1"/>
  <c r="BH116" i="2" s="1"/>
  <c r="BH117" i="2" s="1"/>
  <c r="BH118" i="2" s="1"/>
  <c r="BH119" i="2" s="1"/>
  <c r="BH120" i="2" s="1"/>
  <c r="BH121" i="2" s="1"/>
  <c r="BH122" i="2" s="1"/>
  <c r="BH123" i="2" s="1"/>
  <c r="BH124" i="2" s="1"/>
  <c r="BH125" i="2" s="1"/>
  <c r="BH126" i="2" s="1"/>
  <c r="BH127" i="2" s="1"/>
  <c r="BH128" i="2" s="1"/>
  <c r="BH129" i="2" s="1"/>
  <c r="BH130" i="2" s="1"/>
  <c r="BH131" i="2" s="1"/>
  <c r="BH132" i="2" s="1"/>
  <c r="BH133" i="2" s="1"/>
  <c r="BH134" i="2" s="1"/>
  <c r="BH135" i="2" s="1"/>
  <c r="BH136" i="2" s="1"/>
  <c r="BH137" i="2" s="1"/>
  <c r="BH138" i="2" s="1"/>
  <c r="BH139" i="2" s="1"/>
  <c r="BH140" i="2" s="1"/>
  <c r="BH141" i="2" s="1"/>
  <c r="E7" i="1"/>
  <c r="R7" i="1" s="1"/>
  <c r="I35" i="1"/>
  <c r="F32" i="1"/>
  <c r="I31" i="1"/>
  <c r="H50" i="2"/>
  <c r="L31" i="1"/>
  <c r="D31" i="1"/>
  <c r="E31" i="1"/>
  <c r="R31" i="1" s="1"/>
  <c r="BB125" i="2"/>
  <c r="BB126" i="2" s="1"/>
  <c r="BB127" i="2" s="1"/>
  <c r="BB128" i="2" s="1"/>
  <c r="BB129" i="2" s="1"/>
  <c r="BB130" i="2" s="1"/>
  <c r="BB131" i="2" s="1"/>
  <c r="BB132" i="2" s="1"/>
  <c r="BB133" i="2" s="1"/>
  <c r="BB134" i="2" s="1"/>
  <c r="BB135" i="2" s="1"/>
  <c r="BB136" i="2" s="1"/>
  <c r="BB137" i="2" s="1"/>
  <c r="BB138" i="2" s="1"/>
  <c r="BB139" i="2" s="1"/>
  <c r="BB140" i="2" s="1"/>
  <c r="BB141" i="2" s="1"/>
  <c r="E28" i="1"/>
  <c r="R28" i="1" s="1"/>
  <c r="D26" i="1"/>
  <c r="E26" i="1"/>
  <c r="R26" i="1" s="1"/>
  <c r="I23" i="1"/>
  <c r="E23" i="1"/>
  <c r="R23" i="1" s="1"/>
  <c r="M48" i="1"/>
  <c r="BC118" i="2"/>
  <c r="BC119" i="2" s="1"/>
  <c r="BC120" i="2" s="1"/>
  <c r="BC121" i="2" s="1"/>
  <c r="BC122" i="2" s="1"/>
  <c r="BC123" i="2" s="1"/>
  <c r="BC124" i="2" s="1"/>
  <c r="BC125" i="2" s="1"/>
  <c r="BC126" i="2" s="1"/>
  <c r="BC127" i="2" s="1"/>
  <c r="BC128" i="2" s="1"/>
  <c r="BC129" i="2" s="1"/>
  <c r="BC130" i="2" s="1"/>
  <c r="BC131" i="2" s="1"/>
  <c r="BC132" i="2" s="1"/>
  <c r="BC133" i="2" s="1"/>
  <c r="BC134" i="2" s="1"/>
  <c r="BC135" i="2" s="1"/>
  <c r="BC136" i="2" s="1"/>
  <c r="BC137" i="2" s="1"/>
  <c r="BC138" i="2" s="1"/>
  <c r="BC139" i="2" s="1"/>
  <c r="BC140" i="2" s="1"/>
  <c r="BC141" i="2" s="1"/>
  <c r="E21" i="1"/>
  <c r="R21" i="1" s="1"/>
  <c r="D15" i="1"/>
  <c r="D19" i="1"/>
  <c r="H46" i="1"/>
  <c r="G48" i="1"/>
  <c r="D30" i="1"/>
  <c r="D34" i="1"/>
  <c r="F34" i="1" s="1"/>
  <c r="AZ103" i="2"/>
  <c r="AZ104" i="2" s="1"/>
  <c r="AZ105" i="2" s="1"/>
  <c r="AZ106" i="2" s="1"/>
  <c r="AZ107" i="2" s="1"/>
  <c r="AZ108" i="2" s="1"/>
  <c r="AZ109" i="2" s="1"/>
  <c r="AZ110" i="2" s="1"/>
  <c r="AZ111" i="2" s="1"/>
  <c r="AZ112" i="2" s="1"/>
  <c r="AZ113" i="2" s="1"/>
  <c r="AZ114" i="2" s="1"/>
  <c r="AZ115" i="2" s="1"/>
  <c r="AZ116" i="2" s="1"/>
  <c r="AZ117" i="2" s="1"/>
  <c r="AZ118" i="2" s="1"/>
  <c r="AZ119" i="2" s="1"/>
  <c r="AZ120" i="2" s="1"/>
  <c r="AZ121" i="2" s="1"/>
  <c r="AZ122" i="2" s="1"/>
  <c r="AZ123" i="2" s="1"/>
  <c r="AZ124" i="2" s="1"/>
  <c r="AZ125" i="2" s="1"/>
  <c r="AZ126" i="2" s="1"/>
  <c r="AZ127" i="2" s="1"/>
  <c r="AZ128" i="2" s="1"/>
  <c r="AZ129" i="2" s="1"/>
  <c r="AZ130" i="2" s="1"/>
  <c r="AZ131" i="2" s="1"/>
  <c r="AZ132" i="2" s="1"/>
  <c r="AZ133" i="2" s="1"/>
  <c r="AZ134" i="2" s="1"/>
  <c r="AZ135" i="2" s="1"/>
  <c r="AZ136" i="2" s="1"/>
  <c r="AZ137" i="2" s="1"/>
  <c r="AZ138" i="2" s="1"/>
  <c r="AZ139" i="2" s="1"/>
  <c r="AZ140" i="2" s="1"/>
  <c r="AZ141" i="2" s="1"/>
  <c r="AX103" i="2"/>
  <c r="AX104" i="2" s="1"/>
  <c r="AX105" i="2" s="1"/>
  <c r="AX106" i="2" s="1"/>
  <c r="AX107" i="2" s="1"/>
  <c r="AX108" i="2" s="1"/>
  <c r="AX109" i="2" s="1"/>
  <c r="AX110" i="2" s="1"/>
  <c r="AX111" i="2" s="1"/>
  <c r="AX112" i="2" s="1"/>
  <c r="AX113" i="2" s="1"/>
  <c r="AX114" i="2" s="1"/>
  <c r="AX115" i="2" s="1"/>
  <c r="AX116" i="2" s="1"/>
  <c r="AX117" i="2" s="1"/>
  <c r="AX118" i="2" s="1"/>
  <c r="AX119" i="2" s="1"/>
  <c r="AX120" i="2" s="1"/>
  <c r="AX121" i="2" s="1"/>
  <c r="AX122" i="2" s="1"/>
  <c r="AX123" i="2" s="1"/>
  <c r="AX124" i="2" s="1"/>
  <c r="AX125" i="2" s="1"/>
  <c r="AX126" i="2" s="1"/>
  <c r="AX127" i="2" s="1"/>
  <c r="AX128" i="2" s="1"/>
  <c r="AX129" i="2" s="1"/>
  <c r="AX130" i="2" s="1"/>
  <c r="AX131" i="2" s="1"/>
  <c r="AX132" i="2" s="1"/>
  <c r="AX133" i="2" s="1"/>
  <c r="AX134" i="2" s="1"/>
  <c r="AX135" i="2" s="1"/>
  <c r="AX136" i="2" s="1"/>
  <c r="AX137" i="2" s="1"/>
  <c r="AX138" i="2" s="1"/>
  <c r="AX139" i="2" s="1"/>
  <c r="AX140" i="2" s="1"/>
  <c r="AX141" i="2" s="1"/>
  <c r="I6" i="1"/>
  <c r="AW103" i="2"/>
  <c r="AW104" i="2" s="1"/>
  <c r="AW105" i="2" s="1"/>
  <c r="AW106" i="2" s="1"/>
  <c r="AW107" i="2" s="1"/>
  <c r="AW108" i="2" s="1"/>
  <c r="AW109" i="2" s="1"/>
  <c r="AW110" i="2" s="1"/>
  <c r="AW111" i="2" s="1"/>
  <c r="AW112" i="2" s="1"/>
  <c r="AW113" i="2" s="1"/>
  <c r="AW114" i="2" s="1"/>
  <c r="AW115" i="2" s="1"/>
  <c r="AW116" i="2" s="1"/>
  <c r="AW117" i="2" s="1"/>
  <c r="AW118" i="2" s="1"/>
  <c r="AW119" i="2" s="1"/>
  <c r="AW120" i="2" s="1"/>
  <c r="AW121" i="2" s="1"/>
  <c r="AW122" i="2" s="1"/>
  <c r="AW123" i="2" s="1"/>
  <c r="AW124" i="2" s="1"/>
  <c r="AW125" i="2" s="1"/>
  <c r="AW126" i="2" s="1"/>
  <c r="AW127" i="2" s="1"/>
  <c r="AW128" i="2" s="1"/>
  <c r="AW129" i="2" s="1"/>
  <c r="AW130" i="2" s="1"/>
  <c r="AW131" i="2" s="1"/>
  <c r="AW132" i="2" s="1"/>
  <c r="AW133" i="2" s="1"/>
  <c r="AW134" i="2" s="1"/>
  <c r="AW135" i="2" s="1"/>
  <c r="AW136" i="2" s="1"/>
  <c r="AW137" i="2" s="1"/>
  <c r="AW138" i="2" s="1"/>
  <c r="AW139" i="2" s="1"/>
  <c r="AW140" i="2" s="1"/>
  <c r="AW141" i="2" s="1"/>
  <c r="E12" i="1"/>
  <c r="R12" i="1" s="1"/>
  <c r="D12" i="1"/>
  <c r="E15" i="1"/>
  <c r="R15" i="1" s="1"/>
  <c r="E20" i="1"/>
  <c r="R20" i="1" s="1"/>
  <c r="J48" i="1"/>
  <c r="I28" i="1"/>
  <c r="E27" i="1"/>
  <c r="R27" i="1" s="1"/>
  <c r="L27" i="1"/>
  <c r="G55" i="2"/>
  <c r="L28" i="1"/>
  <c r="D28" i="1"/>
  <c r="F28" i="1" s="1"/>
  <c r="I19" i="1"/>
  <c r="E19" i="1"/>
  <c r="R19" i="1" s="1"/>
  <c r="I27" i="1"/>
  <c r="E25" i="1"/>
  <c r="R25" i="1" s="1"/>
  <c r="D24" i="1"/>
  <c r="BU58" i="2"/>
  <c r="N144" i="2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M59" i="2" s="1"/>
  <c r="BB145" i="2"/>
  <c r="BB146" i="2" s="1"/>
  <c r="BB147" i="2" s="1"/>
  <c r="BB148" i="2" s="1"/>
  <c r="BB149" i="2" s="1"/>
  <c r="BB150" i="2" s="1"/>
  <c r="BB151" i="2" s="1"/>
  <c r="BB152" i="2" s="1"/>
  <c r="BB153" i="2" s="1"/>
  <c r="BB154" i="2" s="1"/>
  <c r="BB155" i="2" s="1"/>
  <c r="BB156" i="2" s="1"/>
  <c r="BB157" i="2" s="1"/>
  <c r="BB158" i="2" s="1"/>
  <c r="BB159" i="2" s="1"/>
  <c r="BB160" i="2" s="1"/>
  <c r="BB161" i="2" s="1"/>
  <c r="BB162" i="2" s="1"/>
  <c r="BB163" i="2" s="1"/>
  <c r="BB164" i="2" s="1"/>
  <c r="BB165" i="2" s="1"/>
  <c r="BB166" i="2" s="1"/>
  <c r="BB167" i="2" s="1"/>
  <c r="BB168" i="2" s="1"/>
  <c r="BB169" i="2" s="1"/>
  <c r="BB170" i="2" s="1"/>
  <c r="BB171" i="2" s="1"/>
  <c r="BB172" i="2" s="1"/>
  <c r="BB173" i="2" s="1"/>
  <c r="BB174" i="2" s="1"/>
  <c r="BB175" i="2" s="1"/>
  <c r="BB176" i="2" s="1"/>
  <c r="BB177" i="2" s="1"/>
  <c r="BB178" i="2" s="1"/>
  <c r="BB179" i="2" s="1"/>
  <c r="BB180" i="2" s="1"/>
  <c r="BB181" i="2" s="1"/>
  <c r="BB182" i="2" s="1"/>
  <c r="BA59" i="2" s="1"/>
  <c r="BJ145" i="2"/>
  <c r="L103" i="2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V145" i="2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U59" i="2" s="1"/>
  <c r="AL145" i="2"/>
  <c r="AL146" i="2" s="1"/>
  <c r="AL147" i="2" s="1"/>
  <c r="AL148" i="2" s="1"/>
  <c r="AL149" i="2" s="1"/>
  <c r="AL150" i="2" s="1"/>
  <c r="AL151" i="2" s="1"/>
  <c r="AL152" i="2" s="1"/>
  <c r="AL153" i="2" s="1"/>
  <c r="AL154" i="2" s="1"/>
  <c r="AL155" i="2" s="1"/>
  <c r="AL156" i="2" s="1"/>
  <c r="AL157" i="2" s="1"/>
  <c r="AL158" i="2" s="1"/>
  <c r="AL159" i="2" s="1"/>
  <c r="AL160" i="2" s="1"/>
  <c r="AL161" i="2" s="1"/>
  <c r="AL162" i="2" s="1"/>
  <c r="AL163" i="2" s="1"/>
  <c r="AL164" i="2" s="1"/>
  <c r="AL165" i="2" s="1"/>
  <c r="AL166" i="2" s="1"/>
  <c r="AL167" i="2" s="1"/>
  <c r="AL168" i="2" s="1"/>
  <c r="AL169" i="2" s="1"/>
  <c r="AL170" i="2" s="1"/>
  <c r="AL171" i="2" s="1"/>
  <c r="AL172" i="2" s="1"/>
  <c r="AL173" i="2" s="1"/>
  <c r="AL174" i="2" s="1"/>
  <c r="AL175" i="2" s="1"/>
  <c r="AL176" i="2" s="1"/>
  <c r="AL177" i="2" s="1"/>
  <c r="AL178" i="2" s="1"/>
  <c r="AL179" i="2" s="1"/>
  <c r="AL180" i="2" s="1"/>
  <c r="AL181" i="2" s="1"/>
  <c r="AL182" i="2" s="1"/>
  <c r="AK59" i="2" s="1"/>
  <c r="X103" i="2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P103" i="2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AH144" i="2"/>
  <c r="AH145" i="2" s="1"/>
  <c r="AH146" i="2" s="1"/>
  <c r="AH147" i="2" s="1"/>
  <c r="AH148" i="2" s="1"/>
  <c r="AH149" i="2" s="1"/>
  <c r="AH150" i="2" s="1"/>
  <c r="AH151" i="2" s="1"/>
  <c r="AH152" i="2" s="1"/>
  <c r="AH153" i="2" s="1"/>
  <c r="AH154" i="2" s="1"/>
  <c r="AH155" i="2" s="1"/>
  <c r="AH156" i="2" s="1"/>
  <c r="AH157" i="2" s="1"/>
  <c r="AH158" i="2" s="1"/>
  <c r="AH159" i="2" s="1"/>
  <c r="AH160" i="2" s="1"/>
  <c r="AH161" i="2" s="1"/>
  <c r="AH162" i="2" s="1"/>
  <c r="AH163" i="2" s="1"/>
  <c r="AH164" i="2" s="1"/>
  <c r="AH165" i="2" s="1"/>
  <c r="AH166" i="2" s="1"/>
  <c r="AH167" i="2" s="1"/>
  <c r="AH168" i="2" s="1"/>
  <c r="AH169" i="2" s="1"/>
  <c r="AH170" i="2" s="1"/>
  <c r="AH171" i="2" s="1"/>
  <c r="AH172" i="2" s="1"/>
  <c r="AH173" i="2" s="1"/>
  <c r="AH174" i="2" s="1"/>
  <c r="AH175" i="2" s="1"/>
  <c r="AH176" i="2" s="1"/>
  <c r="AH177" i="2" s="1"/>
  <c r="AH178" i="2" s="1"/>
  <c r="AH179" i="2" s="1"/>
  <c r="AH180" i="2" s="1"/>
  <c r="AH181" i="2" s="1"/>
  <c r="AH182" i="2" s="1"/>
  <c r="AG59" i="2" s="1"/>
  <c r="BF145" i="2"/>
  <c r="BF146" i="2" s="1"/>
  <c r="BF147" i="2" s="1"/>
  <c r="BF148" i="2" s="1"/>
  <c r="BF149" i="2" s="1"/>
  <c r="BF150" i="2" s="1"/>
  <c r="BF151" i="2" s="1"/>
  <c r="BF152" i="2" s="1"/>
  <c r="BF153" i="2" s="1"/>
  <c r="BF154" i="2" s="1"/>
  <c r="BF155" i="2" s="1"/>
  <c r="BF156" i="2" s="1"/>
  <c r="BF157" i="2" s="1"/>
  <c r="BF158" i="2" s="1"/>
  <c r="BF159" i="2" s="1"/>
  <c r="BF160" i="2" s="1"/>
  <c r="BF161" i="2" s="1"/>
  <c r="BF162" i="2" s="1"/>
  <c r="BF163" i="2" s="1"/>
  <c r="BF164" i="2" s="1"/>
  <c r="BF165" i="2" s="1"/>
  <c r="BF166" i="2" s="1"/>
  <c r="BF167" i="2" s="1"/>
  <c r="BF168" i="2" s="1"/>
  <c r="BF169" i="2" s="1"/>
  <c r="BF170" i="2" s="1"/>
  <c r="BF171" i="2" s="1"/>
  <c r="BF172" i="2" s="1"/>
  <c r="BF173" i="2" s="1"/>
  <c r="BF174" i="2" s="1"/>
  <c r="BF175" i="2" s="1"/>
  <c r="BF176" i="2" s="1"/>
  <c r="BF177" i="2" s="1"/>
  <c r="BF178" i="2" s="1"/>
  <c r="BF179" i="2" s="1"/>
  <c r="BF180" i="2" s="1"/>
  <c r="BF181" i="2" s="1"/>
  <c r="BF182" i="2" s="1"/>
  <c r="BE59" i="2" s="1"/>
  <c r="K103" i="2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J146" i="2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I59" i="2" s="1"/>
  <c r="R145" i="2"/>
  <c r="R146" i="2" s="1"/>
  <c r="R147" i="2" s="1"/>
  <c r="R148" i="2" s="1"/>
  <c r="R149" i="2" s="1"/>
  <c r="R150" i="2" s="1"/>
  <c r="R151" i="2" s="1"/>
  <c r="R152" i="2" s="1"/>
  <c r="R153" i="2" s="1"/>
  <c r="R154" i="2" s="1"/>
  <c r="R155" i="2" s="1"/>
  <c r="R156" i="2" s="1"/>
  <c r="R157" i="2" s="1"/>
  <c r="R158" i="2" s="1"/>
  <c r="R159" i="2" s="1"/>
  <c r="R160" i="2" s="1"/>
  <c r="R161" i="2" s="1"/>
  <c r="R162" i="2" s="1"/>
  <c r="R163" i="2" s="1"/>
  <c r="R164" i="2" s="1"/>
  <c r="R165" i="2" s="1"/>
  <c r="R166" i="2" s="1"/>
  <c r="R167" i="2" s="1"/>
  <c r="R168" i="2" s="1"/>
  <c r="R169" i="2" s="1"/>
  <c r="R170" i="2" s="1"/>
  <c r="R171" i="2" s="1"/>
  <c r="R172" i="2" s="1"/>
  <c r="R173" i="2" s="1"/>
  <c r="R174" i="2" s="1"/>
  <c r="R175" i="2" s="1"/>
  <c r="R176" i="2" s="1"/>
  <c r="R177" i="2" s="1"/>
  <c r="R178" i="2" s="1"/>
  <c r="R179" i="2" s="1"/>
  <c r="R180" i="2" s="1"/>
  <c r="R181" i="2" s="1"/>
  <c r="R182" i="2" s="1"/>
  <c r="Q59" i="2" s="1"/>
  <c r="AT144" i="2"/>
  <c r="AT145" i="2" s="1"/>
  <c r="AT146" i="2" s="1"/>
  <c r="AT147" i="2" s="1"/>
  <c r="AT148" i="2" s="1"/>
  <c r="AT149" i="2" s="1"/>
  <c r="AT150" i="2" s="1"/>
  <c r="AT151" i="2" s="1"/>
  <c r="AT152" i="2" s="1"/>
  <c r="AT153" i="2" s="1"/>
  <c r="AT154" i="2" s="1"/>
  <c r="AT155" i="2" s="1"/>
  <c r="AT156" i="2" s="1"/>
  <c r="AT157" i="2" s="1"/>
  <c r="AT158" i="2" s="1"/>
  <c r="AT159" i="2" s="1"/>
  <c r="AT160" i="2" s="1"/>
  <c r="AT161" i="2" s="1"/>
  <c r="AT162" i="2" s="1"/>
  <c r="AT163" i="2" s="1"/>
  <c r="AT164" i="2" s="1"/>
  <c r="AT165" i="2" s="1"/>
  <c r="AT166" i="2" s="1"/>
  <c r="AT167" i="2" s="1"/>
  <c r="AT168" i="2" s="1"/>
  <c r="AT169" i="2" s="1"/>
  <c r="AT170" i="2" s="1"/>
  <c r="AT171" i="2" s="1"/>
  <c r="AT172" i="2" s="1"/>
  <c r="AT173" i="2" s="1"/>
  <c r="AT174" i="2" s="1"/>
  <c r="AT175" i="2" s="1"/>
  <c r="AT176" i="2" s="1"/>
  <c r="AT177" i="2" s="1"/>
  <c r="AT178" i="2" s="1"/>
  <c r="AT179" i="2" s="1"/>
  <c r="AT180" i="2" s="1"/>
  <c r="AT181" i="2" s="1"/>
  <c r="AT182" i="2" s="1"/>
  <c r="AS59" i="2" s="1"/>
  <c r="BU59" i="2"/>
  <c r="I5" i="1"/>
  <c r="E5" i="1"/>
  <c r="G50" i="2"/>
  <c r="L5" i="1"/>
  <c r="D5" i="1"/>
  <c r="D7" i="1"/>
  <c r="D9" i="1"/>
  <c r="D11" i="1"/>
  <c r="F11" i="1" s="1"/>
  <c r="D13" i="1"/>
  <c r="F13" i="1" s="1"/>
  <c r="D16" i="1"/>
  <c r="F16" i="1" s="1"/>
  <c r="D18" i="1"/>
  <c r="F18" i="1" s="1"/>
  <c r="D20" i="1"/>
  <c r="D21" i="1"/>
  <c r="D23" i="1"/>
  <c r="D25" i="1"/>
  <c r="AD145" i="2"/>
  <c r="AX147" i="2"/>
  <c r="AX148" i="2" s="1"/>
  <c r="AX149" i="2" s="1"/>
  <c r="AX150" i="2" s="1"/>
  <c r="AX151" i="2" s="1"/>
  <c r="AX152" i="2" s="1"/>
  <c r="AX153" i="2" s="1"/>
  <c r="AX154" i="2" s="1"/>
  <c r="AX155" i="2" s="1"/>
  <c r="AX156" i="2" s="1"/>
  <c r="AX157" i="2" s="1"/>
  <c r="AX158" i="2" s="1"/>
  <c r="AX159" i="2" s="1"/>
  <c r="AX160" i="2" s="1"/>
  <c r="AX161" i="2" s="1"/>
  <c r="AX162" i="2" s="1"/>
  <c r="AX163" i="2" s="1"/>
  <c r="AX164" i="2" s="1"/>
  <c r="AX165" i="2" s="1"/>
  <c r="AX166" i="2" s="1"/>
  <c r="AX167" i="2" s="1"/>
  <c r="AX168" i="2" s="1"/>
  <c r="AX169" i="2" s="1"/>
  <c r="AX170" i="2" s="1"/>
  <c r="AX171" i="2" s="1"/>
  <c r="AX172" i="2" s="1"/>
  <c r="AX173" i="2" s="1"/>
  <c r="AX174" i="2" s="1"/>
  <c r="AX175" i="2" s="1"/>
  <c r="AX176" i="2" s="1"/>
  <c r="AX177" i="2" s="1"/>
  <c r="AX178" i="2" s="1"/>
  <c r="AX179" i="2" s="1"/>
  <c r="AX180" i="2" s="1"/>
  <c r="AX181" i="2" s="1"/>
  <c r="AX182" i="2" s="1"/>
  <c r="AW59" i="2" s="1"/>
  <c r="BM59" i="2"/>
  <c r="BQ59" i="2"/>
  <c r="AD146" i="2"/>
  <c r="AD147" i="2" s="1"/>
  <c r="AD148" i="2" s="1"/>
  <c r="AD149" i="2" s="1"/>
  <c r="AD150" i="2" s="1"/>
  <c r="AD151" i="2" s="1"/>
  <c r="AD152" i="2" s="1"/>
  <c r="AD153" i="2" s="1"/>
  <c r="AD154" i="2" s="1"/>
  <c r="AD155" i="2" s="1"/>
  <c r="AD156" i="2" s="1"/>
  <c r="AD157" i="2" s="1"/>
  <c r="AD158" i="2" s="1"/>
  <c r="AD159" i="2" s="1"/>
  <c r="AD160" i="2" s="1"/>
  <c r="AD161" i="2" s="1"/>
  <c r="AD162" i="2" s="1"/>
  <c r="AD163" i="2" s="1"/>
  <c r="AD164" i="2" s="1"/>
  <c r="AD165" i="2" s="1"/>
  <c r="AD166" i="2" s="1"/>
  <c r="AD167" i="2" s="1"/>
  <c r="AD168" i="2" s="1"/>
  <c r="AD169" i="2" s="1"/>
  <c r="AD170" i="2" s="1"/>
  <c r="AD171" i="2" s="1"/>
  <c r="AD172" i="2" s="1"/>
  <c r="AD173" i="2" s="1"/>
  <c r="AD174" i="2" s="1"/>
  <c r="AD175" i="2" s="1"/>
  <c r="AD176" i="2" s="1"/>
  <c r="AD177" i="2" s="1"/>
  <c r="AD178" i="2" s="1"/>
  <c r="AD179" i="2" s="1"/>
  <c r="AD180" i="2" s="1"/>
  <c r="AD181" i="2" s="1"/>
  <c r="AD182" i="2" s="1"/>
  <c r="AC59" i="2" s="1"/>
  <c r="AP147" i="2"/>
  <c r="AP148" i="2" s="1"/>
  <c r="AP149" i="2" s="1"/>
  <c r="AP150" i="2" s="1"/>
  <c r="AP151" i="2" s="1"/>
  <c r="AP152" i="2" s="1"/>
  <c r="AP153" i="2" s="1"/>
  <c r="AP154" i="2" s="1"/>
  <c r="AP155" i="2" s="1"/>
  <c r="AP156" i="2" s="1"/>
  <c r="AP157" i="2" s="1"/>
  <c r="AP158" i="2" s="1"/>
  <c r="AP159" i="2" s="1"/>
  <c r="AP160" i="2" s="1"/>
  <c r="AP161" i="2" s="1"/>
  <c r="AP162" i="2" s="1"/>
  <c r="AP163" i="2" s="1"/>
  <c r="AP164" i="2" s="1"/>
  <c r="AP165" i="2" s="1"/>
  <c r="AP166" i="2" s="1"/>
  <c r="AP167" i="2" s="1"/>
  <c r="AP168" i="2" s="1"/>
  <c r="AP169" i="2" s="1"/>
  <c r="AP170" i="2" s="1"/>
  <c r="AP171" i="2" s="1"/>
  <c r="AP172" i="2" s="1"/>
  <c r="AP173" i="2" s="1"/>
  <c r="AP174" i="2" s="1"/>
  <c r="AP175" i="2" s="1"/>
  <c r="AP176" i="2" s="1"/>
  <c r="AP177" i="2" s="1"/>
  <c r="AP178" i="2" s="1"/>
  <c r="AP179" i="2" s="1"/>
  <c r="AP180" i="2" s="1"/>
  <c r="AP181" i="2" s="1"/>
  <c r="AP182" i="2" s="1"/>
  <c r="AO59" i="2" s="1"/>
  <c r="BJ146" i="2"/>
  <c r="BJ147" i="2" s="1"/>
  <c r="BJ148" i="2" s="1"/>
  <c r="BJ149" i="2" s="1"/>
  <c r="BJ150" i="2" s="1"/>
  <c r="BJ151" i="2" s="1"/>
  <c r="BJ152" i="2" s="1"/>
  <c r="BJ153" i="2" s="1"/>
  <c r="BJ154" i="2" s="1"/>
  <c r="BJ155" i="2" s="1"/>
  <c r="BJ156" i="2" s="1"/>
  <c r="BJ157" i="2" s="1"/>
  <c r="BJ158" i="2" s="1"/>
  <c r="BJ159" i="2" s="1"/>
  <c r="BJ160" i="2" s="1"/>
  <c r="BJ161" i="2" s="1"/>
  <c r="BJ162" i="2" s="1"/>
  <c r="BJ163" i="2" s="1"/>
  <c r="BJ164" i="2" s="1"/>
  <c r="BJ165" i="2" s="1"/>
  <c r="BJ166" i="2" s="1"/>
  <c r="BJ167" i="2" s="1"/>
  <c r="BJ168" i="2" s="1"/>
  <c r="BJ169" i="2" s="1"/>
  <c r="BJ170" i="2" s="1"/>
  <c r="BJ171" i="2" s="1"/>
  <c r="BJ172" i="2" s="1"/>
  <c r="BJ173" i="2" s="1"/>
  <c r="BJ174" i="2" s="1"/>
  <c r="BJ175" i="2" s="1"/>
  <c r="BJ176" i="2" s="1"/>
  <c r="BJ177" i="2" s="1"/>
  <c r="BJ178" i="2" s="1"/>
  <c r="BJ179" i="2" s="1"/>
  <c r="BJ180" i="2" s="1"/>
  <c r="BJ181" i="2" s="1"/>
  <c r="BJ182" i="2" s="1"/>
  <c r="BI59" i="2" s="1"/>
  <c r="BY59" i="2"/>
  <c r="Z145" i="2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Y59" i="2" s="1"/>
  <c r="CC59" i="2"/>
  <c r="W127" i="2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AE127" i="2"/>
  <c r="AE128" i="2" s="1"/>
  <c r="AE129" i="2" s="1"/>
  <c r="AE130" i="2" s="1"/>
  <c r="AE131" i="2" s="1"/>
  <c r="AE132" i="2" s="1"/>
  <c r="AE133" i="2" s="1"/>
  <c r="AE134" i="2" s="1"/>
  <c r="AE135" i="2" s="1"/>
  <c r="AE136" i="2" s="1"/>
  <c r="AE137" i="2" s="1"/>
  <c r="AE138" i="2" s="1"/>
  <c r="AE139" i="2" s="1"/>
  <c r="AE140" i="2" s="1"/>
  <c r="AE141" i="2" s="1"/>
  <c r="AM127" i="2"/>
  <c r="AM128" i="2" s="1"/>
  <c r="AM129" i="2" s="1"/>
  <c r="AM130" i="2" s="1"/>
  <c r="AM131" i="2" s="1"/>
  <c r="AM132" i="2" s="1"/>
  <c r="AM133" i="2" s="1"/>
  <c r="AM134" i="2" s="1"/>
  <c r="AM135" i="2" s="1"/>
  <c r="AM136" i="2" s="1"/>
  <c r="AM137" i="2" s="1"/>
  <c r="AM138" i="2" s="1"/>
  <c r="AM139" i="2" s="1"/>
  <c r="AM140" i="2" s="1"/>
  <c r="AM141" i="2" s="1"/>
  <c r="AQ127" i="2"/>
  <c r="AQ128" i="2" s="1"/>
  <c r="AQ129" i="2" s="1"/>
  <c r="AQ130" i="2" s="1"/>
  <c r="AQ131" i="2" s="1"/>
  <c r="AQ132" i="2" s="1"/>
  <c r="AQ133" i="2" s="1"/>
  <c r="AQ134" i="2" s="1"/>
  <c r="AQ135" i="2" s="1"/>
  <c r="AQ136" i="2" s="1"/>
  <c r="AQ137" i="2" s="1"/>
  <c r="AQ138" i="2" s="1"/>
  <c r="AQ139" i="2" s="1"/>
  <c r="AQ140" i="2" s="1"/>
  <c r="AQ141" i="2" s="1"/>
  <c r="AO58" i="2" s="1"/>
  <c r="AU127" i="2"/>
  <c r="AU128" i="2" s="1"/>
  <c r="AU129" i="2" s="1"/>
  <c r="AU130" i="2" s="1"/>
  <c r="AU131" i="2" s="1"/>
  <c r="AU132" i="2" s="1"/>
  <c r="AU133" i="2" s="1"/>
  <c r="AU134" i="2" s="1"/>
  <c r="AU135" i="2" s="1"/>
  <c r="AU136" i="2" s="1"/>
  <c r="AU137" i="2" s="1"/>
  <c r="AU138" i="2" s="1"/>
  <c r="AU139" i="2" s="1"/>
  <c r="AU140" i="2" s="1"/>
  <c r="AU141" i="2" s="1"/>
  <c r="AS58" i="2" s="1"/>
  <c r="AY127" i="2"/>
  <c r="AY128" i="2" s="1"/>
  <c r="AY129" i="2" s="1"/>
  <c r="AY130" i="2" s="1"/>
  <c r="AY131" i="2" s="1"/>
  <c r="AY132" i="2" s="1"/>
  <c r="AY133" i="2" s="1"/>
  <c r="AY134" i="2" s="1"/>
  <c r="AY135" i="2" s="1"/>
  <c r="AY136" i="2" s="1"/>
  <c r="AY137" i="2" s="1"/>
  <c r="AY138" i="2" s="1"/>
  <c r="AY139" i="2" s="1"/>
  <c r="AY140" i="2" s="1"/>
  <c r="AY141" i="2" s="1"/>
  <c r="BY58" i="2"/>
  <c r="CC58" i="2"/>
  <c r="AC127" i="2"/>
  <c r="AC128" i="2" s="1"/>
  <c r="AC129" i="2" s="1"/>
  <c r="AC130" i="2" s="1"/>
  <c r="AC131" i="2" s="1"/>
  <c r="AC132" i="2" s="1"/>
  <c r="AC133" i="2" s="1"/>
  <c r="AC134" i="2" s="1"/>
  <c r="AC135" i="2" s="1"/>
  <c r="AC136" i="2" s="1"/>
  <c r="AC137" i="2" s="1"/>
  <c r="AC138" i="2" s="1"/>
  <c r="AC139" i="2" s="1"/>
  <c r="AC140" i="2" s="1"/>
  <c r="AC141" i="2" s="1"/>
  <c r="AG127" i="2"/>
  <c r="AG128" i="2" s="1"/>
  <c r="AG129" i="2" s="1"/>
  <c r="AG130" i="2" s="1"/>
  <c r="AG131" i="2" s="1"/>
  <c r="AG132" i="2" s="1"/>
  <c r="AG133" i="2" s="1"/>
  <c r="AG134" i="2" s="1"/>
  <c r="AG135" i="2" s="1"/>
  <c r="AG136" i="2" s="1"/>
  <c r="AG137" i="2" s="1"/>
  <c r="AG138" i="2" s="1"/>
  <c r="AG139" i="2" s="1"/>
  <c r="AG140" i="2" s="1"/>
  <c r="AG141" i="2" s="1"/>
  <c r="AG58" i="2" s="1"/>
  <c r="AK127" i="2"/>
  <c r="AK128" i="2" s="1"/>
  <c r="AK129" i="2" s="1"/>
  <c r="AK130" i="2" s="1"/>
  <c r="AK131" i="2" s="1"/>
  <c r="AK132" i="2" s="1"/>
  <c r="AK133" i="2" s="1"/>
  <c r="AK134" i="2" s="1"/>
  <c r="AK135" i="2" s="1"/>
  <c r="AK136" i="2" s="1"/>
  <c r="AK137" i="2" s="1"/>
  <c r="AK138" i="2" s="1"/>
  <c r="AK139" i="2" s="1"/>
  <c r="AK140" i="2" s="1"/>
  <c r="AK141" i="2" s="1"/>
  <c r="Q58" i="2"/>
  <c r="BQ58" i="2"/>
  <c r="Y58" i="2"/>
  <c r="M58" i="2"/>
  <c r="U58" i="2" l="1"/>
  <c r="I58" i="2"/>
  <c r="F36" i="1"/>
  <c r="F30" i="1"/>
  <c r="F9" i="1"/>
  <c r="F24" i="1"/>
  <c r="F21" i="1"/>
  <c r="F29" i="1"/>
  <c r="F35" i="1"/>
  <c r="F44" i="1"/>
  <c r="D52" i="1"/>
  <c r="F15" i="1"/>
  <c r="F22" i="1"/>
  <c r="F25" i="1"/>
  <c r="F33" i="1"/>
  <c r="F19" i="1"/>
  <c r="F10" i="1"/>
  <c r="BM58" i="2"/>
  <c r="F6" i="1"/>
  <c r="F31" i="1"/>
  <c r="F23" i="1"/>
  <c r="BI58" i="2"/>
  <c r="BE58" i="2"/>
  <c r="F12" i="1"/>
  <c r="D49" i="1"/>
  <c r="BA58" i="2"/>
  <c r="F26" i="1"/>
  <c r="F20" i="1"/>
  <c r="F27" i="1"/>
  <c r="E46" i="1"/>
  <c r="AC58" i="2"/>
  <c r="AW58" i="2"/>
  <c r="AK58" i="2"/>
  <c r="F5" i="1"/>
  <c r="R5" i="1"/>
  <c r="F7" i="1"/>
  <c r="D48" i="1"/>
  <c r="E49" i="1" l="1"/>
  <c r="E50" i="1"/>
</calcChain>
</file>

<file path=xl/sharedStrings.xml><?xml version="1.0" encoding="utf-8"?>
<sst xmlns="http://schemas.openxmlformats.org/spreadsheetml/2006/main" count="540" uniqueCount="130">
  <si>
    <t>League</t>
  </si>
  <si>
    <t>Flags</t>
  </si>
  <si>
    <t>Friendly</t>
  </si>
  <si>
    <t>No.</t>
  </si>
  <si>
    <t>Name</t>
  </si>
  <si>
    <t>Position</t>
  </si>
  <si>
    <t>Apps</t>
  </si>
  <si>
    <t>Goals</t>
  </si>
  <si>
    <t>Avg</t>
  </si>
  <si>
    <t>Midfield/FO</t>
  </si>
  <si>
    <t>Defence</t>
  </si>
  <si>
    <t>Attack</t>
  </si>
  <si>
    <t>Midfield</t>
  </si>
  <si>
    <t>Total</t>
  </si>
  <si>
    <t>This</t>
  </si>
  <si>
    <t>Sum league/fl</t>
  </si>
  <si>
    <t>Stats</t>
  </si>
  <si>
    <t>A.N.Other</t>
  </si>
  <si>
    <t xml:space="preserve"> </t>
  </si>
  <si>
    <t>fudge</t>
  </si>
  <si>
    <t>fudge-flags</t>
  </si>
  <si>
    <t>Date</t>
  </si>
  <si>
    <t>Team</t>
  </si>
  <si>
    <t>Venue</t>
  </si>
  <si>
    <t>Competition</t>
  </si>
  <si>
    <t>For</t>
  </si>
  <si>
    <t>Against</t>
  </si>
  <si>
    <t>Played</t>
  </si>
  <si>
    <t>Team size</t>
  </si>
  <si>
    <t>Diff</t>
  </si>
  <si>
    <t>G</t>
  </si>
  <si>
    <t>Away</t>
  </si>
  <si>
    <t>A</t>
  </si>
  <si>
    <t>P</t>
  </si>
  <si>
    <t>Assts</t>
  </si>
  <si>
    <t>Referee</t>
  </si>
  <si>
    <t>R</t>
  </si>
  <si>
    <t>END</t>
  </si>
  <si>
    <t>Team list:</t>
  </si>
  <si>
    <t>Work area:</t>
  </si>
  <si>
    <t>Ref:</t>
  </si>
  <si>
    <t>Games</t>
  </si>
  <si>
    <t>Quarters</t>
  </si>
  <si>
    <t>Referees:</t>
  </si>
  <si>
    <t>Columns: Position (GDMA), Goals, Assists, Referee-quarters</t>
  </si>
  <si>
    <t>Non-team ref(s):</t>
  </si>
  <si>
    <t>Home</t>
  </si>
  <si>
    <t>D</t>
  </si>
  <si>
    <t>Goal</t>
  </si>
  <si>
    <t>M</t>
  </si>
  <si>
    <t>Own Goal</t>
  </si>
  <si>
    <t>Hillcroft B</t>
  </si>
  <si>
    <t>Spencer 2</t>
  </si>
  <si>
    <t>Maidstone</t>
  </si>
  <si>
    <t>Hillcroft A</t>
  </si>
  <si>
    <t>East1</t>
  </si>
  <si>
    <t>Justin</t>
  </si>
  <si>
    <t>Baranowski</t>
  </si>
  <si>
    <t>Sam</t>
  </si>
  <si>
    <t>Dave</t>
  </si>
  <si>
    <t>Berman</t>
  </si>
  <si>
    <t>Andy</t>
  </si>
  <si>
    <t>Booth</t>
  </si>
  <si>
    <t>Billy</t>
  </si>
  <si>
    <t>Camuso</t>
  </si>
  <si>
    <t>David</t>
  </si>
  <si>
    <t>Copple</t>
  </si>
  <si>
    <t>Eddie</t>
  </si>
  <si>
    <t>Dale</t>
  </si>
  <si>
    <t>Eugene</t>
  </si>
  <si>
    <t>Fung</t>
  </si>
  <si>
    <t>Ben</t>
  </si>
  <si>
    <t>Iremonger</t>
  </si>
  <si>
    <t>Myles</t>
  </si>
  <si>
    <t>Matt</t>
  </si>
  <si>
    <t>Payne</t>
  </si>
  <si>
    <t>Richard</t>
  </si>
  <si>
    <t>Pearse</t>
  </si>
  <si>
    <t>Eliot</t>
  </si>
  <si>
    <t>Pugh</t>
  </si>
  <si>
    <t>Slaughter</t>
  </si>
  <si>
    <t>Kieran</t>
  </si>
  <si>
    <t>Sutname</t>
  </si>
  <si>
    <t>Int Flags</t>
  </si>
  <si>
    <t>Johnstone</t>
  </si>
  <si>
    <t>Luke</t>
  </si>
  <si>
    <t>Jacob</t>
  </si>
  <si>
    <t>Thorne</t>
  </si>
  <si>
    <t>Mark</t>
  </si>
  <si>
    <t xml:space="preserve">M </t>
  </si>
  <si>
    <t>John Hubbard, Greg Irwin</t>
  </si>
  <si>
    <t>Spencer 3</t>
  </si>
  <si>
    <t>Epsom</t>
  </si>
  <si>
    <t>EG</t>
  </si>
  <si>
    <t>Oxford Uni</t>
  </si>
  <si>
    <t>Welwyn 2</t>
  </si>
  <si>
    <t>Mike</t>
  </si>
  <si>
    <t>Barratt</t>
  </si>
  <si>
    <t>Twose</t>
  </si>
  <si>
    <t>Will</t>
  </si>
  <si>
    <t>Duval</t>
  </si>
  <si>
    <t>Peter Compton</t>
  </si>
  <si>
    <t>Lygon</t>
  </si>
  <si>
    <t>Bowen-west</t>
  </si>
  <si>
    <t>Charlie</t>
  </si>
  <si>
    <t>Merry</t>
  </si>
  <si>
    <t>Lorenzo</t>
  </si>
  <si>
    <t>Balzarini</t>
  </si>
  <si>
    <t>Conor</t>
  </si>
  <si>
    <t>Mills</t>
  </si>
  <si>
    <t>Hall</t>
  </si>
  <si>
    <t>Joe Burnett+1</t>
  </si>
  <si>
    <t>Hazel Wisby  +1</t>
  </si>
  <si>
    <t>Lucas</t>
  </si>
  <si>
    <t>Simon Peach</t>
  </si>
  <si>
    <t>Lewis</t>
  </si>
  <si>
    <t>Blackshaw</t>
  </si>
  <si>
    <t>Reed</t>
  </si>
  <si>
    <t>Anning</t>
  </si>
  <si>
    <t>Jordan</t>
  </si>
  <si>
    <t>Guest</t>
  </si>
  <si>
    <t>Brian Kilby (Welwyn)</t>
  </si>
  <si>
    <t>Debbie Field</t>
  </si>
  <si>
    <t>Hallows</t>
  </si>
  <si>
    <t>Kershaw</t>
  </si>
  <si>
    <t>Ben Jessup</t>
  </si>
  <si>
    <t>Abandoned</t>
  </si>
  <si>
    <t>P-P</t>
  </si>
  <si>
    <t>Hudson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</si>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</sst>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"/>
    <numFmt numFmtId="165" formatCode="dd/mm/yy;@"/>
  </numFmts>
  <fonts count="13">
    <font>
      <sz val="10"/>
      <name val="Tahoma"/>
      <family val="2"/>
    </font>
    <font>
      <sz val="10"/>
      <name val="Arial"/>
      <family val="2"/>
      <charset val="1"/>
    </font>
    <font>
      <b/>
      <sz val="10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0"/>
      <color indexed="8"/>
      <name val="Lucida Sans Unicode"/>
      <family val="2"/>
    </font>
    <font>
      <sz val="8"/>
      <name val="Tahoma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</font>
    <font>
      <sz val="10"/>
      <color rgb="FF000000"/>
      <name val="'Arial'"/>
    </font>
    <font>
      <sz val="10"/>
      <color rgb="FF010000"/>
      <name val="Arial"/>
    </font>
    <font>
      <sz val="10"/>
      <name val="Arial"/>
    </font>
    <font>
      <sz val="10"/>
      <color rgb="FF010000"/>
      <name val="'Arial'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0" fontId="1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 applyAlignment="1">
      <alignment horizontal="center" wrapText="1"/>
    </xf>
    <xf numFmtId="0" fontId="0" fillId="0" borderId="0" xfId="0" applyFont="1"/>
    <xf numFmtId="0" fontId="3" fillId="0" borderId="0" xfId="0" applyNumberFormat="1" applyFont="1" applyAlignment="1">
      <alignment horizontal="right" wrapText="1"/>
    </xf>
    <xf numFmtId="164" fontId="1" fillId="0" borderId="0" xfId="0" applyNumberFormat="1" applyFont="1"/>
    <xf numFmtId="0" fontId="3" fillId="0" borderId="0" xfId="0" applyFont="1" applyAlignment="1">
      <alignment horizontal="centerContinuous"/>
    </xf>
    <xf numFmtId="165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165" fontId="0" fillId="0" borderId="1" xfId="0" applyNumberForma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3" fillId="0" borderId="1" xfId="0" applyFont="1" applyBorder="1"/>
    <xf numFmtId="0" fontId="0" fillId="0" borderId="1" xfId="0" applyFont="1" applyBorder="1"/>
    <xf numFmtId="2" fontId="4" fillId="0" borderId="1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2" fontId="2" fillId="0" borderId="3" xfId="0" applyNumberFormat="1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Border="1"/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164" fontId="3" fillId="0" borderId="3" xfId="0" applyNumberFormat="1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0" xfId="0" applyFont="1"/>
    <xf numFmtId="0" fontId="3" fillId="0" borderId="0" xfId="0" applyNumberFormat="1" applyFont="1"/>
    <xf numFmtId="0" fontId="3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6" fillId="0" borderId="0" xfId="0" applyFont="1" applyAlignment="1">
      <alignment horizontal="center"/>
    </xf>
    <xf numFmtId="49" fontId="1" fillId="0" borderId="0" xfId="0" applyNumberFormat="1" applyFon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0" fontId="3" fillId="0" borderId="0" xfId="0" applyNumberFormat="1" applyFont="1" applyBorder="1"/>
    <xf numFmtId="0" fontId="7" fillId="0" borderId="0" xfId="0" applyNumberFormat="1" applyFont="1" applyBorder="1"/>
    <xf numFmtId="0" fontId="3" fillId="0" borderId="0" xfId="0" applyNumberFormat="1" applyFont="1" applyBorder="1" applyAlignment="1">
      <alignment wrapText="1"/>
    </xf>
    <xf numFmtId="0" fontId="4" fillId="0" borderId="0" xfId="0" applyFont="1" applyAlignment="1"/>
    <xf numFmtId="2" fontId="1" fillId="0" borderId="0" xfId="0" applyNumberFormat="1" applyFont="1"/>
    <xf numFmtId="0" fontId="3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164" fontId="3" fillId="0" borderId="0" xfId="0" applyNumberFormat="1" applyFont="1" applyBorder="1" applyAlignment="1">
      <alignment wrapText="1"/>
    </xf>
    <xf numFmtId="0" fontId="7" fillId="0" borderId="2" xfId="0" applyFont="1" applyBorder="1"/>
    <xf numFmtId="0" fontId="3" fillId="0" borderId="4" xfId="0" applyFont="1" applyBorder="1"/>
    <xf numFmtId="0" fontId="8" fillId="0" borderId="0" xfId="1" applyFont="1"/>
    <xf numFmtId="0" fontId="8" fillId="0" borderId="0" xfId="1" applyFont="1" applyAlignment="1"/>
    <xf numFmtId="0" fontId="9" fillId="0" borderId="0" xfId="1" applyFont="1" applyAlignment="1">
      <alignment wrapText="1"/>
    </xf>
    <xf numFmtId="0" fontId="10" fillId="0" borderId="0" xfId="1" applyFont="1"/>
    <xf numFmtId="0" fontId="0" fillId="0" borderId="5" xfId="0" applyBorder="1" applyAlignment="1">
      <alignment horizontal="centerContinuous"/>
    </xf>
    <xf numFmtId="0" fontId="8" fillId="0" borderId="0" xfId="1" applyFont="1" applyAlignment="1">
      <alignment wrapText="1"/>
    </xf>
    <xf numFmtId="0" fontId="9" fillId="0" borderId="0" xfId="1" applyFont="1" applyAlignment="1">
      <alignment wrapText="1"/>
    </xf>
    <xf numFmtId="0" fontId="10" fillId="0" borderId="0" xfId="1" applyFont="1"/>
    <xf numFmtId="0" fontId="10" fillId="0" borderId="0" xfId="1" applyFont="1" applyAlignment="1">
      <alignment horizontal="center"/>
    </xf>
    <xf numFmtId="0" fontId="10" fillId="0" borderId="0" xfId="1" applyFont="1" applyAlignment="1"/>
    <xf numFmtId="0" fontId="11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0" fillId="0" borderId="6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0" xfId="0" applyBorder="1" applyAlignment="1">
      <alignment horizontal="centerContinuous"/>
    </xf>
    <xf numFmtId="165" fontId="0" fillId="0" borderId="0" xfId="0" applyNumberForma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0" fillId="0" borderId="0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J183"/>
  <sheetViews>
    <sheetView tabSelected="1" zoomScaleNormal="100" workbookViewId="0">
      <pane xSplit="3" ySplit="2" topLeftCell="E3" activePane="bottomRight" state="frozen"/>
      <selection activeCell="B23" sqref="B23"/>
      <selection pane="topRight" activeCell="B23" sqref="B23"/>
      <selection pane="bottomLeft" activeCell="B23" sqref="B23"/>
      <selection pane="bottomRight" activeCell="F35" sqref="F35"/>
    </sheetView>
  </sheetViews>
  <sheetFormatPr defaultColWidth="11.7109375" defaultRowHeight="12.75"/>
  <cols>
    <col min="1" max="1" width="4.7109375" style="8" customWidth="1"/>
    <col min="2" max="2" width="8.5703125" style="8" bestFit="1" customWidth="1"/>
    <col min="3" max="3" width="15.42578125" style="8" bestFit="1" customWidth="1"/>
    <col min="4" max="4" width="18.42578125" style="8" hidden="1" customWidth="1"/>
    <col min="5" max="5" width="14.7109375" style="8" bestFit="1" customWidth="1"/>
    <col min="6" max="6" width="6.140625" style="8" customWidth="1"/>
    <col min="7" max="7" width="6.28515625" style="8" customWidth="1"/>
    <col min="8" max="8" width="7" style="9" bestFit="1" customWidth="1"/>
    <col min="9" max="16" width="2.7109375" style="8" customWidth="1"/>
    <col min="17" max="17" width="2.7109375" style="30" customWidth="1"/>
    <col min="18" max="88" width="2.7109375" style="8" customWidth="1"/>
    <col min="89" max="16384" width="11.7109375" style="8"/>
  </cols>
  <sheetData>
    <row r="1" spans="1:88">
      <c r="A1" s="10"/>
      <c r="B1" s="10"/>
      <c r="C1" s="2" t="s">
        <v>21</v>
      </c>
      <c r="D1" s="2"/>
      <c r="E1" s="10"/>
      <c r="H1" s="22"/>
      <c r="I1" s="15">
        <v>43008</v>
      </c>
      <c r="J1" s="15"/>
      <c r="K1" s="15"/>
      <c r="L1" s="17"/>
      <c r="M1" s="15">
        <v>43015</v>
      </c>
      <c r="N1" s="15"/>
      <c r="O1" s="15"/>
      <c r="P1" s="17"/>
      <c r="Q1" s="69">
        <v>43022</v>
      </c>
      <c r="R1" s="15"/>
      <c r="S1" s="15"/>
      <c r="T1" s="17"/>
      <c r="U1" s="15">
        <v>43029</v>
      </c>
      <c r="V1" s="15"/>
      <c r="W1" s="15"/>
      <c r="X1" s="17"/>
      <c r="Y1" s="15">
        <v>43036</v>
      </c>
      <c r="Z1" s="15"/>
      <c r="AA1" s="15"/>
      <c r="AB1" s="17"/>
      <c r="AC1" s="15">
        <v>43050</v>
      </c>
      <c r="AD1" s="15"/>
      <c r="AE1" s="15"/>
      <c r="AF1" s="17"/>
      <c r="AG1" s="15">
        <v>43057</v>
      </c>
      <c r="AH1" s="15"/>
      <c r="AI1" s="15"/>
      <c r="AJ1" s="17"/>
      <c r="AK1" s="15">
        <v>43064</v>
      </c>
      <c r="AL1" s="15"/>
      <c r="AM1" s="15"/>
      <c r="AN1" s="17"/>
      <c r="AO1" s="15">
        <v>43071</v>
      </c>
      <c r="AP1" s="15"/>
      <c r="AQ1" s="15"/>
      <c r="AR1" s="17"/>
      <c r="AS1" s="15">
        <v>43078</v>
      </c>
      <c r="AT1" s="15"/>
      <c r="AU1" s="15"/>
      <c r="AV1" s="17"/>
      <c r="AW1" s="15">
        <v>43113</v>
      </c>
      <c r="AX1" s="15"/>
      <c r="AY1" s="15"/>
      <c r="AZ1" s="17"/>
      <c r="BA1" s="15">
        <v>43120</v>
      </c>
      <c r="BB1" s="15"/>
      <c r="BC1" s="15"/>
      <c r="BD1" s="17"/>
      <c r="BE1" s="15">
        <v>43127</v>
      </c>
      <c r="BF1" s="15"/>
      <c r="BG1" s="15"/>
      <c r="BH1" s="17"/>
      <c r="BI1" s="15">
        <v>43141</v>
      </c>
      <c r="BJ1" s="15"/>
      <c r="BK1" s="15"/>
      <c r="BL1" s="17"/>
      <c r="BM1" s="15">
        <v>43148</v>
      </c>
      <c r="BN1" s="15"/>
      <c r="BO1" s="15"/>
      <c r="BP1" s="17"/>
      <c r="BQ1" s="15">
        <v>43155</v>
      </c>
      <c r="BR1" s="15"/>
      <c r="BS1" s="15"/>
      <c r="BT1" s="17"/>
      <c r="BU1" s="15">
        <v>43162</v>
      </c>
      <c r="BV1" s="15"/>
      <c r="BW1" s="15"/>
      <c r="BX1" s="17"/>
      <c r="BY1" s="15">
        <v>43176</v>
      </c>
      <c r="BZ1" s="15"/>
      <c r="CA1" s="15"/>
      <c r="CB1" s="17"/>
      <c r="CC1" s="15">
        <v>43183</v>
      </c>
      <c r="CD1" s="15"/>
      <c r="CE1" s="15"/>
      <c r="CF1" s="17"/>
      <c r="CG1" s="15">
        <v>43204</v>
      </c>
      <c r="CH1" s="15"/>
      <c r="CI1" s="15"/>
      <c r="CJ1" s="17"/>
    </row>
    <row r="2" spans="1:88">
      <c r="A2" s="10"/>
      <c r="B2" s="10"/>
      <c r="C2" s="2" t="s">
        <v>22</v>
      </c>
      <c r="D2" s="2"/>
      <c r="E2" s="10"/>
      <c r="H2" s="22"/>
      <c r="I2" s="16" t="s">
        <v>51</v>
      </c>
      <c r="J2" s="16"/>
      <c r="K2" s="16"/>
      <c r="L2" s="18"/>
      <c r="M2" s="16" t="s">
        <v>95</v>
      </c>
      <c r="N2" s="16"/>
      <c r="O2" s="16"/>
      <c r="P2" s="18"/>
      <c r="Q2" s="68" t="s">
        <v>91</v>
      </c>
      <c r="R2" s="16"/>
      <c r="S2" s="16"/>
      <c r="T2" s="18"/>
      <c r="U2" s="16" t="s">
        <v>92</v>
      </c>
      <c r="V2" s="16"/>
      <c r="W2" s="16"/>
      <c r="X2" s="18"/>
      <c r="Y2" s="16" t="s">
        <v>53</v>
      </c>
      <c r="Z2" s="16"/>
      <c r="AA2" s="16"/>
      <c r="AB2" s="18"/>
      <c r="AC2" s="16" t="s">
        <v>54</v>
      </c>
      <c r="AD2" s="16"/>
      <c r="AE2" s="16"/>
      <c r="AF2" s="18"/>
      <c r="AG2" s="16" t="s">
        <v>93</v>
      </c>
      <c r="AH2" s="16"/>
      <c r="AI2" s="16"/>
      <c r="AJ2" s="18"/>
      <c r="AK2" s="16" t="s">
        <v>94</v>
      </c>
      <c r="AL2" s="16"/>
      <c r="AM2" s="16"/>
      <c r="AN2" s="18"/>
      <c r="AO2" s="16" t="s">
        <v>54</v>
      </c>
      <c r="AP2" s="16"/>
      <c r="AQ2" s="16"/>
      <c r="AR2" s="18"/>
      <c r="AS2" s="16" t="s">
        <v>52</v>
      </c>
      <c r="AT2" s="16"/>
      <c r="AU2" s="16"/>
      <c r="AV2" s="18"/>
      <c r="AW2" s="16" t="s">
        <v>51</v>
      </c>
      <c r="AX2" s="16"/>
      <c r="AY2" s="16"/>
      <c r="AZ2" s="18"/>
      <c r="BA2" s="16" t="s">
        <v>95</v>
      </c>
      <c r="BB2" s="16"/>
      <c r="BC2" s="16"/>
      <c r="BD2" s="18"/>
      <c r="BE2" s="67" t="s">
        <v>91</v>
      </c>
      <c r="BF2" s="68"/>
      <c r="BG2" s="68"/>
      <c r="BH2" s="66"/>
      <c r="BI2" s="58" t="s">
        <v>92</v>
      </c>
      <c r="BJ2" s="16"/>
      <c r="BK2" s="16"/>
      <c r="BL2" s="18"/>
      <c r="BM2" s="16" t="s">
        <v>53</v>
      </c>
      <c r="BN2" s="16"/>
      <c r="BO2" s="16"/>
      <c r="BP2" s="18"/>
      <c r="BQ2" s="16" t="s">
        <v>54</v>
      </c>
      <c r="BR2" s="16"/>
      <c r="BS2" s="16"/>
      <c r="BT2" s="18"/>
      <c r="BU2" s="16" t="s">
        <v>93</v>
      </c>
      <c r="BV2" s="16"/>
      <c r="BW2" s="16"/>
      <c r="BX2" s="18"/>
      <c r="BY2" s="16" t="s">
        <v>52</v>
      </c>
      <c r="BZ2" s="16"/>
      <c r="CA2" s="16"/>
      <c r="CB2" s="18"/>
      <c r="CC2" s="16" t="s">
        <v>94</v>
      </c>
      <c r="CD2" s="16"/>
      <c r="CE2" s="16"/>
      <c r="CF2" s="18"/>
      <c r="CG2" s="16" t="s">
        <v>93</v>
      </c>
      <c r="CH2" s="16"/>
      <c r="CI2" s="16"/>
      <c r="CJ2" s="18"/>
    </row>
    <row r="3" spans="1:88">
      <c r="A3" s="10"/>
      <c r="B3" s="10"/>
      <c r="C3" s="2" t="s">
        <v>23</v>
      </c>
      <c r="D3" s="2"/>
      <c r="E3" s="10"/>
      <c r="H3" s="23" t="s">
        <v>8</v>
      </c>
      <c r="I3" s="16" t="s">
        <v>31</v>
      </c>
      <c r="J3" s="16"/>
      <c r="K3" s="16"/>
      <c r="L3" s="18"/>
      <c r="M3" s="16" t="s">
        <v>46</v>
      </c>
      <c r="N3" s="16"/>
      <c r="O3" s="16"/>
      <c r="P3" s="18"/>
      <c r="Q3" s="68" t="s">
        <v>31</v>
      </c>
      <c r="R3" s="16"/>
      <c r="S3" s="16"/>
      <c r="T3" s="18"/>
      <c r="U3" s="16" t="s">
        <v>46</v>
      </c>
      <c r="V3" s="16"/>
      <c r="W3" s="16"/>
      <c r="X3" s="18"/>
      <c r="Y3" s="16" t="s">
        <v>31</v>
      </c>
      <c r="Z3" s="16"/>
      <c r="AA3" s="16"/>
      <c r="AB3" s="18"/>
      <c r="AC3" s="16" t="s">
        <v>31</v>
      </c>
      <c r="AD3" s="16"/>
      <c r="AE3" s="16"/>
      <c r="AF3" s="18"/>
      <c r="AG3" s="16" t="s">
        <v>31</v>
      </c>
      <c r="AH3" s="16"/>
      <c r="AI3" s="16"/>
      <c r="AJ3" s="18"/>
      <c r="AK3" s="16" t="s">
        <v>31</v>
      </c>
      <c r="AL3" s="16"/>
      <c r="AM3" s="16"/>
      <c r="AN3" s="18"/>
      <c r="AO3" s="16" t="s">
        <v>46</v>
      </c>
      <c r="AP3" s="16"/>
      <c r="AQ3" s="16"/>
      <c r="AR3" s="18"/>
      <c r="AS3" s="16" t="s">
        <v>46</v>
      </c>
      <c r="AT3" s="16"/>
      <c r="AU3" s="16"/>
      <c r="AV3" s="18"/>
      <c r="AW3" s="16" t="s">
        <v>46</v>
      </c>
      <c r="AX3" s="16"/>
      <c r="AY3" s="16"/>
      <c r="AZ3" s="18"/>
      <c r="BA3" s="16" t="s">
        <v>31</v>
      </c>
      <c r="BB3" s="16"/>
      <c r="BC3" s="16"/>
      <c r="BD3" s="18"/>
      <c r="BE3" s="16" t="s">
        <v>46</v>
      </c>
      <c r="BF3" s="16"/>
      <c r="BG3" s="16"/>
      <c r="BH3" s="18"/>
      <c r="BI3" s="16" t="s">
        <v>31</v>
      </c>
      <c r="BJ3" s="16"/>
      <c r="BK3" s="16"/>
      <c r="BL3" s="18"/>
      <c r="BM3" s="16" t="s">
        <v>46</v>
      </c>
      <c r="BN3" s="16"/>
      <c r="BO3" s="16"/>
      <c r="BP3" s="18"/>
      <c r="BQ3" s="16" t="s">
        <v>31</v>
      </c>
      <c r="BR3" s="16"/>
      <c r="BS3" s="16"/>
      <c r="BT3" s="18"/>
      <c r="BU3" s="16" t="s">
        <v>46</v>
      </c>
      <c r="BV3" s="16"/>
      <c r="BW3" s="16"/>
      <c r="BX3" s="18"/>
      <c r="BY3" s="16" t="s">
        <v>31</v>
      </c>
      <c r="BZ3" s="16"/>
      <c r="CA3" s="16"/>
      <c r="CB3" s="18"/>
      <c r="CC3" s="16" t="s">
        <v>46</v>
      </c>
      <c r="CD3" s="16"/>
      <c r="CE3" s="16"/>
      <c r="CF3" s="18"/>
      <c r="CG3" s="16" t="s">
        <v>46</v>
      </c>
      <c r="CH3" s="16"/>
      <c r="CI3" s="16"/>
      <c r="CJ3" s="18"/>
    </row>
    <row r="4" spans="1:88">
      <c r="A4" s="10"/>
      <c r="B4" s="10"/>
      <c r="C4" s="2" t="s">
        <v>24</v>
      </c>
      <c r="D4" s="2"/>
      <c r="E4" s="10"/>
      <c r="H4" s="23"/>
      <c r="I4" s="16" t="s">
        <v>55</v>
      </c>
      <c r="J4" s="16"/>
      <c r="K4" s="16"/>
      <c r="L4" s="18"/>
      <c r="M4" s="16" t="s">
        <v>55</v>
      </c>
      <c r="N4" s="16"/>
      <c r="O4" s="16"/>
      <c r="P4" s="18"/>
      <c r="Q4" s="68" t="s">
        <v>55</v>
      </c>
      <c r="R4" s="16"/>
      <c r="S4" s="16"/>
      <c r="T4" s="18"/>
      <c r="U4" s="16" t="s">
        <v>55</v>
      </c>
      <c r="V4" s="16"/>
      <c r="W4" s="16"/>
      <c r="X4" s="18"/>
      <c r="Y4" s="16" t="s">
        <v>55</v>
      </c>
      <c r="Z4" s="16"/>
      <c r="AA4" s="16"/>
      <c r="AB4" s="18"/>
      <c r="AC4" s="16" t="s">
        <v>83</v>
      </c>
      <c r="AD4" s="16"/>
      <c r="AE4" s="16"/>
      <c r="AF4" s="18"/>
      <c r="AG4" s="16" t="s">
        <v>55</v>
      </c>
      <c r="AH4" s="16"/>
      <c r="AI4" s="16"/>
      <c r="AJ4" s="18"/>
      <c r="AK4" s="16" t="s">
        <v>55</v>
      </c>
      <c r="AL4" s="16"/>
      <c r="AM4" s="16"/>
      <c r="AN4" s="18"/>
      <c r="AO4" s="16" t="s">
        <v>55</v>
      </c>
      <c r="AP4" s="16"/>
      <c r="AQ4" s="16"/>
      <c r="AR4" s="18"/>
      <c r="AS4" s="16" t="s">
        <v>55</v>
      </c>
      <c r="AT4" s="16"/>
      <c r="AU4" s="16"/>
      <c r="AV4" s="18"/>
      <c r="AW4" s="16" t="s">
        <v>55</v>
      </c>
      <c r="AX4" s="16"/>
      <c r="AY4" s="16"/>
      <c r="AZ4" s="18"/>
      <c r="BA4" s="16" t="s">
        <v>55</v>
      </c>
      <c r="BB4" s="16"/>
      <c r="BC4" s="16"/>
      <c r="BD4" s="18"/>
      <c r="BE4" s="16" t="s">
        <v>55</v>
      </c>
      <c r="BF4" s="16"/>
      <c r="BG4" s="16"/>
      <c r="BH4" s="18"/>
      <c r="BI4" s="16" t="s">
        <v>55</v>
      </c>
      <c r="BJ4" s="16"/>
      <c r="BK4" s="16"/>
      <c r="BL4" s="18"/>
      <c r="BM4" s="16" t="s">
        <v>55</v>
      </c>
      <c r="BN4" s="16"/>
      <c r="BO4" s="16"/>
      <c r="BP4" s="18"/>
      <c r="BQ4" s="16" t="s">
        <v>55</v>
      </c>
      <c r="BR4" s="16"/>
      <c r="BS4" s="16"/>
      <c r="BT4" s="18"/>
      <c r="BU4" s="16" t="s">
        <v>55</v>
      </c>
      <c r="BV4" s="16"/>
      <c r="BW4" s="16"/>
      <c r="BX4" s="18"/>
      <c r="BY4" s="16" t="s">
        <v>55</v>
      </c>
      <c r="BZ4" s="16"/>
      <c r="CA4" s="16"/>
      <c r="CB4" s="18"/>
      <c r="CC4" s="16" t="s">
        <v>55</v>
      </c>
      <c r="CD4" s="16"/>
      <c r="CE4" s="16"/>
      <c r="CF4" s="18"/>
      <c r="CG4" s="16" t="s">
        <v>55</v>
      </c>
      <c r="CH4" s="16"/>
      <c r="CI4" s="16"/>
      <c r="CJ4" s="18"/>
    </row>
    <row r="5" spans="1:88">
      <c r="A5" s="10"/>
      <c r="B5" s="10"/>
      <c r="C5" s="2" t="s">
        <v>25</v>
      </c>
      <c r="D5" s="2"/>
      <c r="E5" s="10"/>
      <c r="G5" s="5">
        <f>SUM(I5:CG5)</f>
        <v>108</v>
      </c>
      <c r="H5" s="24">
        <f>IF(G7=0,"",G5/G7)</f>
        <v>6.3529411764705879</v>
      </c>
      <c r="I5" s="14">
        <f>SUM(J10:J49)</f>
        <v>6</v>
      </c>
      <c r="J5" s="14"/>
      <c r="K5" s="14"/>
      <c r="L5" s="19"/>
      <c r="M5" s="14">
        <f>SUM(N10:N49)</f>
        <v>15</v>
      </c>
      <c r="N5" s="14"/>
      <c r="O5" s="14"/>
      <c r="P5" s="19"/>
      <c r="Q5" s="70">
        <f>SUM(R10:R49)</f>
        <v>3</v>
      </c>
      <c r="R5" s="14"/>
      <c r="S5" s="14"/>
      <c r="T5" s="19"/>
      <c r="U5" s="14">
        <f>SUM(V10:V49)</f>
        <v>10</v>
      </c>
      <c r="V5" s="14"/>
      <c r="W5" s="14"/>
      <c r="X5" s="19"/>
      <c r="Y5" s="14">
        <f>SUM(Z10:Z49)</f>
        <v>6</v>
      </c>
      <c r="Z5" s="14"/>
      <c r="AA5" s="14"/>
      <c r="AB5" s="19"/>
      <c r="AC5" s="14">
        <f>SUM(AD10:AD49)</f>
        <v>3</v>
      </c>
      <c r="AD5" s="14"/>
      <c r="AE5" s="14"/>
      <c r="AF5" s="19"/>
      <c r="AG5" s="14" t="s">
        <v>127</v>
      </c>
      <c r="AH5" s="14"/>
      <c r="AI5" s="14"/>
      <c r="AJ5" s="19"/>
      <c r="AK5" s="14">
        <f>SUM(AL10:AL49)</f>
        <v>5</v>
      </c>
      <c r="AL5" s="14"/>
      <c r="AM5" s="14"/>
      <c r="AN5" s="19"/>
      <c r="AO5" s="14">
        <f>SUM(AP10:AP49)</f>
        <v>8</v>
      </c>
      <c r="AP5" s="14"/>
      <c r="AQ5" s="14"/>
      <c r="AR5" s="19"/>
      <c r="AS5" s="14">
        <f>SUM(AT10:AT49)</f>
        <v>3</v>
      </c>
      <c r="AT5" s="14"/>
      <c r="AU5" s="14"/>
      <c r="AV5" s="19"/>
      <c r="AW5" s="14">
        <f>SUM(AX10:AX49)</f>
        <v>8</v>
      </c>
      <c r="AX5" s="14"/>
      <c r="AY5" s="14"/>
      <c r="AZ5" s="19"/>
      <c r="BA5" s="14">
        <f>SUM(BB10:BB49)</f>
        <v>7</v>
      </c>
      <c r="BB5" s="14"/>
      <c r="BC5" s="14"/>
      <c r="BD5" s="19"/>
      <c r="BE5" s="14">
        <f>SUM(BF10:BF49)</f>
        <v>8</v>
      </c>
      <c r="BF5" s="14"/>
      <c r="BG5" s="14"/>
      <c r="BH5" s="19"/>
      <c r="BI5" s="14">
        <f>SUM(BJ10:BJ49)</f>
        <v>7</v>
      </c>
      <c r="BJ5" s="14"/>
      <c r="BK5" s="14"/>
      <c r="BL5" s="19"/>
      <c r="BM5" s="14">
        <v>10</v>
      </c>
      <c r="BN5" s="14"/>
      <c r="BO5" s="14"/>
      <c r="BP5" s="19"/>
      <c r="BQ5" s="14">
        <f>SUM(BR10:BR49)</f>
        <v>2</v>
      </c>
      <c r="BR5" s="14"/>
      <c r="BS5" s="14"/>
      <c r="BT5" s="19"/>
      <c r="BU5" s="14" t="s">
        <v>127</v>
      </c>
      <c r="BV5" s="14"/>
      <c r="BW5" s="14"/>
      <c r="BX5" s="19"/>
      <c r="BY5" s="14" t="s">
        <v>126</v>
      </c>
      <c r="BZ5" s="14"/>
      <c r="CA5" s="14"/>
      <c r="CB5" s="19"/>
      <c r="CC5" s="14">
        <f>SUM(CD10:CD49)</f>
        <v>4</v>
      </c>
      <c r="CD5" s="14"/>
      <c r="CE5" s="14"/>
      <c r="CF5" s="19"/>
      <c r="CG5" s="14">
        <f>SUM(CH10:CH49)</f>
        <v>3</v>
      </c>
      <c r="CH5" s="14"/>
      <c r="CI5" s="14"/>
      <c r="CJ5" s="19"/>
    </row>
    <row r="6" spans="1:88">
      <c r="A6" s="10"/>
      <c r="B6" s="10"/>
      <c r="C6" s="2" t="s">
        <v>26</v>
      </c>
      <c r="D6" s="2"/>
      <c r="E6" s="10"/>
      <c r="G6" s="5">
        <f>SUM(I6:CG6)</f>
        <v>143</v>
      </c>
      <c r="H6" s="24">
        <f>IF(G7=0,"",G6/G7)</f>
        <v>8.4117647058823533</v>
      </c>
      <c r="I6" s="14">
        <v>4</v>
      </c>
      <c r="J6" s="14"/>
      <c r="K6" s="14"/>
      <c r="L6" s="19"/>
      <c r="M6" s="14">
        <v>2</v>
      </c>
      <c r="N6" s="14"/>
      <c r="O6" s="14"/>
      <c r="P6" s="19"/>
      <c r="Q6" s="70">
        <v>10</v>
      </c>
      <c r="R6" s="14"/>
      <c r="S6" s="14"/>
      <c r="T6" s="19"/>
      <c r="U6" s="14">
        <v>6</v>
      </c>
      <c r="V6" s="14"/>
      <c r="W6" s="14"/>
      <c r="X6" s="19"/>
      <c r="Y6" s="14">
        <v>6</v>
      </c>
      <c r="Z6" s="14"/>
      <c r="AA6" s="14"/>
      <c r="AB6" s="19"/>
      <c r="AC6" s="14">
        <v>18</v>
      </c>
      <c r="AD6" s="14"/>
      <c r="AE6" s="14"/>
      <c r="AF6" s="19"/>
      <c r="AG6" s="14" t="s">
        <v>18</v>
      </c>
      <c r="AH6" s="14"/>
      <c r="AI6" s="14"/>
      <c r="AJ6" s="19"/>
      <c r="AK6" s="14">
        <v>11</v>
      </c>
      <c r="AL6" s="14"/>
      <c r="AM6" s="14"/>
      <c r="AN6" s="19"/>
      <c r="AO6" s="14">
        <v>14</v>
      </c>
      <c r="AP6" s="14"/>
      <c r="AQ6" s="14"/>
      <c r="AR6" s="19"/>
      <c r="AS6" s="14">
        <v>10</v>
      </c>
      <c r="AT6" s="14"/>
      <c r="AU6" s="14"/>
      <c r="AV6" s="19"/>
      <c r="AW6" s="14">
        <v>8</v>
      </c>
      <c r="AX6" s="14"/>
      <c r="AY6" s="14"/>
      <c r="AZ6" s="19"/>
      <c r="BA6" s="14">
        <v>5</v>
      </c>
      <c r="BB6" s="14"/>
      <c r="BC6" s="14"/>
      <c r="BD6" s="19"/>
      <c r="BE6" s="14">
        <v>8</v>
      </c>
      <c r="BF6" s="14"/>
      <c r="BG6" s="14"/>
      <c r="BH6" s="19"/>
      <c r="BI6" s="14">
        <v>5</v>
      </c>
      <c r="BJ6" s="14"/>
      <c r="BK6" s="14"/>
      <c r="BL6" s="19"/>
      <c r="BM6" s="14">
        <v>0</v>
      </c>
      <c r="BN6" s="14"/>
      <c r="BO6" s="14"/>
      <c r="BP6" s="19"/>
      <c r="BQ6" s="14">
        <v>11</v>
      </c>
      <c r="BR6" s="14"/>
      <c r="BS6" s="14"/>
      <c r="BT6" s="19"/>
      <c r="BU6" s="14" t="s">
        <v>18</v>
      </c>
      <c r="BV6" s="14"/>
      <c r="BW6" s="14"/>
      <c r="BX6" s="19"/>
      <c r="BY6" s="14" t="s">
        <v>18</v>
      </c>
      <c r="BZ6" s="14"/>
      <c r="CA6" s="14"/>
      <c r="CB6" s="19"/>
      <c r="CC6" s="14">
        <v>16</v>
      </c>
      <c r="CD6" s="14"/>
      <c r="CE6" s="14"/>
      <c r="CF6" s="19"/>
      <c r="CG6" s="14">
        <v>9</v>
      </c>
      <c r="CH6" s="14"/>
      <c r="CI6" s="14"/>
      <c r="CJ6" s="19"/>
    </row>
    <row r="7" spans="1:88">
      <c r="A7" s="10"/>
      <c r="B7" s="10"/>
      <c r="C7" s="2" t="s">
        <v>27</v>
      </c>
      <c r="D7" s="2"/>
      <c r="E7" s="10"/>
      <c r="G7" s="12">
        <f>COUNT(I6:CG6)</f>
        <v>17</v>
      </c>
      <c r="H7" s="24"/>
      <c r="L7" s="20"/>
      <c r="P7" s="20"/>
      <c r="T7" s="20"/>
      <c r="X7" s="20"/>
      <c r="AB7" s="20"/>
      <c r="AF7" s="20"/>
      <c r="AJ7" s="20"/>
      <c r="AN7" s="20"/>
      <c r="AR7" s="20"/>
      <c r="AV7" s="20"/>
      <c r="AZ7" s="20"/>
      <c r="BD7" s="20"/>
      <c r="BH7" s="20"/>
      <c r="BL7" s="20"/>
      <c r="BP7" s="20"/>
      <c r="BT7" s="20"/>
      <c r="BX7" s="20"/>
      <c r="CB7" s="20"/>
      <c r="CF7" s="20"/>
      <c r="CJ7" s="38"/>
    </row>
    <row r="8" spans="1:88">
      <c r="A8" s="47" t="s">
        <v>44</v>
      </c>
      <c r="B8" s="47"/>
      <c r="F8" s="10"/>
      <c r="G8" s="10"/>
      <c r="H8" s="22"/>
      <c r="I8" s="11"/>
      <c r="J8" s="11"/>
      <c r="K8" s="11"/>
      <c r="L8" s="21"/>
      <c r="M8" s="11"/>
      <c r="N8" s="11"/>
      <c r="O8" s="11"/>
      <c r="P8" s="21"/>
      <c r="Q8" s="71"/>
      <c r="R8" s="11"/>
      <c r="S8" s="11"/>
      <c r="T8" s="21"/>
      <c r="U8" s="11"/>
      <c r="V8" s="11"/>
      <c r="W8" s="11"/>
      <c r="X8" s="21"/>
      <c r="Y8" s="11"/>
      <c r="Z8" s="11"/>
      <c r="AA8" s="11"/>
      <c r="AB8" s="21"/>
      <c r="AC8" s="11"/>
      <c r="AD8" s="11"/>
      <c r="AE8" s="11"/>
      <c r="AF8" s="21"/>
      <c r="AG8" s="11"/>
      <c r="AH8" s="11"/>
      <c r="AI8" s="11"/>
      <c r="AJ8" s="21"/>
      <c r="AK8" s="11"/>
      <c r="AL8" s="11"/>
      <c r="AM8" s="11"/>
      <c r="AN8" s="21"/>
      <c r="AO8" s="11"/>
      <c r="AP8" s="11"/>
      <c r="AQ8" s="11"/>
      <c r="AR8" s="21"/>
      <c r="AS8" s="11"/>
      <c r="AT8" s="11"/>
      <c r="AU8" s="11"/>
      <c r="AV8" s="21"/>
      <c r="AW8" s="11"/>
      <c r="AX8" s="11"/>
      <c r="AY8" s="11"/>
      <c r="AZ8" s="21"/>
      <c r="BA8" s="11"/>
      <c r="BB8" s="11"/>
      <c r="BC8" s="11"/>
      <c r="BD8" s="21"/>
      <c r="BE8" s="11"/>
      <c r="BF8" s="11"/>
      <c r="BG8" s="11"/>
      <c r="BH8" s="21"/>
      <c r="BI8" s="11"/>
      <c r="BJ8" s="11"/>
      <c r="BK8" s="11"/>
      <c r="BL8" s="21"/>
      <c r="BM8" s="11"/>
      <c r="BN8" s="11"/>
      <c r="BO8" s="11"/>
      <c r="BP8" s="21"/>
      <c r="BQ8" s="11"/>
      <c r="BR8" s="11"/>
      <c r="BS8" s="11"/>
      <c r="BT8" s="21"/>
      <c r="BU8" s="11"/>
      <c r="BV8" s="11"/>
      <c r="BW8" s="11"/>
      <c r="BX8" s="21"/>
      <c r="BY8" s="11"/>
      <c r="BZ8" s="11"/>
      <c r="CA8" s="11"/>
      <c r="CB8" s="21"/>
      <c r="CC8" s="11"/>
      <c r="CD8" s="11"/>
      <c r="CE8" s="11"/>
      <c r="CF8" s="21"/>
      <c r="CG8" s="11"/>
      <c r="CH8" s="11"/>
      <c r="CI8" s="11"/>
      <c r="CJ8" s="21"/>
    </row>
    <row r="9" spans="1:88" s="30" customFormat="1">
      <c r="A9" s="26" t="s">
        <v>3</v>
      </c>
      <c r="B9" s="26" t="s">
        <v>4</v>
      </c>
      <c r="C9" s="26" t="s">
        <v>82</v>
      </c>
      <c r="D9" s="26"/>
      <c r="E9" s="26" t="s">
        <v>5</v>
      </c>
      <c r="F9" s="26" t="s">
        <v>6</v>
      </c>
      <c r="G9" s="26" t="s">
        <v>7</v>
      </c>
      <c r="H9" s="27" t="s">
        <v>34</v>
      </c>
      <c r="I9" s="28" t="s">
        <v>33</v>
      </c>
      <c r="J9" s="28" t="s">
        <v>30</v>
      </c>
      <c r="K9" s="28" t="s">
        <v>32</v>
      </c>
      <c r="L9" s="29" t="s">
        <v>36</v>
      </c>
      <c r="M9" s="28" t="s">
        <v>33</v>
      </c>
      <c r="N9" s="28" t="s">
        <v>30</v>
      </c>
      <c r="O9" s="28" t="s">
        <v>32</v>
      </c>
      <c r="P9" s="29" t="s">
        <v>36</v>
      </c>
      <c r="Q9" s="28" t="s">
        <v>33</v>
      </c>
      <c r="R9" s="28" t="s">
        <v>30</v>
      </c>
      <c r="S9" s="28" t="s">
        <v>32</v>
      </c>
      <c r="T9" s="29" t="s">
        <v>36</v>
      </c>
      <c r="U9" s="28" t="s">
        <v>33</v>
      </c>
      <c r="V9" s="28" t="s">
        <v>30</v>
      </c>
      <c r="W9" s="28" t="s">
        <v>32</v>
      </c>
      <c r="X9" s="29" t="s">
        <v>36</v>
      </c>
      <c r="Y9" s="28" t="s">
        <v>33</v>
      </c>
      <c r="Z9" s="28" t="s">
        <v>30</v>
      </c>
      <c r="AA9" s="28" t="s">
        <v>32</v>
      </c>
      <c r="AB9" s="29" t="s">
        <v>36</v>
      </c>
      <c r="AC9" s="28" t="s">
        <v>33</v>
      </c>
      <c r="AD9" s="28" t="s">
        <v>30</v>
      </c>
      <c r="AE9" s="28" t="s">
        <v>32</v>
      </c>
      <c r="AF9" s="29" t="s">
        <v>36</v>
      </c>
      <c r="AG9" s="28" t="s">
        <v>33</v>
      </c>
      <c r="AH9" s="28" t="s">
        <v>30</v>
      </c>
      <c r="AI9" s="28" t="s">
        <v>32</v>
      </c>
      <c r="AJ9" s="29" t="s">
        <v>36</v>
      </c>
      <c r="AK9" s="28" t="s">
        <v>33</v>
      </c>
      <c r="AL9" s="28" t="s">
        <v>30</v>
      </c>
      <c r="AM9" s="28" t="s">
        <v>32</v>
      </c>
      <c r="AN9" s="29" t="s">
        <v>36</v>
      </c>
      <c r="AO9" s="28" t="s">
        <v>33</v>
      </c>
      <c r="AP9" s="28" t="s">
        <v>30</v>
      </c>
      <c r="AQ9" s="28" t="s">
        <v>32</v>
      </c>
      <c r="AR9" s="29" t="s">
        <v>36</v>
      </c>
      <c r="AS9" s="28" t="s">
        <v>33</v>
      </c>
      <c r="AT9" s="28" t="s">
        <v>30</v>
      </c>
      <c r="AU9" s="28" t="s">
        <v>32</v>
      </c>
      <c r="AV9" s="29" t="s">
        <v>36</v>
      </c>
      <c r="AW9" s="28" t="s">
        <v>33</v>
      </c>
      <c r="AX9" s="28" t="s">
        <v>30</v>
      </c>
      <c r="AY9" s="28" t="s">
        <v>32</v>
      </c>
      <c r="AZ9" s="29" t="s">
        <v>36</v>
      </c>
      <c r="BA9" s="28" t="s">
        <v>33</v>
      </c>
      <c r="BB9" s="28" t="s">
        <v>30</v>
      </c>
      <c r="BC9" s="28" t="s">
        <v>32</v>
      </c>
      <c r="BD9" s="29" t="s">
        <v>36</v>
      </c>
      <c r="BE9" s="28" t="s">
        <v>33</v>
      </c>
      <c r="BF9" s="28" t="s">
        <v>30</v>
      </c>
      <c r="BG9" s="28" t="s">
        <v>32</v>
      </c>
      <c r="BH9" s="29" t="s">
        <v>36</v>
      </c>
      <c r="BI9" s="28" t="s">
        <v>33</v>
      </c>
      <c r="BJ9" s="28" t="s">
        <v>30</v>
      </c>
      <c r="BK9" s="28" t="s">
        <v>32</v>
      </c>
      <c r="BL9" s="29" t="s">
        <v>36</v>
      </c>
      <c r="BM9" s="28" t="s">
        <v>33</v>
      </c>
      <c r="BN9" s="28" t="s">
        <v>30</v>
      </c>
      <c r="BO9" s="28" t="s">
        <v>32</v>
      </c>
      <c r="BP9" s="29" t="s">
        <v>36</v>
      </c>
      <c r="BQ9" s="28" t="s">
        <v>33</v>
      </c>
      <c r="BR9" s="28" t="s">
        <v>30</v>
      </c>
      <c r="BS9" s="28" t="s">
        <v>32</v>
      </c>
      <c r="BT9" s="29" t="s">
        <v>36</v>
      </c>
      <c r="BU9" s="28" t="s">
        <v>33</v>
      </c>
      <c r="BV9" s="28" t="s">
        <v>30</v>
      </c>
      <c r="BW9" s="28" t="s">
        <v>32</v>
      </c>
      <c r="BX9" s="29" t="s">
        <v>36</v>
      </c>
      <c r="BY9" s="28" t="s">
        <v>33</v>
      </c>
      <c r="BZ9" s="28" t="s">
        <v>30</v>
      </c>
      <c r="CA9" s="28" t="s">
        <v>32</v>
      </c>
      <c r="CB9" s="29" t="s">
        <v>36</v>
      </c>
      <c r="CC9" s="28" t="s">
        <v>33</v>
      </c>
      <c r="CD9" s="28" t="s">
        <v>30</v>
      </c>
      <c r="CE9" s="28" t="s">
        <v>32</v>
      </c>
      <c r="CF9" s="29" t="s">
        <v>36</v>
      </c>
      <c r="CG9" s="28" t="s">
        <v>33</v>
      </c>
      <c r="CH9" s="28" t="s">
        <v>30</v>
      </c>
      <c r="CI9" s="28" t="s">
        <v>32</v>
      </c>
      <c r="CJ9" s="29" t="s">
        <v>36</v>
      </c>
    </row>
    <row r="10" spans="1:88">
      <c r="A10" s="62">
        <v>888</v>
      </c>
      <c r="B10" s="55" t="s">
        <v>119</v>
      </c>
      <c r="C10" s="56" t="s">
        <v>118</v>
      </c>
      <c r="D10" s="60" t="str">
        <f t="shared" ref="D10:D49" si="0">IF(C10&lt;&gt;"",CONCATENATE(B10," ",C10),B10)</f>
        <v>Jordan Anning</v>
      </c>
      <c r="E10" s="57" t="s">
        <v>12</v>
      </c>
      <c r="F10" s="5">
        <f t="shared" ref="F10" si="1">COUNTIF(I10:CO10,"=*")</f>
        <v>1</v>
      </c>
      <c r="G10" s="5">
        <f t="shared" ref="G10" si="2">SUMIF(I$9:CO$9,"G",I10:CO10)</f>
        <v>0</v>
      </c>
      <c r="H10" s="25">
        <f t="shared" ref="H10" si="3">SUMIF(I$9:CO$9,"A",I10:CO10)</f>
        <v>0</v>
      </c>
      <c r="L10" s="38"/>
      <c r="P10" s="37"/>
      <c r="T10" s="37"/>
      <c r="X10" s="37"/>
      <c r="AB10" s="37"/>
      <c r="AF10" s="37"/>
      <c r="AJ10" s="37"/>
      <c r="AN10" s="37"/>
      <c r="AR10" s="37"/>
      <c r="AV10" s="37"/>
      <c r="AW10" s="8" t="s">
        <v>49</v>
      </c>
      <c r="AZ10" s="37"/>
      <c r="BD10" s="37"/>
      <c r="BH10" s="37"/>
      <c r="BL10" s="37"/>
      <c r="BP10" s="37"/>
      <c r="BT10" s="37"/>
      <c r="BX10" s="37"/>
      <c r="CB10" s="37"/>
      <c r="CF10" s="37"/>
      <c r="CJ10" s="38"/>
    </row>
    <row r="11" spans="1:88">
      <c r="A11" s="62">
        <v>888</v>
      </c>
      <c r="B11" s="55" t="s">
        <v>106</v>
      </c>
      <c r="C11" s="60" t="s">
        <v>107</v>
      </c>
      <c r="D11" s="60" t="str">
        <f t="shared" ref="D11:D24" si="4">IF(C11&lt;&gt;"",CONCATENATE(B11," ",C11),B11)</f>
        <v>Lorenzo Balzarini</v>
      </c>
      <c r="E11" s="61" t="s">
        <v>12</v>
      </c>
      <c r="F11" s="5">
        <f t="shared" ref="F11:F24" si="5">COUNTIF(I11:CO11,"=*")</f>
        <v>10</v>
      </c>
      <c r="G11" s="5">
        <f t="shared" ref="G11:G24" si="6">SUMIF(I$9:CO$9,"G",I11:CO11)</f>
        <v>7</v>
      </c>
      <c r="H11" s="25">
        <f t="shared" ref="H11:H24" si="7">SUMIF(I$9:CO$9,"A",I11:CO11)</f>
        <v>0</v>
      </c>
      <c r="L11" s="38"/>
      <c r="P11" s="38"/>
      <c r="T11" s="38"/>
      <c r="X11" s="38"/>
      <c r="Y11" s="8" t="s">
        <v>49</v>
      </c>
      <c r="Z11" s="8">
        <v>2</v>
      </c>
      <c r="AB11" s="38"/>
      <c r="AC11" s="8" t="s">
        <v>49</v>
      </c>
      <c r="AD11" s="8">
        <v>1</v>
      </c>
      <c r="AF11" s="38"/>
      <c r="AJ11" s="38"/>
      <c r="AK11" s="8" t="s">
        <v>49</v>
      </c>
      <c r="AN11" s="38"/>
      <c r="AO11" s="8" t="s">
        <v>49</v>
      </c>
      <c r="AR11" s="38"/>
      <c r="AS11" s="8" t="s">
        <v>49</v>
      </c>
      <c r="AV11" s="38"/>
      <c r="AW11" s="8" t="s">
        <v>49</v>
      </c>
      <c r="AX11" s="8">
        <v>2</v>
      </c>
      <c r="AZ11" s="38"/>
      <c r="BD11" s="38"/>
      <c r="BE11" s="8" t="s">
        <v>49</v>
      </c>
      <c r="BF11" s="8">
        <v>1</v>
      </c>
      <c r="BH11" s="38"/>
      <c r="BI11" s="8" t="s">
        <v>49</v>
      </c>
      <c r="BJ11" s="8">
        <v>1</v>
      </c>
      <c r="BL11" s="38"/>
      <c r="BP11" s="38"/>
      <c r="BQ11" s="8" t="s">
        <v>49</v>
      </c>
      <c r="BT11" s="38"/>
      <c r="BX11" s="38"/>
      <c r="CB11" s="38"/>
      <c r="CF11" s="38"/>
      <c r="CG11" s="8" t="s">
        <v>49</v>
      </c>
      <c r="CJ11" s="38"/>
    </row>
    <row r="12" spans="1:88" ht="12" customHeight="1">
      <c r="A12" s="62">
        <v>5</v>
      </c>
      <c r="B12" s="63" t="s">
        <v>56</v>
      </c>
      <c r="C12" s="61" t="s">
        <v>57</v>
      </c>
      <c r="D12" s="60" t="str">
        <f t="shared" si="4"/>
        <v>Justin Baranowski</v>
      </c>
      <c r="E12" s="4" t="s">
        <v>11</v>
      </c>
      <c r="F12" s="5">
        <f t="shared" si="5"/>
        <v>13</v>
      </c>
      <c r="G12" s="5">
        <f t="shared" si="6"/>
        <v>14</v>
      </c>
      <c r="H12" s="25">
        <f t="shared" si="7"/>
        <v>0</v>
      </c>
      <c r="I12" s="8" t="s">
        <v>32</v>
      </c>
      <c r="J12" s="8">
        <v>2</v>
      </c>
      <c r="L12" s="38"/>
      <c r="M12" s="8" t="s">
        <v>32</v>
      </c>
      <c r="N12" s="8">
        <v>2</v>
      </c>
      <c r="P12" s="38"/>
      <c r="Q12" s="30" t="s">
        <v>32</v>
      </c>
      <c r="T12" s="38"/>
      <c r="U12" s="8" t="s">
        <v>32</v>
      </c>
      <c r="V12" s="8">
        <v>1</v>
      </c>
      <c r="X12" s="38"/>
      <c r="Y12" s="8" t="s">
        <v>32</v>
      </c>
      <c r="Z12" s="8">
        <v>1</v>
      </c>
      <c r="AB12" s="38"/>
      <c r="AC12" s="8" t="s">
        <v>32</v>
      </c>
      <c r="AD12" s="8">
        <v>1</v>
      </c>
      <c r="AF12" s="38"/>
      <c r="AJ12" s="38"/>
      <c r="AK12" s="8" t="s">
        <v>32</v>
      </c>
      <c r="AL12" s="8">
        <v>2</v>
      </c>
      <c r="AN12" s="38"/>
      <c r="AO12" s="8" t="s">
        <v>32</v>
      </c>
      <c r="AP12" s="8">
        <v>1</v>
      </c>
      <c r="AR12" s="38"/>
      <c r="AS12" s="8" t="s">
        <v>32</v>
      </c>
      <c r="AV12" s="38"/>
      <c r="AZ12" s="38"/>
      <c r="BD12" s="38"/>
      <c r="BE12" s="8" t="s">
        <v>32</v>
      </c>
      <c r="BF12" s="8">
        <v>2</v>
      </c>
      <c r="BH12" s="38"/>
      <c r="BI12" s="8" t="s">
        <v>32</v>
      </c>
      <c r="BL12" s="38"/>
      <c r="BP12" s="38"/>
      <c r="BQ12" s="8" t="s">
        <v>32</v>
      </c>
      <c r="BT12" s="38"/>
      <c r="BX12" s="38"/>
      <c r="CB12" s="38"/>
      <c r="CC12" s="8" t="s">
        <v>32</v>
      </c>
      <c r="CD12" s="8">
        <v>2</v>
      </c>
      <c r="CF12" s="38"/>
      <c r="CJ12" s="38"/>
    </row>
    <row r="13" spans="1:88">
      <c r="A13" s="62">
        <v>888</v>
      </c>
      <c r="B13" s="54" t="s">
        <v>58</v>
      </c>
      <c r="C13" s="61" t="s">
        <v>57</v>
      </c>
      <c r="D13" s="60" t="str">
        <f t="shared" si="4"/>
        <v>Sam Baranowski</v>
      </c>
      <c r="E13" s="4" t="s">
        <v>12</v>
      </c>
      <c r="F13" s="5">
        <f t="shared" si="5"/>
        <v>10</v>
      </c>
      <c r="G13" s="5">
        <f t="shared" si="6"/>
        <v>0</v>
      </c>
      <c r="H13" s="25">
        <f t="shared" si="7"/>
        <v>0</v>
      </c>
      <c r="I13" s="8" t="s">
        <v>49</v>
      </c>
      <c r="L13" s="39"/>
      <c r="M13" s="8" t="s">
        <v>49</v>
      </c>
      <c r="P13" s="38"/>
      <c r="Q13" s="30" t="s">
        <v>49</v>
      </c>
      <c r="T13" s="38"/>
      <c r="U13" s="8" t="s">
        <v>49</v>
      </c>
      <c r="X13" s="38"/>
      <c r="AB13" s="38"/>
      <c r="AC13" s="8" t="s">
        <v>49</v>
      </c>
      <c r="AF13" s="38"/>
      <c r="AJ13" s="38"/>
      <c r="AK13" s="8" t="s">
        <v>49</v>
      </c>
      <c r="AN13" s="38"/>
      <c r="AO13" s="8" t="s">
        <v>49</v>
      </c>
      <c r="AR13" s="38"/>
      <c r="AV13" s="38"/>
      <c r="AZ13" s="38"/>
      <c r="BD13" s="38"/>
      <c r="BH13" s="38"/>
      <c r="BL13" s="38"/>
      <c r="BP13" s="38"/>
      <c r="BQ13" s="8" t="s">
        <v>49</v>
      </c>
      <c r="BT13" s="38"/>
      <c r="BX13" s="38"/>
      <c r="CB13" s="38"/>
      <c r="CC13" s="8" t="s">
        <v>49</v>
      </c>
      <c r="CF13" s="38"/>
      <c r="CG13" s="8" t="s">
        <v>49</v>
      </c>
      <c r="CJ13" s="38"/>
    </row>
    <row r="14" spans="1:88">
      <c r="A14" s="8">
        <v>888</v>
      </c>
      <c r="B14" s="8" t="s">
        <v>96</v>
      </c>
      <c r="C14" s="8" t="s">
        <v>97</v>
      </c>
      <c r="D14" s="60" t="str">
        <f t="shared" si="4"/>
        <v>Mike Barratt</v>
      </c>
      <c r="E14" s="4" t="s">
        <v>9</v>
      </c>
      <c r="F14" s="5">
        <f t="shared" si="5"/>
        <v>6</v>
      </c>
      <c r="G14" s="5">
        <f t="shared" si="6"/>
        <v>8</v>
      </c>
      <c r="H14" s="25">
        <f t="shared" si="7"/>
        <v>0</v>
      </c>
      <c r="L14" s="38"/>
      <c r="M14" s="8" t="s">
        <v>49</v>
      </c>
      <c r="N14" s="8">
        <v>2</v>
      </c>
      <c r="P14" s="38"/>
      <c r="T14" s="38"/>
      <c r="X14" s="38"/>
      <c r="AB14" s="38"/>
      <c r="AF14" s="38"/>
      <c r="AJ14" s="38"/>
      <c r="AN14" s="38"/>
      <c r="AO14" s="8" t="s">
        <v>49</v>
      </c>
      <c r="AP14" s="8">
        <v>1</v>
      </c>
      <c r="AR14" s="38"/>
      <c r="AS14" s="8" t="s">
        <v>49</v>
      </c>
      <c r="AT14" s="8">
        <v>1</v>
      </c>
      <c r="AV14" s="38"/>
      <c r="AZ14" s="38"/>
      <c r="BD14" s="38"/>
      <c r="BE14" s="8" t="s">
        <v>49</v>
      </c>
      <c r="BF14" s="8">
        <v>3</v>
      </c>
      <c r="BH14" s="38"/>
      <c r="BL14" s="38"/>
      <c r="BP14" s="38"/>
      <c r="BT14" s="38"/>
      <c r="BX14" s="38"/>
      <c r="CB14" s="38"/>
      <c r="CC14" s="8" t="s">
        <v>49</v>
      </c>
      <c r="CF14" s="38"/>
      <c r="CG14" s="8" t="s">
        <v>49</v>
      </c>
      <c r="CH14" s="8">
        <v>1</v>
      </c>
      <c r="CJ14" s="38"/>
    </row>
    <row r="15" spans="1:88">
      <c r="A15" s="62">
        <v>888</v>
      </c>
      <c r="B15" s="63" t="s">
        <v>59</v>
      </c>
      <c r="C15" s="63" t="s">
        <v>60</v>
      </c>
      <c r="D15" s="60" t="str">
        <f t="shared" si="4"/>
        <v>Dave Berman</v>
      </c>
      <c r="E15" s="4" t="s">
        <v>12</v>
      </c>
      <c r="F15" s="5">
        <f t="shared" si="5"/>
        <v>3</v>
      </c>
      <c r="G15" s="5">
        <f t="shared" si="6"/>
        <v>4</v>
      </c>
      <c r="H15" s="25">
        <f t="shared" si="7"/>
        <v>0</v>
      </c>
      <c r="I15" s="8" t="s">
        <v>49</v>
      </c>
      <c r="J15" s="8">
        <v>2</v>
      </c>
      <c r="L15" s="38"/>
      <c r="M15" s="8" t="s">
        <v>49</v>
      </c>
      <c r="N15" s="8">
        <v>1</v>
      </c>
      <c r="P15" s="38"/>
      <c r="T15" s="38"/>
      <c r="X15" s="38"/>
      <c r="AB15" s="38"/>
      <c r="AF15" s="38"/>
      <c r="AJ15" s="38"/>
      <c r="AN15" s="38"/>
      <c r="AR15" s="38"/>
      <c r="AV15" s="38"/>
      <c r="AZ15" s="38"/>
      <c r="BD15" s="38"/>
      <c r="BH15" s="38"/>
      <c r="BL15" s="38"/>
      <c r="BP15" s="38"/>
      <c r="BT15" s="38"/>
      <c r="BX15" s="38"/>
      <c r="CB15" s="38"/>
      <c r="CF15" s="38"/>
      <c r="CG15" s="8" t="s">
        <v>32</v>
      </c>
      <c r="CH15" s="8">
        <v>1</v>
      </c>
      <c r="CJ15" s="38"/>
    </row>
    <row r="16" spans="1:88">
      <c r="A16" s="62">
        <v>888</v>
      </c>
      <c r="B16" s="61" t="s">
        <v>115</v>
      </c>
      <c r="C16" s="61" t="s">
        <v>116</v>
      </c>
      <c r="D16" s="60" t="str">
        <f t="shared" si="4"/>
        <v>Lewis Blackshaw</v>
      </c>
      <c r="E16" s="4" t="s">
        <v>12</v>
      </c>
      <c r="F16" s="5">
        <f t="shared" si="5"/>
        <v>1</v>
      </c>
      <c r="G16" s="5">
        <f t="shared" si="6"/>
        <v>0</v>
      </c>
      <c r="H16" s="25">
        <f t="shared" si="7"/>
        <v>0</v>
      </c>
      <c r="L16" s="38"/>
      <c r="P16" s="38"/>
      <c r="T16" s="38"/>
      <c r="X16" s="38"/>
      <c r="AB16" s="38"/>
      <c r="AF16" s="38"/>
      <c r="AJ16" s="38"/>
      <c r="AN16" s="38"/>
      <c r="AR16" s="38"/>
      <c r="AS16" s="8" t="s">
        <v>49</v>
      </c>
      <c r="AV16" s="38"/>
      <c r="AZ16" s="38"/>
      <c r="BD16" s="38"/>
      <c r="BH16" s="38"/>
      <c r="BL16" s="38"/>
      <c r="BP16" s="38"/>
      <c r="BT16" s="38"/>
      <c r="BX16" s="38"/>
      <c r="CB16" s="38"/>
      <c r="CF16" s="38"/>
      <c r="CJ16" s="38"/>
    </row>
    <row r="17" spans="1:88">
      <c r="A17" s="62">
        <v>3</v>
      </c>
      <c r="B17" s="61" t="s">
        <v>61</v>
      </c>
      <c r="C17" s="61" t="s">
        <v>62</v>
      </c>
      <c r="D17" s="60" t="str">
        <f t="shared" si="4"/>
        <v>Andy Booth</v>
      </c>
      <c r="E17" s="4" t="s">
        <v>10</v>
      </c>
      <c r="F17" s="5">
        <f t="shared" si="5"/>
        <v>12</v>
      </c>
      <c r="G17" s="5">
        <f t="shared" si="6"/>
        <v>0</v>
      </c>
      <c r="H17" s="25">
        <f t="shared" si="7"/>
        <v>0</v>
      </c>
      <c r="I17" s="8" t="s">
        <v>47</v>
      </c>
      <c r="L17" s="38"/>
      <c r="M17" s="8" t="s">
        <v>47</v>
      </c>
      <c r="P17" s="38"/>
      <c r="Q17" s="30" t="s">
        <v>47</v>
      </c>
      <c r="T17" s="38"/>
      <c r="U17" s="8" t="s">
        <v>47</v>
      </c>
      <c r="X17" s="38"/>
      <c r="Y17" s="8" t="s">
        <v>47</v>
      </c>
      <c r="AB17" s="38"/>
      <c r="AF17" s="38"/>
      <c r="AJ17" s="38"/>
      <c r="AK17" s="8" t="s">
        <v>49</v>
      </c>
      <c r="AN17" s="38"/>
      <c r="AO17" s="8" t="s">
        <v>47</v>
      </c>
      <c r="AR17" s="38"/>
      <c r="AS17" s="8" t="s">
        <v>47</v>
      </c>
      <c r="AV17" s="38"/>
      <c r="AZ17" s="38">
        <v>4</v>
      </c>
      <c r="BA17" s="8" t="s">
        <v>47</v>
      </c>
      <c r="BD17" s="38"/>
      <c r="BE17" s="8" t="s">
        <v>47</v>
      </c>
      <c r="BH17" s="38"/>
      <c r="BI17" s="8" t="s">
        <v>47</v>
      </c>
      <c r="BL17" s="38"/>
      <c r="BP17" s="38"/>
      <c r="BQ17" s="8" t="s">
        <v>47</v>
      </c>
      <c r="BT17" s="38"/>
      <c r="BX17" s="38"/>
      <c r="CB17" s="38"/>
      <c r="CF17" s="38">
        <v>4</v>
      </c>
      <c r="CJ17" s="38">
        <v>4</v>
      </c>
    </row>
    <row r="18" spans="1:88">
      <c r="A18" s="62">
        <v>888</v>
      </c>
      <c r="B18" s="63" t="s">
        <v>102</v>
      </c>
      <c r="C18" s="63" t="s">
        <v>103</v>
      </c>
      <c r="D18" s="60" t="str">
        <f t="shared" si="4"/>
        <v>Lygon Bowen-west</v>
      </c>
      <c r="E18" s="4" t="s">
        <v>48</v>
      </c>
      <c r="F18" s="5">
        <f t="shared" si="5"/>
        <v>1</v>
      </c>
      <c r="G18" s="5">
        <f t="shared" si="6"/>
        <v>0</v>
      </c>
      <c r="H18" s="25">
        <f t="shared" si="7"/>
        <v>0</v>
      </c>
      <c r="L18" s="38"/>
      <c r="P18" s="38"/>
      <c r="T18" s="38"/>
      <c r="U18" s="8" t="s">
        <v>30</v>
      </c>
      <c r="X18" s="38"/>
      <c r="AB18" s="38"/>
      <c r="AF18" s="38"/>
      <c r="AJ18" s="38"/>
      <c r="AN18" s="38"/>
      <c r="AR18" s="38"/>
      <c r="AV18" s="38"/>
      <c r="AZ18" s="38"/>
      <c r="BD18" s="38"/>
      <c r="BH18" s="38"/>
      <c r="BL18" s="38"/>
      <c r="BP18" s="38"/>
      <c r="BT18" s="38"/>
      <c r="BX18" s="38"/>
      <c r="CB18" s="38"/>
      <c r="CF18" s="38"/>
      <c r="CJ18" s="38"/>
    </row>
    <row r="19" spans="1:88">
      <c r="A19" s="62">
        <v>888</v>
      </c>
      <c r="B19" s="63" t="s">
        <v>63</v>
      </c>
      <c r="C19" s="63" t="s">
        <v>64</v>
      </c>
      <c r="D19" s="60" t="str">
        <f t="shared" si="4"/>
        <v>Billy Camuso</v>
      </c>
      <c r="E19" s="4" t="s">
        <v>11</v>
      </c>
      <c r="F19" s="5">
        <f t="shared" si="5"/>
        <v>9</v>
      </c>
      <c r="G19" s="5">
        <f t="shared" si="6"/>
        <v>2</v>
      </c>
      <c r="H19" s="25">
        <f t="shared" si="7"/>
        <v>0</v>
      </c>
      <c r="I19" s="8" t="s">
        <v>32</v>
      </c>
      <c r="L19" s="38"/>
      <c r="M19" s="8" t="s">
        <v>32</v>
      </c>
      <c r="P19" s="38"/>
      <c r="Q19" s="30" t="s">
        <v>32</v>
      </c>
      <c r="T19" s="38"/>
      <c r="X19" s="38"/>
      <c r="Y19" s="8" t="s">
        <v>32</v>
      </c>
      <c r="AB19" s="38"/>
      <c r="AC19" s="8" t="s">
        <v>32</v>
      </c>
      <c r="AF19" s="38"/>
      <c r="AJ19" s="38"/>
      <c r="AK19" s="8" t="s">
        <v>32</v>
      </c>
      <c r="AN19" s="38"/>
      <c r="AR19" s="38"/>
      <c r="AV19" s="38"/>
      <c r="AZ19" s="38"/>
      <c r="BD19" s="38"/>
      <c r="BH19" s="38"/>
      <c r="BI19" s="8" t="s">
        <v>32</v>
      </c>
      <c r="BJ19" s="8">
        <v>1</v>
      </c>
      <c r="BL19" s="38"/>
      <c r="BP19" s="38"/>
      <c r="BQ19" s="8" t="s">
        <v>32</v>
      </c>
      <c r="BR19" s="8">
        <v>1</v>
      </c>
      <c r="BT19" s="38"/>
      <c r="BX19" s="38"/>
      <c r="CB19" s="38"/>
      <c r="CF19" s="38"/>
      <c r="CG19" s="8" t="s">
        <v>32</v>
      </c>
      <c r="CJ19" s="38"/>
    </row>
    <row r="20" spans="1:88">
      <c r="A20" s="62">
        <v>6</v>
      </c>
      <c r="B20" s="61" t="s">
        <v>65</v>
      </c>
      <c r="C20" s="61" t="s">
        <v>66</v>
      </c>
      <c r="D20" s="60" t="str">
        <f t="shared" si="4"/>
        <v>David Copple</v>
      </c>
      <c r="E20" s="4" t="s">
        <v>10</v>
      </c>
      <c r="F20" s="5">
        <f t="shared" si="5"/>
        <v>14</v>
      </c>
      <c r="G20" s="5">
        <f t="shared" si="6"/>
        <v>0</v>
      </c>
      <c r="H20" s="25">
        <f t="shared" si="7"/>
        <v>0</v>
      </c>
      <c r="I20" s="8" t="s">
        <v>47</v>
      </c>
      <c r="L20" s="38"/>
      <c r="M20" s="8" t="s">
        <v>47</v>
      </c>
      <c r="P20" s="38"/>
      <c r="Q20" s="30" t="s">
        <v>47</v>
      </c>
      <c r="T20" s="38"/>
      <c r="U20" s="8" t="s">
        <v>47</v>
      </c>
      <c r="X20" s="38"/>
      <c r="AB20" s="38"/>
      <c r="AC20" s="8" t="s">
        <v>47</v>
      </c>
      <c r="AF20" s="38"/>
      <c r="AJ20" s="38"/>
      <c r="AN20" s="38"/>
      <c r="AO20" s="8" t="s">
        <v>47</v>
      </c>
      <c r="AR20" s="38"/>
      <c r="AS20" s="8" t="s">
        <v>47</v>
      </c>
      <c r="AV20" s="38"/>
      <c r="AW20" s="8" t="s">
        <v>47</v>
      </c>
      <c r="AZ20" s="38"/>
      <c r="BA20" s="8" t="s">
        <v>47</v>
      </c>
      <c r="BD20" s="38"/>
      <c r="BE20" s="8" t="s">
        <v>47</v>
      </c>
      <c r="BH20" s="38"/>
      <c r="BI20" s="8" t="s">
        <v>47</v>
      </c>
      <c r="BL20" s="38"/>
      <c r="BP20" s="38"/>
      <c r="BQ20" s="8" t="s">
        <v>47</v>
      </c>
      <c r="BT20" s="38"/>
      <c r="BX20" s="38"/>
      <c r="CB20" s="38"/>
      <c r="CC20" s="8" t="s">
        <v>47</v>
      </c>
      <c r="CF20" s="38"/>
      <c r="CG20" s="8" t="s">
        <v>47</v>
      </c>
      <c r="CJ20" s="38"/>
    </row>
    <row r="21" spans="1:88">
      <c r="A21" s="62">
        <v>888</v>
      </c>
      <c r="B21" s="63" t="s">
        <v>67</v>
      </c>
      <c r="C21" s="63" t="s">
        <v>68</v>
      </c>
      <c r="D21" s="60" t="str">
        <f t="shared" si="4"/>
        <v>Eddie Dale</v>
      </c>
      <c r="E21" s="4" t="s">
        <v>9</v>
      </c>
      <c r="F21" s="5">
        <f t="shared" si="5"/>
        <v>6</v>
      </c>
      <c r="G21" s="5">
        <f t="shared" si="6"/>
        <v>0</v>
      </c>
      <c r="H21" s="25">
        <f t="shared" si="7"/>
        <v>0</v>
      </c>
      <c r="I21" s="8" t="s">
        <v>89</v>
      </c>
      <c r="L21" s="38"/>
      <c r="M21" s="8" t="s">
        <v>49</v>
      </c>
      <c r="P21" s="38"/>
      <c r="Q21" s="30" t="s">
        <v>49</v>
      </c>
      <c r="T21" s="38"/>
      <c r="U21" s="8" t="s">
        <v>49</v>
      </c>
      <c r="X21" s="38"/>
      <c r="Y21" s="8" t="s">
        <v>49</v>
      </c>
      <c r="AB21" s="38"/>
      <c r="AC21" s="8" t="s">
        <v>49</v>
      </c>
      <c r="AF21" s="38"/>
      <c r="AJ21" s="38"/>
      <c r="AN21" s="38"/>
      <c r="AR21" s="38"/>
      <c r="AV21" s="38"/>
      <c r="AZ21" s="38"/>
      <c r="BD21" s="38"/>
      <c r="BH21" s="38"/>
      <c r="BL21" s="38"/>
      <c r="BP21" s="38"/>
      <c r="BT21" s="38"/>
      <c r="BX21" s="38"/>
      <c r="CB21" s="38"/>
      <c r="CF21" s="38"/>
      <c r="CJ21" s="38"/>
    </row>
    <row r="22" spans="1:88">
      <c r="A22" s="62">
        <v>888</v>
      </c>
      <c r="B22" s="59" t="s">
        <v>99</v>
      </c>
      <c r="C22" s="59" t="s">
        <v>100</v>
      </c>
      <c r="D22" s="60" t="str">
        <f t="shared" si="4"/>
        <v>Will Duval</v>
      </c>
      <c r="E22" s="4" t="s">
        <v>12</v>
      </c>
      <c r="F22" s="5">
        <f t="shared" si="5"/>
        <v>1</v>
      </c>
      <c r="G22" s="5">
        <f t="shared" si="6"/>
        <v>1</v>
      </c>
      <c r="H22" s="25">
        <f t="shared" si="7"/>
        <v>0</v>
      </c>
      <c r="L22" s="38"/>
      <c r="P22" s="38"/>
      <c r="Q22" s="30" t="s">
        <v>49</v>
      </c>
      <c r="R22" s="8">
        <v>1</v>
      </c>
      <c r="T22" s="38"/>
      <c r="X22" s="38"/>
      <c r="AB22" s="38"/>
      <c r="AF22" s="38"/>
      <c r="AJ22" s="38"/>
      <c r="AN22" s="38"/>
      <c r="AR22" s="38"/>
      <c r="AV22" s="38"/>
      <c r="AZ22" s="38"/>
      <c r="BD22" s="38"/>
      <c r="BH22" s="38"/>
      <c r="BL22" s="38"/>
      <c r="BP22" s="38"/>
      <c r="BT22" s="38"/>
      <c r="BX22" s="38"/>
      <c r="CB22" s="38"/>
      <c r="CF22" s="38"/>
      <c r="CJ22" s="38"/>
    </row>
    <row r="23" spans="1:88">
      <c r="A23" s="62">
        <v>888</v>
      </c>
      <c r="B23" s="59" t="s">
        <v>69</v>
      </c>
      <c r="C23" s="59" t="s">
        <v>70</v>
      </c>
      <c r="D23" s="60" t="str">
        <f t="shared" si="4"/>
        <v>Eugene Fung</v>
      </c>
      <c r="E23" s="4" t="s">
        <v>12</v>
      </c>
      <c r="F23" s="5">
        <f t="shared" si="5"/>
        <v>1</v>
      </c>
      <c r="G23" s="5">
        <f t="shared" si="6"/>
        <v>0</v>
      </c>
      <c r="H23" s="25">
        <f t="shared" si="7"/>
        <v>0</v>
      </c>
      <c r="L23" s="38"/>
      <c r="P23" s="38"/>
      <c r="Q23" s="30" t="s">
        <v>49</v>
      </c>
      <c r="T23" s="38"/>
      <c r="X23" s="38"/>
      <c r="AB23" s="38"/>
      <c r="AF23" s="38"/>
      <c r="AJ23" s="38"/>
      <c r="AN23" s="38"/>
      <c r="AR23" s="38"/>
      <c r="AV23" s="38"/>
      <c r="AZ23" s="38"/>
      <c r="BD23" s="38"/>
      <c r="BH23" s="38"/>
      <c r="BL23" s="38"/>
      <c r="BP23" s="38"/>
      <c r="BT23" s="38"/>
      <c r="BX23" s="38"/>
      <c r="CB23" s="38"/>
      <c r="CF23" s="38"/>
      <c r="CJ23" s="38"/>
    </row>
    <row r="24" spans="1:88">
      <c r="A24" s="62">
        <v>888</v>
      </c>
      <c r="B24" s="63" t="s">
        <v>58</v>
      </c>
      <c r="C24" s="65" t="s">
        <v>120</v>
      </c>
      <c r="D24" s="60" t="str">
        <f t="shared" si="4"/>
        <v>Sam Guest</v>
      </c>
      <c r="E24" s="4" t="s">
        <v>10</v>
      </c>
      <c r="F24" s="5">
        <f t="shared" si="5"/>
        <v>3</v>
      </c>
      <c r="G24" s="5">
        <f t="shared" si="6"/>
        <v>1</v>
      </c>
      <c r="H24" s="25">
        <f t="shared" si="7"/>
        <v>0</v>
      </c>
      <c r="L24" s="38"/>
      <c r="P24" s="38"/>
      <c r="T24" s="38"/>
      <c r="X24" s="38"/>
      <c r="AB24" s="38"/>
      <c r="AF24" s="38"/>
      <c r="AJ24" s="38"/>
      <c r="AN24" s="38"/>
      <c r="AR24" s="38"/>
      <c r="AV24" s="38"/>
      <c r="AW24" s="8" t="s">
        <v>47</v>
      </c>
      <c r="AX24" s="8">
        <v>1</v>
      </c>
      <c r="AZ24" s="38"/>
      <c r="BD24" s="38"/>
      <c r="BE24" s="8" t="s">
        <v>47</v>
      </c>
      <c r="BH24" s="38"/>
      <c r="BL24" s="38"/>
      <c r="BP24" s="38"/>
      <c r="BT24" s="38"/>
      <c r="BX24" s="38"/>
      <c r="CB24" s="38"/>
      <c r="CF24" s="38"/>
      <c r="CG24" s="8" t="s">
        <v>47</v>
      </c>
      <c r="CJ24" s="38"/>
    </row>
    <row r="25" spans="1:88">
      <c r="A25" s="62">
        <v>888</v>
      </c>
      <c r="B25" s="63" t="s">
        <v>86</v>
      </c>
      <c r="C25" s="65" t="s">
        <v>110</v>
      </c>
      <c r="D25" s="60" t="str">
        <f t="shared" ref="D25:D26" si="8">IF(C25&lt;&gt;"",CONCATENATE(B25," ",C25),B25)</f>
        <v>Jacob Hall</v>
      </c>
      <c r="E25" s="4" t="s">
        <v>12</v>
      </c>
      <c r="F25" s="5">
        <f t="shared" ref="F25:F26" si="9">COUNTIF(I25:CO25,"=*")</f>
        <v>5</v>
      </c>
      <c r="G25" s="5">
        <f t="shared" ref="G25:G26" si="10">SUMIF(I$9:CO$9,"G",I25:CO25)</f>
        <v>1</v>
      </c>
      <c r="H25" s="25">
        <f t="shared" ref="H25:H26" si="11">SUMIF(I$9:CO$9,"A",I25:CO25)</f>
        <v>0</v>
      </c>
      <c r="L25" s="38"/>
      <c r="P25" s="38"/>
      <c r="T25" s="38"/>
      <c r="X25" s="38"/>
      <c r="Y25" s="8" t="s">
        <v>49</v>
      </c>
      <c r="Z25" s="8">
        <v>1</v>
      </c>
      <c r="AB25" s="38"/>
      <c r="AF25" s="38"/>
      <c r="AJ25" s="38"/>
      <c r="AK25" s="8" t="s">
        <v>49</v>
      </c>
      <c r="AN25" s="38"/>
      <c r="AR25" s="38"/>
      <c r="AV25" s="38"/>
      <c r="AW25" s="8" t="s">
        <v>49</v>
      </c>
      <c r="AZ25" s="38"/>
      <c r="BA25" s="8" t="s">
        <v>49</v>
      </c>
      <c r="BD25" s="38"/>
      <c r="BE25" s="8" t="s">
        <v>49</v>
      </c>
      <c r="BH25" s="38"/>
      <c r="BL25" s="38"/>
      <c r="BP25" s="38"/>
      <c r="BT25" s="38"/>
      <c r="BX25" s="38"/>
      <c r="CB25" s="38"/>
      <c r="CF25" s="38"/>
      <c r="CJ25" s="38"/>
    </row>
    <row r="26" spans="1:88">
      <c r="A26" s="62">
        <v>888</v>
      </c>
      <c r="B26" s="63" t="s">
        <v>58</v>
      </c>
      <c r="C26" s="65" t="s">
        <v>123</v>
      </c>
      <c r="D26" s="60" t="str">
        <f t="shared" si="8"/>
        <v>Sam Hallows</v>
      </c>
      <c r="E26" s="4" t="s">
        <v>11</v>
      </c>
      <c r="F26" s="5">
        <f t="shared" si="9"/>
        <v>3</v>
      </c>
      <c r="G26" s="5">
        <f t="shared" si="10"/>
        <v>0</v>
      </c>
      <c r="H26" s="25">
        <f t="shared" si="11"/>
        <v>0</v>
      </c>
      <c r="L26" s="38"/>
      <c r="P26" s="38"/>
      <c r="T26" s="38"/>
      <c r="X26" s="38"/>
      <c r="AB26" s="38"/>
      <c r="AF26" s="38"/>
      <c r="AJ26" s="38"/>
      <c r="AN26" s="38"/>
      <c r="AR26" s="38"/>
      <c r="AV26" s="38"/>
      <c r="AZ26" s="38"/>
      <c r="BD26" s="38"/>
      <c r="BH26" s="38"/>
      <c r="BL26" s="38"/>
      <c r="BP26" s="38"/>
      <c r="BQ26" s="8" t="s">
        <v>32</v>
      </c>
      <c r="BT26" s="38"/>
      <c r="BX26" s="38"/>
      <c r="CB26" s="38"/>
      <c r="CC26" s="8" t="s">
        <v>32</v>
      </c>
      <c r="CF26" s="38"/>
      <c r="CG26" s="8" t="s">
        <v>32</v>
      </c>
      <c r="CJ26" s="38"/>
    </row>
    <row r="27" spans="1:88">
      <c r="A27" s="62">
        <v>888</v>
      </c>
      <c r="B27" s="63" t="s">
        <v>65</v>
      </c>
      <c r="C27" s="65" t="s">
        <v>128</v>
      </c>
      <c r="D27" s="60" t="str">
        <f t="shared" ref="D27:D42" si="12">IF(C27&lt;&gt;"",CONCATENATE(B27," ",C27),B27)</f>
        <v>David Hudson</v>
      </c>
      <c r="E27" s="4" t="s">
        <v>10</v>
      </c>
      <c r="F27" s="5">
        <f t="shared" ref="F27:F41" si="13">COUNTIF(I27:CO27,"=*")</f>
        <v>1</v>
      </c>
      <c r="G27" s="5">
        <f t="shared" ref="G27:G41" si="14">SUMIF(I$9:CO$9,"G",I27:CO27)</f>
        <v>0</v>
      </c>
      <c r="H27" s="25">
        <f t="shared" ref="H27:H41" si="15">SUMIF(I$9:CO$9,"A",I27:CO27)</f>
        <v>0</v>
      </c>
      <c r="L27" s="38"/>
      <c r="P27" s="38"/>
      <c r="T27" s="38"/>
      <c r="X27" s="38"/>
      <c r="AB27" s="38"/>
      <c r="AF27" s="38"/>
      <c r="AJ27" s="38"/>
      <c r="AN27" s="38"/>
      <c r="AR27" s="38"/>
      <c r="AV27" s="38"/>
      <c r="AZ27" s="38"/>
      <c r="BD27" s="38"/>
      <c r="BH27" s="38"/>
      <c r="BL27" s="38"/>
      <c r="BP27" s="38"/>
      <c r="BT27" s="38"/>
      <c r="BX27" s="38"/>
      <c r="CB27" s="38"/>
      <c r="CF27" s="38"/>
      <c r="CG27" s="8" t="s">
        <v>49</v>
      </c>
      <c r="CJ27" s="38"/>
    </row>
    <row r="28" spans="1:88">
      <c r="A28" s="62">
        <v>888</v>
      </c>
      <c r="B28" s="63" t="s">
        <v>71</v>
      </c>
      <c r="C28" s="65" t="s">
        <v>72</v>
      </c>
      <c r="D28" s="60" t="str">
        <f t="shared" si="12"/>
        <v>Ben Iremonger</v>
      </c>
      <c r="E28" s="4" t="s">
        <v>12</v>
      </c>
      <c r="F28" s="5">
        <f t="shared" si="13"/>
        <v>7</v>
      </c>
      <c r="G28" s="5">
        <f t="shared" si="14"/>
        <v>8</v>
      </c>
      <c r="H28" s="25">
        <f t="shared" si="15"/>
        <v>0</v>
      </c>
      <c r="L28" s="38"/>
      <c r="M28" s="8" t="s">
        <v>49</v>
      </c>
      <c r="N28" s="8">
        <v>2</v>
      </c>
      <c r="P28" s="38"/>
      <c r="Q28" s="30" t="s">
        <v>49</v>
      </c>
      <c r="T28" s="38"/>
      <c r="U28" s="8" t="s">
        <v>49</v>
      </c>
      <c r="V28" s="8">
        <v>1</v>
      </c>
      <c r="X28" s="38"/>
      <c r="Y28" s="8" t="s">
        <v>49</v>
      </c>
      <c r="AB28" s="38"/>
      <c r="AF28" s="38"/>
      <c r="AJ28" s="38"/>
      <c r="AN28" s="38"/>
      <c r="AR28" s="38"/>
      <c r="AS28" s="8" t="s">
        <v>49</v>
      </c>
      <c r="AV28" s="38"/>
      <c r="AZ28" s="38"/>
      <c r="BA28" s="8" t="s">
        <v>49</v>
      </c>
      <c r="BB28" s="8">
        <v>4</v>
      </c>
      <c r="BD28" s="38"/>
      <c r="BE28" s="8" t="s">
        <v>49</v>
      </c>
      <c r="BF28" s="8">
        <v>1</v>
      </c>
      <c r="BH28" s="38"/>
      <c r="BL28" s="38"/>
      <c r="BP28" s="38"/>
      <c r="BT28" s="38"/>
      <c r="BX28" s="38"/>
      <c r="CB28" s="38"/>
      <c r="CF28" s="38"/>
      <c r="CJ28" s="38"/>
    </row>
    <row r="29" spans="1:88">
      <c r="A29" s="4">
        <v>888</v>
      </c>
      <c r="B29" s="4" t="s">
        <v>85</v>
      </c>
      <c r="C29" s="61" t="s">
        <v>84</v>
      </c>
      <c r="D29" s="60" t="str">
        <f t="shared" si="12"/>
        <v>Luke Johnstone</v>
      </c>
      <c r="E29" s="4" t="s">
        <v>11</v>
      </c>
      <c r="F29" s="5">
        <f t="shared" si="13"/>
        <v>3</v>
      </c>
      <c r="G29" s="5">
        <f t="shared" si="14"/>
        <v>3</v>
      </c>
      <c r="H29" s="25">
        <f t="shared" si="15"/>
        <v>0</v>
      </c>
      <c r="I29" s="8" t="s">
        <v>32</v>
      </c>
      <c r="J29" s="8">
        <v>1</v>
      </c>
      <c r="L29" s="38"/>
      <c r="P29" s="38"/>
      <c r="T29" s="38"/>
      <c r="U29" s="8" t="s">
        <v>32</v>
      </c>
      <c r="V29" s="8">
        <v>2</v>
      </c>
      <c r="X29" s="38"/>
      <c r="AB29" s="38"/>
      <c r="AF29" s="38"/>
      <c r="AJ29" s="38"/>
      <c r="AN29" s="38"/>
      <c r="AR29" s="38"/>
      <c r="AV29" s="38"/>
      <c r="AZ29" s="38"/>
      <c r="BD29" s="38"/>
      <c r="BH29" s="38"/>
      <c r="BL29" s="38"/>
      <c r="BP29" s="38"/>
      <c r="BT29" s="38"/>
      <c r="BX29" s="38"/>
      <c r="CB29" s="38"/>
      <c r="CF29" s="38"/>
      <c r="CG29" s="8" t="s">
        <v>32</v>
      </c>
      <c r="CJ29" s="38"/>
    </row>
    <row r="30" spans="1:88">
      <c r="A30" s="62">
        <v>9</v>
      </c>
      <c r="B30" s="61" t="s">
        <v>73</v>
      </c>
      <c r="C30" s="61" t="s">
        <v>84</v>
      </c>
      <c r="D30" s="60" t="str">
        <f t="shared" si="12"/>
        <v>Myles Johnstone</v>
      </c>
      <c r="E30" s="4" t="s">
        <v>12</v>
      </c>
      <c r="F30" s="5">
        <f t="shared" si="13"/>
        <v>15</v>
      </c>
      <c r="G30" s="5">
        <f t="shared" si="14"/>
        <v>7</v>
      </c>
      <c r="H30" s="25">
        <f t="shared" si="15"/>
        <v>0</v>
      </c>
      <c r="I30" s="8" t="s">
        <v>49</v>
      </c>
      <c r="J30" s="8">
        <v>1</v>
      </c>
      <c r="L30" s="38"/>
      <c r="M30" s="8" t="s">
        <v>49</v>
      </c>
      <c r="P30" s="38"/>
      <c r="Q30" s="30" t="s">
        <v>49</v>
      </c>
      <c r="T30" s="38"/>
      <c r="U30" s="8" t="s">
        <v>49</v>
      </c>
      <c r="V30" s="8">
        <v>1</v>
      </c>
      <c r="X30" s="38"/>
      <c r="Y30" s="8" t="s">
        <v>49</v>
      </c>
      <c r="Z30" s="8">
        <v>1</v>
      </c>
      <c r="AB30" s="38"/>
      <c r="AC30" s="8" t="s">
        <v>49</v>
      </c>
      <c r="AF30" s="38"/>
      <c r="AJ30" s="38"/>
      <c r="AK30" s="8" t="s">
        <v>49</v>
      </c>
      <c r="AL30" s="8">
        <v>1</v>
      </c>
      <c r="AN30" s="38"/>
      <c r="AO30" s="8" t="s">
        <v>32</v>
      </c>
      <c r="AR30" s="38"/>
      <c r="AS30" s="8" t="s">
        <v>32</v>
      </c>
      <c r="AV30" s="38"/>
      <c r="AW30" s="8" t="s">
        <v>32</v>
      </c>
      <c r="AZ30" s="38"/>
      <c r="BA30" s="8" t="s">
        <v>32</v>
      </c>
      <c r="BB30" s="8">
        <v>1</v>
      </c>
      <c r="BD30" s="38"/>
      <c r="BE30" s="8" t="s">
        <v>32</v>
      </c>
      <c r="BF30" s="8">
        <v>1</v>
      </c>
      <c r="BH30" s="38"/>
      <c r="BI30" s="8" t="s">
        <v>32</v>
      </c>
      <c r="BL30" s="38"/>
      <c r="BP30" s="38"/>
      <c r="BT30" s="38"/>
      <c r="BX30" s="38"/>
      <c r="CB30" s="38"/>
      <c r="CC30" s="8" t="s">
        <v>49</v>
      </c>
      <c r="CF30" s="38"/>
      <c r="CG30" s="8" t="s">
        <v>49</v>
      </c>
      <c r="CH30" s="8">
        <v>1</v>
      </c>
      <c r="CJ30" s="38"/>
    </row>
    <row r="31" spans="1:88">
      <c r="A31" s="62">
        <v>888</v>
      </c>
      <c r="B31" s="63" t="s">
        <v>99</v>
      </c>
      <c r="C31" s="65" t="s">
        <v>113</v>
      </c>
      <c r="D31" s="60" t="str">
        <f t="shared" si="12"/>
        <v>Will Lucas</v>
      </c>
      <c r="E31" s="4" t="s">
        <v>10</v>
      </c>
      <c r="F31" s="5">
        <f t="shared" si="13"/>
        <v>3</v>
      </c>
      <c r="G31" s="5">
        <f t="shared" si="14"/>
        <v>0</v>
      </c>
      <c r="H31" s="25">
        <f t="shared" si="15"/>
        <v>0</v>
      </c>
      <c r="L31" s="38"/>
      <c r="P31" s="38"/>
      <c r="T31" s="38"/>
      <c r="X31" s="38"/>
      <c r="AB31" s="38"/>
      <c r="AF31" s="38"/>
      <c r="AJ31" s="38"/>
      <c r="AK31" s="8" t="s">
        <v>47</v>
      </c>
      <c r="AN31" s="38"/>
      <c r="AR31" s="38"/>
      <c r="AV31" s="38"/>
      <c r="AZ31" s="38"/>
      <c r="BD31" s="38"/>
      <c r="BH31" s="38"/>
      <c r="BL31" s="38"/>
      <c r="BP31" s="38"/>
      <c r="BT31" s="38"/>
      <c r="BX31" s="38"/>
      <c r="CB31" s="38"/>
      <c r="CC31" s="8" t="s">
        <v>47</v>
      </c>
      <c r="CF31" s="38"/>
      <c r="CG31" s="8" t="s">
        <v>47</v>
      </c>
      <c r="CJ31" s="38"/>
    </row>
    <row r="32" spans="1:88">
      <c r="A32" s="62">
        <v>888</v>
      </c>
      <c r="B32" s="63" t="s">
        <v>81</v>
      </c>
      <c r="C32" s="65" t="s">
        <v>124</v>
      </c>
      <c r="D32" s="60" t="str">
        <f t="shared" si="12"/>
        <v>Kieran Kershaw</v>
      </c>
      <c r="E32" s="4" t="s">
        <v>12</v>
      </c>
      <c r="F32" s="5">
        <f t="shared" si="13"/>
        <v>1</v>
      </c>
      <c r="G32" s="5">
        <f t="shared" si="14"/>
        <v>0</v>
      </c>
      <c r="H32" s="25">
        <f t="shared" si="15"/>
        <v>0</v>
      </c>
      <c r="L32" s="38"/>
      <c r="P32" s="38"/>
      <c r="T32" s="38"/>
      <c r="X32" s="38"/>
      <c r="AB32" s="38"/>
      <c r="AF32" s="38"/>
      <c r="AJ32" s="38"/>
      <c r="AN32" s="38"/>
      <c r="AR32" s="38"/>
      <c r="AV32" s="38"/>
      <c r="AZ32" s="38"/>
      <c r="BD32" s="38"/>
      <c r="BH32" s="38"/>
      <c r="BL32" s="38"/>
      <c r="BP32" s="38"/>
      <c r="BQ32" s="8" t="s">
        <v>49</v>
      </c>
      <c r="BT32" s="38"/>
      <c r="BX32" s="38"/>
      <c r="CB32" s="38"/>
      <c r="CF32" s="38"/>
      <c r="CJ32" s="38"/>
    </row>
    <row r="33" spans="1:88">
      <c r="A33" s="62">
        <v>888</v>
      </c>
      <c r="B33" s="63" t="s">
        <v>104</v>
      </c>
      <c r="C33" s="65" t="s">
        <v>105</v>
      </c>
      <c r="D33" s="60" t="str">
        <f t="shared" si="12"/>
        <v>Charlie Merry</v>
      </c>
      <c r="E33" s="4" t="s">
        <v>10</v>
      </c>
      <c r="F33" s="5">
        <f t="shared" si="13"/>
        <v>1</v>
      </c>
      <c r="G33" s="5">
        <f t="shared" si="14"/>
        <v>0</v>
      </c>
      <c r="H33" s="25">
        <f t="shared" si="15"/>
        <v>0</v>
      </c>
      <c r="L33" s="38"/>
      <c r="P33" s="38"/>
      <c r="T33" s="38"/>
      <c r="U33" s="8" t="s">
        <v>47</v>
      </c>
      <c r="X33" s="38"/>
      <c r="AB33" s="38"/>
      <c r="AF33" s="38"/>
      <c r="AJ33" s="38"/>
      <c r="AN33" s="38"/>
      <c r="AR33" s="38"/>
      <c r="AV33" s="38"/>
      <c r="AZ33" s="38"/>
      <c r="BD33" s="38"/>
      <c r="BH33" s="38"/>
      <c r="BL33" s="38"/>
      <c r="BP33" s="38"/>
      <c r="BT33" s="38"/>
      <c r="BX33" s="38"/>
      <c r="CB33" s="38"/>
      <c r="CF33" s="38"/>
      <c r="CJ33" s="38"/>
    </row>
    <row r="34" spans="1:88">
      <c r="A34" s="4">
        <v>888</v>
      </c>
      <c r="B34" s="4" t="s">
        <v>108</v>
      </c>
      <c r="C34" s="1" t="s">
        <v>109</v>
      </c>
      <c r="D34" s="60" t="str">
        <f t="shared" si="12"/>
        <v>Conor Mills</v>
      </c>
      <c r="E34" s="4" t="s">
        <v>10</v>
      </c>
      <c r="F34" s="5">
        <f t="shared" si="13"/>
        <v>7</v>
      </c>
      <c r="G34" s="5">
        <f t="shared" si="14"/>
        <v>0</v>
      </c>
      <c r="H34" s="25">
        <f t="shared" si="15"/>
        <v>0</v>
      </c>
      <c r="L34" s="38"/>
      <c r="P34" s="38"/>
      <c r="T34" s="38"/>
      <c r="X34" s="38"/>
      <c r="Y34" s="8" t="s">
        <v>47</v>
      </c>
      <c r="AB34" s="38"/>
      <c r="AF34" s="38"/>
      <c r="AJ34" s="38"/>
      <c r="AK34" s="8" t="s">
        <v>47</v>
      </c>
      <c r="AN34" s="38"/>
      <c r="AO34" s="8" t="s">
        <v>47</v>
      </c>
      <c r="AR34" s="38"/>
      <c r="AV34" s="38"/>
      <c r="AZ34" s="38"/>
      <c r="BA34" s="8" t="s">
        <v>47</v>
      </c>
      <c r="BD34" s="38"/>
      <c r="BH34" s="38"/>
      <c r="BL34" s="38"/>
      <c r="BP34" s="38"/>
      <c r="BQ34" s="8" t="s">
        <v>47</v>
      </c>
      <c r="BT34" s="38"/>
      <c r="BX34" s="38"/>
      <c r="CB34" s="38"/>
      <c r="CC34" s="8" t="s">
        <v>47</v>
      </c>
      <c r="CF34" s="38"/>
      <c r="CG34" s="8" t="s">
        <v>47</v>
      </c>
      <c r="CJ34" s="38"/>
    </row>
    <row r="35" spans="1:88">
      <c r="A35" s="62">
        <v>7</v>
      </c>
      <c r="B35" s="61" t="s">
        <v>74</v>
      </c>
      <c r="C35" s="61" t="s">
        <v>75</v>
      </c>
      <c r="D35" s="60" t="str">
        <f t="shared" si="12"/>
        <v>Matt Payne</v>
      </c>
      <c r="E35" s="4" t="s">
        <v>11</v>
      </c>
      <c r="F35" s="5">
        <f t="shared" si="13"/>
        <v>12</v>
      </c>
      <c r="G35" s="5">
        <f t="shared" si="14"/>
        <v>23</v>
      </c>
      <c r="H35" s="25">
        <f t="shared" si="15"/>
        <v>0</v>
      </c>
      <c r="L35" s="38"/>
      <c r="M35" s="8" t="s">
        <v>32</v>
      </c>
      <c r="N35" s="8">
        <v>5</v>
      </c>
      <c r="P35" s="38"/>
      <c r="Q35" s="30" t="s">
        <v>32</v>
      </c>
      <c r="R35" s="8">
        <v>1</v>
      </c>
      <c r="T35" s="38"/>
      <c r="U35" s="8" t="s">
        <v>32</v>
      </c>
      <c r="V35" s="8">
        <v>3</v>
      </c>
      <c r="X35" s="38"/>
      <c r="AB35" s="38"/>
      <c r="AC35" s="8" t="s">
        <v>32</v>
      </c>
      <c r="AD35" s="8">
        <v>1</v>
      </c>
      <c r="AF35" s="38"/>
      <c r="AJ35" s="38"/>
      <c r="AK35" s="8" t="s">
        <v>32</v>
      </c>
      <c r="AL35" s="8">
        <v>2</v>
      </c>
      <c r="AN35" s="38"/>
      <c r="AO35" s="8" t="s">
        <v>32</v>
      </c>
      <c r="AP35" s="8">
        <v>5</v>
      </c>
      <c r="AR35" s="38"/>
      <c r="AS35" s="8" t="s">
        <v>32</v>
      </c>
      <c r="AT35" s="8">
        <v>1</v>
      </c>
      <c r="AV35" s="38"/>
      <c r="AW35" s="8" t="s">
        <v>32</v>
      </c>
      <c r="AX35" s="8">
        <v>2</v>
      </c>
      <c r="AZ35" s="38"/>
      <c r="BD35" s="38"/>
      <c r="BE35" s="8" t="s">
        <v>32</v>
      </c>
      <c r="BH35" s="38"/>
      <c r="BI35" s="8" t="s">
        <v>32</v>
      </c>
      <c r="BJ35" s="8">
        <v>2</v>
      </c>
      <c r="BL35" s="38"/>
      <c r="BP35" s="38"/>
      <c r="BT35" s="38"/>
      <c r="BX35" s="38"/>
      <c r="CB35" s="38"/>
      <c r="CC35" s="8" t="s">
        <v>32</v>
      </c>
      <c r="CD35" s="8">
        <v>1</v>
      </c>
      <c r="CF35" s="38"/>
      <c r="CG35" s="8" t="s">
        <v>32</v>
      </c>
      <c r="CJ35" s="38"/>
    </row>
    <row r="36" spans="1:88">
      <c r="A36" s="62">
        <v>888</v>
      </c>
      <c r="B36" s="64" t="s">
        <v>76</v>
      </c>
      <c r="C36" s="60" t="s">
        <v>77</v>
      </c>
      <c r="D36" s="60" t="str">
        <f t="shared" si="12"/>
        <v>Richard Pearse</v>
      </c>
      <c r="E36" s="63" t="s">
        <v>12</v>
      </c>
      <c r="F36" s="5">
        <f t="shared" si="13"/>
        <v>12</v>
      </c>
      <c r="G36" s="5">
        <f t="shared" si="14"/>
        <v>8</v>
      </c>
      <c r="H36" s="25">
        <f t="shared" si="15"/>
        <v>0</v>
      </c>
      <c r="I36" s="8" t="s">
        <v>49</v>
      </c>
      <c r="L36" s="38"/>
      <c r="M36" s="8" t="s">
        <v>49</v>
      </c>
      <c r="N36" s="8">
        <v>2</v>
      </c>
      <c r="P36" s="38"/>
      <c r="T36" s="38"/>
      <c r="X36" s="38"/>
      <c r="Y36" s="8" t="s">
        <v>32</v>
      </c>
      <c r="AB36" s="38"/>
      <c r="AC36" s="8" t="s">
        <v>49</v>
      </c>
      <c r="AF36" s="38"/>
      <c r="AJ36" s="38"/>
      <c r="AN36" s="38"/>
      <c r="AO36" s="8" t="s">
        <v>49</v>
      </c>
      <c r="AR36" s="38"/>
      <c r="AS36" s="8" t="s">
        <v>49</v>
      </c>
      <c r="AT36" s="8">
        <v>1</v>
      </c>
      <c r="AV36" s="38"/>
      <c r="AW36" s="8" t="s">
        <v>49</v>
      </c>
      <c r="AZ36" s="38"/>
      <c r="BA36" s="8" t="s">
        <v>32</v>
      </c>
      <c r="BB36" s="8">
        <v>1</v>
      </c>
      <c r="BD36" s="38"/>
      <c r="BH36" s="38"/>
      <c r="BI36" s="8" t="s">
        <v>49</v>
      </c>
      <c r="BJ36" s="8">
        <v>3</v>
      </c>
      <c r="BL36" s="38"/>
      <c r="BP36" s="38"/>
      <c r="BQ36" s="8" t="s">
        <v>49</v>
      </c>
      <c r="BR36" s="8">
        <v>1</v>
      </c>
      <c r="BT36" s="38"/>
      <c r="BX36" s="38"/>
      <c r="CB36" s="38"/>
      <c r="CC36" s="8" t="s">
        <v>49</v>
      </c>
      <c r="CF36" s="38"/>
      <c r="CG36" s="8" t="s">
        <v>49</v>
      </c>
      <c r="CJ36" s="38"/>
    </row>
    <row r="37" spans="1:88" ht="13.5" customHeight="1">
      <c r="A37" s="62">
        <v>888</v>
      </c>
      <c r="B37" s="63" t="s">
        <v>78</v>
      </c>
      <c r="C37" s="63" t="s">
        <v>79</v>
      </c>
      <c r="D37" s="60" t="str">
        <f t="shared" si="12"/>
        <v>Eliot Pugh</v>
      </c>
      <c r="E37" s="63" t="s">
        <v>48</v>
      </c>
      <c r="F37" s="5">
        <f t="shared" si="13"/>
        <v>1</v>
      </c>
      <c r="G37" s="5">
        <f t="shared" si="14"/>
        <v>0</v>
      </c>
      <c r="H37" s="25">
        <f t="shared" si="15"/>
        <v>0</v>
      </c>
      <c r="L37" s="38"/>
      <c r="P37" s="38"/>
      <c r="T37" s="38"/>
      <c r="X37" s="38"/>
      <c r="AB37" s="38"/>
      <c r="AF37" s="38"/>
      <c r="AJ37" s="38"/>
      <c r="AN37" s="38"/>
      <c r="AR37" s="38"/>
      <c r="AS37" s="8" t="s">
        <v>30</v>
      </c>
      <c r="AV37" s="38"/>
      <c r="AZ37" s="38"/>
      <c r="BD37" s="38"/>
      <c r="BH37" s="38"/>
      <c r="BL37" s="38"/>
      <c r="BP37" s="38"/>
      <c r="BT37" s="38"/>
      <c r="BX37" s="38"/>
      <c r="CB37" s="38"/>
      <c r="CF37" s="38"/>
      <c r="CJ37" s="38"/>
    </row>
    <row r="38" spans="1:88" ht="13.5" customHeight="1">
      <c r="A38" s="62">
        <v>888</v>
      </c>
      <c r="B38" s="63" t="s">
        <v>71</v>
      </c>
      <c r="C38" s="63" t="s">
        <v>117</v>
      </c>
      <c r="D38" s="60" t="str">
        <f t="shared" si="12"/>
        <v>Ben Reed</v>
      </c>
      <c r="E38" s="4" t="s">
        <v>11</v>
      </c>
      <c r="F38" s="5">
        <f t="shared" si="13"/>
        <v>1</v>
      </c>
      <c r="G38" s="5">
        <f t="shared" si="14"/>
        <v>3</v>
      </c>
      <c r="H38" s="25">
        <f t="shared" si="15"/>
        <v>0</v>
      </c>
      <c r="L38" s="38"/>
      <c r="P38" s="38"/>
      <c r="T38" s="38"/>
      <c r="X38" s="38"/>
      <c r="AB38" s="38"/>
      <c r="AF38" s="38"/>
      <c r="AJ38" s="38"/>
      <c r="AN38" s="38"/>
      <c r="AR38" s="38"/>
      <c r="AV38" s="38"/>
      <c r="AW38" s="8" t="s">
        <v>32</v>
      </c>
      <c r="AX38" s="8">
        <v>3</v>
      </c>
      <c r="AZ38" s="38"/>
      <c r="BD38" s="38"/>
      <c r="BH38" s="38"/>
      <c r="BL38" s="38"/>
      <c r="BP38" s="38"/>
      <c r="BT38" s="38"/>
      <c r="BX38" s="38"/>
      <c r="CB38" s="38"/>
      <c r="CF38" s="38"/>
      <c r="CJ38" s="38"/>
    </row>
    <row r="39" spans="1:88">
      <c r="A39" s="62">
        <v>28</v>
      </c>
      <c r="B39" s="61" t="s">
        <v>59</v>
      </c>
      <c r="C39" s="61" t="s">
        <v>80</v>
      </c>
      <c r="D39" s="60" t="str">
        <f t="shared" si="12"/>
        <v>Dave Slaughter</v>
      </c>
      <c r="E39" s="4" t="s">
        <v>10</v>
      </c>
      <c r="F39" s="5">
        <f t="shared" si="13"/>
        <v>9</v>
      </c>
      <c r="G39" s="5">
        <f t="shared" si="14"/>
        <v>1</v>
      </c>
      <c r="H39" s="25">
        <f t="shared" si="15"/>
        <v>0</v>
      </c>
      <c r="I39" s="8" t="s">
        <v>47</v>
      </c>
      <c r="L39" s="38"/>
      <c r="P39" s="38">
        <v>4</v>
      </c>
      <c r="Q39" s="30" t="s">
        <v>30</v>
      </c>
      <c r="T39" s="38"/>
      <c r="X39" s="38">
        <v>4</v>
      </c>
      <c r="Y39" s="8" t="s">
        <v>47</v>
      </c>
      <c r="AB39" s="38"/>
      <c r="AC39" s="8" t="s">
        <v>47</v>
      </c>
      <c r="AF39" s="38"/>
      <c r="AJ39" s="38"/>
      <c r="AK39" s="8" t="s">
        <v>47</v>
      </c>
      <c r="AN39" s="38"/>
      <c r="AR39" s="38">
        <v>4</v>
      </c>
      <c r="AV39" s="38">
        <v>4</v>
      </c>
      <c r="AW39" s="8" t="s">
        <v>30</v>
      </c>
      <c r="AZ39" s="38"/>
      <c r="BA39" s="8" t="s">
        <v>32</v>
      </c>
      <c r="BB39" s="8">
        <v>1</v>
      </c>
      <c r="BD39" s="38"/>
      <c r="BH39" s="38">
        <v>4</v>
      </c>
      <c r="BI39" s="8" t="s">
        <v>47</v>
      </c>
      <c r="BL39" s="38"/>
      <c r="BP39" s="38"/>
      <c r="BQ39" s="8" t="s">
        <v>47</v>
      </c>
      <c r="BT39" s="38"/>
      <c r="BX39" s="38"/>
      <c r="CB39" s="38"/>
      <c r="CF39" s="38"/>
      <c r="CJ39" s="38"/>
    </row>
    <row r="40" spans="1:88" ht="13.5" customHeight="1">
      <c r="A40" s="62">
        <v>888</v>
      </c>
      <c r="B40" s="63" t="s">
        <v>86</v>
      </c>
      <c r="C40" s="63" t="s">
        <v>87</v>
      </c>
      <c r="D40" s="60" t="str">
        <f t="shared" si="12"/>
        <v>Jacob Thorne</v>
      </c>
      <c r="E40" s="4" t="s">
        <v>48</v>
      </c>
      <c r="F40" s="5">
        <f t="shared" si="13"/>
        <v>12</v>
      </c>
      <c r="G40" s="5">
        <f t="shared" si="14"/>
        <v>0</v>
      </c>
      <c r="H40" s="25">
        <f t="shared" si="15"/>
        <v>0</v>
      </c>
      <c r="I40" s="8" t="s">
        <v>30</v>
      </c>
      <c r="L40" s="38"/>
      <c r="M40" s="8" t="s">
        <v>30</v>
      </c>
      <c r="P40" s="38"/>
      <c r="T40" s="38"/>
      <c r="X40" s="38"/>
      <c r="Y40" s="8" t="s">
        <v>30</v>
      </c>
      <c r="AB40" s="38"/>
      <c r="AC40" s="8" t="s">
        <v>30</v>
      </c>
      <c r="AF40" s="38"/>
      <c r="AJ40" s="38"/>
      <c r="AK40" s="8" t="s">
        <v>30</v>
      </c>
      <c r="AN40" s="38"/>
      <c r="AO40" s="8" t="s">
        <v>30</v>
      </c>
      <c r="AR40" s="38"/>
      <c r="AV40" s="38"/>
      <c r="AZ40" s="38"/>
      <c r="BA40" s="8" t="s">
        <v>30</v>
      </c>
      <c r="BD40" s="38"/>
      <c r="BE40" s="8" t="s">
        <v>30</v>
      </c>
      <c r="BH40" s="38"/>
      <c r="BI40" s="8" t="s">
        <v>30</v>
      </c>
      <c r="BL40" s="38"/>
      <c r="BP40" s="38"/>
      <c r="BQ40" s="8" t="s">
        <v>30</v>
      </c>
      <c r="BT40" s="38"/>
      <c r="BX40" s="38"/>
      <c r="CB40" s="38"/>
      <c r="CC40" s="8" t="s">
        <v>30</v>
      </c>
      <c r="CF40" s="38"/>
      <c r="CG40" s="8" t="s">
        <v>30</v>
      </c>
      <c r="CJ40" s="38"/>
    </row>
    <row r="41" spans="1:88">
      <c r="A41" s="8">
        <v>888</v>
      </c>
      <c r="B41" s="8" t="s">
        <v>74</v>
      </c>
      <c r="C41" s="8" t="s">
        <v>98</v>
      </c>
      <c r="D41" s="60" t="str">
        <f t="shared" si="12"/>
        <v>Matt Twose</v>
      </c>
      <c r="E41" s="63" t="s">
        <v>12</v>
      </c>
      <c r="F41" s="5">
        <f t="shared" si="13"/>
        <v>13</v>
      </c>
      <c r="G41" s="5">
        <f t="shared" si="14"/>
        <v>7</v>
      </c>
      <c r="H41" s="25">
        <f t="shared" si="15"/>
        <v>0</v>
      </c>
      <c r="L41" s="38"/>
      <c r="M41" s="8" t="s">
        <v>49</v>
      </c>
      <c r="N41" s="8">
        <v>1</v>
      </c>
      <c r="P41" s="38"/>
      <c r="Q41" s="30" t="s">
        <v>49</v>
      </c>
      <c r="R41" s="8">
        <v>1</v>
      </c>
      <c r="T41" s="38"/>
      <c r="U41" s="8" t="s">
        <v>49</v>
      </c>
      <c r="V41" s="8">
        <v>2</v>
      </c>
      <c r="X41" s="38"/>
      <c r="Y41" s="8" t="s">
        <v>49</v>
      </c>
      <c r="Z41" s="8">
        <v>1</v>
      </c>
      <c r="AB41" s="38"/>
      <c r="AC41" s="8" t="s">
        <v>49</v>
      </c>
      <c r="AF41" s="38"/>
      <c r="AJ41" s="38"/>
      <c r="AN41" s="38"/>
      <c r="AO41" s="8" t="s">
        <v>49</v>
      </c>
      <c r="AP41" s="8">
        <v>1</v>
      </c>
      <c r="AR41" s="38"/>
      <c r="AS41" s="8" t="s">
        <v>49</v>
      </c>
      <c r="AV41" s="38"/>
      <c r="AW41" s="8" t="s">
        <v>49</v>
      </c>
      <c r="AZ41" s="38"/>
      <c r="BA41" s="8" t="s">
        <v>49</v>
      </c>
      <c r="BD41" s="38"/>
      <c r="BE41" s="8" t="s">
        <v>49</v>
      </c>
      <c r="BH41" s="38"/>
      <c r="BL41" s="38"/>
      <c r="BP41" s="38"/>
      <c r="BQ41" s="8" t="s">
        <v>49</v>
      </c>
      <c r="BT41" s="38"/>
      <c r="BX41" s="38"/>
      <c r="CB41" s="38"/>
      <c r="CC41" s="8" t="s">
        <v>49</v>
      </c>
      <c r="CD41" s="8">
        <v>1</v>
      </c>
      <c r="CF41" s="38"/>
      <c r="CG41" s="8" t="s">
        <v>49</v>
      </c>
      <c r="CJ41" s="38"/>
    </row>
    <row r="42" spans="1:88">
      <c r="A42" s="62">
        <v>888</v>
      </c>
      <c r="B42" s="64" t="s">
        <v>88</v>
      </c>
      <c r="C42" s="60" t="s">
        <v>129</v>
      </c>
      <c r="D42" s="60" t="str">
        <f t="shared" si="12"/>
        <v>Mark Winter</v>
      </c>
      <c r="E42" s="63" t="s">
        <v>10</v>
      </c>
      <c r="F42" s="5">
        <f>COUNTIF(I42:CO42,"=*")</f>
        <v>15</v>
      </c>
      <c r="G42" s="5">
        <f>SUMIF(I$9:CO$9,"G",I42:CO42)</f>
        <v>0</v>
      </c>
      <c r="H42" s="25">
        <f>SUMIF(I$9:CO$9,"A",I42:CO42)</f>
        <v>0</v>
      </c>
      <c r="I42" s="8" t="s">
        <v>47</v>
      </c>
      <c r="L42" s="38"/>
      <c r="M42" s="8" t="s">
        <v>47</v>
      </c>
      <c r="P42" s="38"/>
      <c r="Q42" s="30" t="s">
        <v>47</v>
      </c>
      <c r="T42" s="38"/>
      <c r="U42" s="8" t="s">
        <v>47</v>
      </c>
      <c r="X42" s="38"/>
      <c r="Y42" s="8" t="s">
        <v>47</v>
      </c>
      <c r="AB42" s="38"/>
      <c r="AC42" s="8" t="s">
        <v>47</v>
      </c>
      <c r="AF42" s="38"/>
      <c r="AJ42" s="38"/>
      <c r="AK42" s="8" t="s">
        <v>47</v>
      </c>
      <c r="AN42" s="38"/>
      <c r="AO42" s="8" t="s">
        <v>47</v>
      </c>
      <c r="AR42" s="38"/>
      <c r="AS42" s="8" t="s">
        <v>47</v>
      </c>
      <c r="AV42" s="38"/>
      <c r="AZ42" s="38"/>
      <c r="BA42" s="8" t="s">
        <v>47</v>
      </c>
      <c r="BD42" s="38"/>
      <c r="BE42" s="8" t="s">
        <v>47</v>
      </c>
      <c r="BH42" s="38"/>
      <c r="BI42" s="8" t="s">
        <v>47</v>
      </c>
      <c r="BL42" s="38"/>
      <c r="BP42" s="38"/>
      <c r="BQ42" s="8" t="s">
        <v>47</v>
      </c>
      <c r="BT42" s="38"/>
      <c r="BX42" s="38"/>
      <c r="CB42" s="38"/>
      <c r="CC42" s="8" t="s">
        <v>47</v>
      </c>
      <c r="CF42" s="38"/>
      <c r="CG42" s="8" t="s">
        <v>47</v>
      </c>
      <c r="CJ42" s="38"/>
    </row>
    <row r="43" spans="1:88">
      <c r="A43" s="4"/>
      <c r="B43" s="4"/>
      <c r="C43" s="4"/>
      <c r="D43" s="60">
        <f t="shared" si="0"/>
        <v>0</v>
      </c>
      <c r="E43" s="4"/>
      <c r="F43" s="5">
        <f t="shared" ref="F43:F44" si="16">COUNTIF(I43:CO43,"=*")</f>
        <v>0</v>
      </c>
      <c r="G43" s="5">
        <f t="shared" ref="G43:G44" si="17">SUMIF(I$9:CO$9,"G",I43:CO43)</f>
        <v>0</v>
      </c>
      <c r="H43" s="25">
        <f t="shared" ref="H43:H44" si="18">SUMIF(I$9:CO$9,"A",I43:CO43)</f>
        <v>0</v>
      </c>
      <c r="L43" s="38"/>
      <c r="P43" s="38"/>
      <c r="T43" s="38"/>
      <c r="X43" s="38"/>
      <c r="AB43" s="38"/>
      <c r="AF43" s="38"/>
      <c r="AJ43" s="38"/>
      <c r="AN43" s="38"/>
      <c r="AR43" s="38"/>
      <c r="AV43" s="38"/>
      <c r="AZ43" s="38"/>
      <c r="BD43" s="38"/>
      <c r="BH43" s="38"/>
      <c r="BL43" s="38"/>
      <c r="BP43" s="38"/>
      <c r="BT43" s="38"/>
      <c r="BX43" s="38"/>
      <c r="CB43" s="38"/>
      <c r="CF43" s="38"/>
      <c r="CJ43" s="38"/>
    </row>
    <row r="44" spans="1:88">
      <c r="A44" s="4"/>
      <c r="B44" s="4"/>
      <c r="C44" s="1"/>
      <c r="D44" s="60">
        <f t="shared" si="0"/>
        <v>0</v>
      </c>
      <c r="E44" s="4"/>
      <c r="F44" s="5">
        <f t="shared" si="16"/>
        <v>0</v>
      </c>
      <c r="G44" s="5">
        <f t="shared" si="17"/>
        <v>0</v>
      </c>
      <c r="H44" s="25">
        <f t="shared" si="18"/>
        <v>0</v>
      </c>
      <c r="L44" s="38"/>
      <c r="P44" s="38"/>
      <c r="T44" s="38"/>
      <c r="X44" s="38"/>
      <c r="AB44" s="38"/>
      <c r="AF44" s="38"/>
      <c r="AJ44" s="38"/>
      <c r="AN44" s="38"/>
      <c r="AR44" s="38"/>
      <c r="AV44" s="38"/>
      <c r="AZ44" s="38"/>
      <c r="BD44" s="38"/>
      <c r="BH44" s="38"/>
      <c r="BL44" s="38"/>
      <c r="BP44" s="38"/>
      <c r="BT44" s="38"/>
      <c r="BX44" s="38"/>
      <c r="CB44" s="38"/>
      <c r="CF44" s="38"/>
      <c r="CJ44" s="38"/>
    </row>
    <row r="45" spans="1:88">
      <c r="A45" s="4"/>
      <c r="B45" s="4"/>
      <c r="C45" s="1"/>
      <c r="D45" s="60">
        <f t="shared" si="0"/>
        <v>0</v>
      </c>
      <c r="E45" s="4"/>
      <c r="F45" s="5">
        <f t="shared" ref="F45:F49" si="19">COUNTIF(I45:CO45,"=*")</f>
        <v>0</v>
      </c>
      <c r="G45" s="5">
        <f t="shared" ref="G45:G49" si="20">SUMIF(I$9:CO$9,"G",I45:CO45)</f>
        <v>0</v>
      </c>
      <c r="H45" s="25">
        <f t="shared" ref="H45:H49" si="21">SUMIF(I$9:CO$9,"A",I45:CO45)</f>
        <v>0</v>
      </c>
      <c r="L45" s="38"/>
      <c r="P45" s="38"/>
      <c r="T45" s="38"/>
      <c r="X45" s="38"/>
      <c r="AB45" s="38"/>
      <c r="AF45" s="38"/>
      <c r="AJ45" s="38"/>
      <c r="AN45" s="38"/>
      <c r="AR45" s="38"/>
      <c r="AV45" s="38"/>
      <c r="AZ45" s="38"/>
      <c r="BD45" s="38"/>
      <c r="BH45" s="38"/>
      <c r="BL45" s="38"/>
      <c r="BP45" s="38"/>
      <c r="BT45" s="38"/>
      <c r="BX45" s="38"/>
      <c r="CB45" s="38"/>
      <c r="CF45" s="38"/>
      <c r="CJ45" s="38"/>
    </row>
    <row r="46" spans="1:88">
      <c r="A46" s="4"/>
      <c r="B46" s="4"/>
      <c r="C46" s="1"/>
      <c r="D46" s="60">
        <f t="shared" si="0"/>
        <v>0</v>
      </c>
      <c r="E46" s="4"/>
      <c r="F46" s="5">
        <f t="shared" si="19"/>
        <v>0</v>
      </c>
      <c r="G46" s="5">
        <f t="shared" si="20"/>
        <v>0</v>
      </c>
      <c r="H46" s="25">
        <f t="shared" si="21"/>
        <v>0</v>
      </c>
      <c r="L46" s="38"/>
      <c r="P46" s="38"/>
      <c r="T46" s="38"/>
      <c r="X46" s="38"/>
      <c r="AB46" s="38"/>
      <c r="AF46" s="38"/>
      <c r="AJ46" s="38"/>
      <c r="AN46" s="38"/>
      <c r="AR46" s="38"/>
      <c r="AV46" s="38"/>
      <c r="AZ46" s="38"/>
      <c r="BD46" s="38"/>
      <c r="BH46" s="38"/>
      <c r="BL46" s="38"/>
      <c r="BP46" s="38"/>
      <c r="BT46" s="38"/>
      <c r="BX46" s="38"/>
      <c r="CB46" s="38"/>
      <c r="CF46" s="38"/>
      <c r="CJ46" s="38"/>
    </row>
    <row r="47" spans="1:88">
      <c r="A47" s="4"/>
      <c r="B47" s="4"/>
      <c r="C47" s="1"/>
      <c r="D47" s="60">
        <f t="shared" si="0"/>
        <v>0</v>
      </c>
      <c r="E47" s="4"/>
      <c r="F47" s="5">
        <f t="shared" si="19"/>
        <v>0</v>
      </c>
      <c r="G47" s="5">
        <f t="shared" si="20"/>
        <v>0</v>
      </c>
      <c r="H47" s="25">
        <f t="shared" si="21"/>
        <v>0</v>
      </c>
      <c r="L47" s="38"/>
      <c r="P47" s="38"/>
      <c r="T47" s="38"/>
      <c r="X47" s="38"/>
      <c r="AB47" s="38"/>
      <c r="AF47" s="38"/>
      <c r="AJ47" s="38"/>
      <c r="AN47" s="38"/>
      <c r="AR47" s="38"/>
      <c r="AV47" s="38"/>
      <c r="AZ47" s="38"/>
      <c r="BD47" s="38"/>
      <c r="BH47" s="38"/>
      <c r="BL47" s="38"/>
      <c r="BP47" s="38"/>
      <c r="BT47" s="38"/>
      <c r="BX47" s="38"/>
      <c r="CB47" s="38"/>
      <c r="CF47" s="38"/>
      <c r="CJ47" s="38"/>
    </row>
    <row r="48" spans="1:88">
      <c r="A48" s="4">
        <v>888</v>
      </c>
      <c r="B48" s="4"/>
      <c r="C48" s="1" t="s">
        <v>50</v>
      </c>
      <c r="D48" s="60" t="str">
        <f t="shared" si="0"/>
        <v xml:space="preserve"> Own Goal</v>
      </c>
      <c r="E48" s="4"/>
      <c r="F48" s="5">
        <f t="shared" si="19"/>
        <v>0</v>
      </c>
      <c r="G48" s="5">
        <f t="shared" si="20"/>
        <v>0</v>
      </c>
      <c r="H48" s="25">
        <f t="shared" si="21"/>
        <v>0</v>
      </c>
      <c r="L48" s="38"/>
      <c r="P48" s="38"/>
      <c r="T48" s="38"/>
      <c r="X48" s="38"/>
      <c r="AB48" s="38"/>
      <c r="AF48" s="38"/>
      <c r="AJ48" s="38"/>
      <c r="AN48" s="38"/>
      <c r="AR48" s="38"/>
      <c r="AV48" s="38"/>
      <c r="AZ48" s="38"/>
      <c r="BD48" s="38"/>
      <c r="BH48" s="38"/>
      <c r="BL48" s="38"/>
      <c r="BP48" s="38"/>
      <c r="BT48" s="38"/>
      <c r="BX48" s="38"/>
      <c r="CB48" s="38"/>
      <c r="CF48" s="38"/>
      <c r="CJ48" s="38"/>
    </row>
    <row r="49" spans="1:88">
      <c r="A49" s="4">
        <v>777</v>
      </c>
      <c r="B49" s="4"/>
      <c r="C49" s="4" t="s">
        <v>17</v>
      </c>
      <c r="D49" s="60" t="str">
        <f t="shared" si="0"/>
        <v xml:space="preserve"> A.N.Other</v>
      </c>
      <c r="E49" s="4"/>
      <c r="F49" s="5">
        <f t="shared" si="19"/>
        <v>0</v>
      </c>
      <c r="G49" s="5">
        <f t="shared" si="20"/>
        <v>0</v>
      </c>
      <c r="H49" s="25">
        <f t="shared" si="21"/>
        <v>0</v>
      </c>
      <c r="L49" s="38"/>
      <c r="P49" s="37"/>
      <c r="T49" s="37"/>
      <c r="X49" s="37"/>
      <c r="AB49" s="37"/>
      <c r="AF49" s="37"/>
      <c r="AJ49" s="37"/>
      <c r="AN49" s="37"/>
      <c r="AR49" s="37"/>
      <c r="AV49" s="37"/>
      <c r="AZ49" s="37"/>
      <c r="BD49" s="37"/>
      <c r="BH49" s="37"/>
      <c r="BL49" s="37"/>
      <c r="BP49" s="37"/>
      <c r="BT49" s="37"/>
      <c r="BX49" s="37"/>
      <c r="CB49" s="37"/>
      <c r="CF49" s="37"/>
      <c r="CJ49" s="38"/>
    </row>
    <row r="50" spans="1:88">
      <c r="A50" s="31"/>
      <c r="B50" s="31"/>
      <c r="C50" s="34" t="str">
        <f>Summary!B46</f>
        <v>Total</v>
      </c>
      <c r="D50" s="34"/>
      <c r="E50" s="31"/>
      <c r="F50" s="32">
        <f>SUM(F10:F49)</f>
        <v>212</v>
      </c>
      <c r="G50" s="32">
        <f>SUM(G10:G49)</f>
        <v>98</v>
      </c>
      <c r="H50" s="33">
        <f>SUM(H10:H49)</f>
        <v>0</v>
      </c>
      <c r="I50" s="28"/>
      <c r="J50" s="28"/>
      <c r="K50" s="28"/>
      <c r="L50" s="29">
        <f>SUM(L10:L49)</f>
        <v>0</v>
      </c>
      <c r="M50" s="28"/>
      <c r="N50" s="28"/>
      <c r="O50" s="28"/>
      <c r="P50" s="29">
        <f t="shared" ref="P50" si="22">SUM(P10:P49)</f>
        <v>4</v>
      </c>
      <c r="Q50" s="28"/>
      <c r="R50" s="28"/>
      <c r="S50" s="28"/>
      <c r="T50" s="29">
        <f t="shared" ref="T50" si="23">SUM(T10:T49)</f>
        <v>0</v>
      </c>
      <c r="U50" s="28"/>
      <c r="V50" s="28"/>
      <c r="W50" s="28"/>
      <c r="X50" s="29">
        <f t="shared" ref="X50" si="24">SUM(X10:X49)</f>
        <v>4</v>
      </c>
      <c r="Y50" s="28"/>
      <c r="Z50" s="28"/>
      <c r="AA50" s="28"/>
      <c r="AB50" s="29">
        <f t="shared" ref="AB50" si="25">SUM(AB10:AB49)</f>
        <v>0</v>
      </c>
      <c r="AC50" s="28"/>
      <c r="AD50" s="28"/>
      <c r="AE50" s="28"/>
      <c r="AF50" s="29">
        <f t="shared" ref="AF50" si="26">SUM(AF10:AF49)</f>
        <v>0</v>
      </c>
      <c r="AG50" s="28"/>
      <c r="AH50" s="28"/>
      <c r="AI50" s="28"/>
      <c r="AJ50" s="29">
        <f t="shared" ref="AJ50" si="27">SUM(AJ10:AJ49)</f>
        <v>0</v>
      </c>
      <c r="AK50" s="28"/>
      <c r="AL50" s="28"/>
      <c r="AM50" s="28"/>
      <c r="AN50" s="29">
        <f t="shared" ref="AN50" si="28">SUM(AN10:AN49)</f>
        <v>0</v>
      </c>
      <c r="AO50" s="28"/>
      <c r="AP50" s="28"/>
      <c r="AQ50" s="28"/>
      <c r="AR50" s="29">
        <f t="shared" ref="AR50" si="29">SUM(AR10:AR49)</f>
        <v>4</v>
      </c>
      <c r="AS50" s="28"/>
      <c r="AT50" s="28"/>
      <c r="AU50" s="28"/>
      <c r="AV50" s="29">
        <f t="shared" ref="AV50" si="30">SUM(AV10:AV49)</f>
        <v>4</v>
      </c>
      <c r="AW50" s="28"/>
      <c r="AX50" s="28"/>
      <c r="AY50" s="28"/>
      <c r="AZ50" s="29">
        <f t="shared" ref="AZ50" si="31">SUM(AZ10:AZ49)</f>
        <v>4</v>
      </c>
      <c r="BA50" s="28"/>
      <c r="BB50" s="28"/>
      <c r="BC50" s="28"/>
      <c r="BD50" s="29">
        <f t="shared" ref="BD50" si="32">SUM(BD10:BD49)</f>
        <v>0</v>
      </c>
      <c r="BE50" s="28"/>
      <c r="BF50" s="28"/>
      <c r="BG50" s="28"/>
      <c r="BH50" s="29">
        <f t="shared" ref="BH50" si="33">SUM(BH10:BH49)</f>
        <v>4</v>
      </c>
      <c r="BI50" s="28"/>
      <c r="BJ50" s="28"/>
      <c r="BK50" s="28"/>
      <c r="BL50" s="29">
        <f t="shared" ref="BL50" si="34">SUM(BL10:BL49)</f>
        <v>0</v>
      </c>
      <c r="BM50" s="28"/>
      <c r="BN50" s="28"/>
      <c r="BO50" s="28"/>
      <c r="BP50" s="29">
        <f t="shared" ref="BP50" si="35">SUM(BP10:BP49)</f>
        <v>0</v>
      </c>
      <c r="BQ50" s="28"/>
      <c r="BR50" s="28"/>
      <c r="BS50" s="28"/>
      <c r="BT50" s="29">
        <f t="shared" ref="BT50" si="36">SUM(BT10:BT49)</f>
        <v>0</v>
      </c>
      <c r="BU50" s="28"/>
      <c r="BV50" s="28"/>
      <c r="BW50" s="28"/>
      <c r="BX50" s="29">
        <f t="shared" ref="BX50" si="37">SUM(BX10:BX49)</f>
        <v>0</v>
      </c>
      <c r="BY50" s="28"/>
      <c r="BZ50" s="28"/>
      <c r="CA50" s="28"/>
      <c r="CB50" s="29">
        <f t="shared" ref="CB50" si="38">SUM(CB10:CB49)</f>
        <v>0</v>
      </c>
      <c r="CC50" s="28"/>
      <c r="CD50" s="28"/>
      <c r="CE50" s="28"/>
      <c r="CF50" s="29">
        <f t="shared" ref="CF50" si="39">SUM(CF10:CF49)</f>
        <v>4</v>
      </c>
      <c r="CG50" s="28"/>
      <c r="CH50" s="28"/>
      <c r="CI50" s="28"/>
      <c r="CJ50" s="29">
        <f t="shared" ref="CJ50" si="40">SUM(CJ10:CJ49)</f>
        <v>4</v>
      </c>
    </row>
    <row r="51" spans="1:88">
      <c r="A51" s="49"/>
      <c r="B51" s="49"/>
      <c r="C51" s="50" t="s">
        <v>30</v>
      </c>
      <c r="D51" s="50"/>
      <c r="E51" s="49"/>
      <c r="F51" s="51"/>
      <c r="G51" s="51"/>
      <c r="H51" s="25"/>
      <c r="I51" s="30"/>
      <c r="J51" s="30">
        <f>IF(ISNUMBER(I$6),COUNTIF(I$10:I$49,$C51),"")</f>
        <v>1</v>
      </c>
      <c r="K51" s="30"/>
      <c r="L51" s="38"/>
      <c r="M51" s="30"/>
      <c r="N51" s="30">
        <f>IF(ISNUMBER(M$6),COUNTIF(M$10:M$49,$C51),"")</f>
        <v>1</v>
      </c>
      <c r="O51" s="30"/>
      <c r="P51" s="38"/>
      <c r="R51" s="30">
        <f>IF(ISNUMBER(Q$6),COUNTIF(Q$10:Q$49,$C51),"")</f>
        <v>1</v>
      </c>
      <c r="S51" s="30"/>
      <c r="T51" s="38"/>
      <c r="U51" s="30"/>
      <c r="V51" s="30">
        <f>IF(ISNUMBER(U$6),COUNTIF(U$10:U$49,$C51),"")</f>
        <v>1</v>
      </c>
      <c r="W51" s="30"/>
      <c r="X51" s="38"/>
      <c r="Y51" s="30"/>
      <c r="Z51" s="30">
        <f>IF(ISNUMBER(Y$6),COUNTIF(Y$10:Y$49,$C51),"")</f>
        <v>1</v>
      </c>
      <c r="AA51" s="30"/>
      <c r="AB51" s="38"/>
      <c r="AC51" s="30"/>
      <c r="AD51" s="30">
        <f>IF(ISNUMBER(AC$6),COUNTIF(AC$10:AC$49,$C51),"")</f>
        <v>1</v>
      </c>
      <c r="AE51" s="30"/>
      <c r="AF51" s="38"/>
      <c r="AG51" s="30"/>
      <c r="AH51" s="30" t="str">
        <f>IF(ISNUMBER(AG$6),COUNTIF(AG$10:AG$49,$C51),"")</f>
        <v/>
      </c>
      <c r="AI51" s="30"/>
      <c r="AJ51" s="38"/>
      <c r="AK51" s="30"/>
      <c r="AL51" s="30">
        <f>IF(ISNUMBER(AK$6),COUNTIF(AK$10:AK$49,$C51),"")</f>
        <v>1</v>
      </c>
      <c r="AM51" s="30"/>
      <c r="AN51" s="38"/>
      <c r="AO51" s="30"/>
      <c r="AP51" s="30">
        <f>IF(ISNUMBER(AO$6),COUNTIF(AO$10:AO$49,$C51),"")</f>
        <v>1</v>
      </c>
      <c r="AQ51" s="30"/>
      <c r="AR51" s="38"/>
      <c r="AS51" s="30"/>
      <c r="AT51" s="30">
        <f>IF(ISNUMBER(AS$6),COUNTIF(AS$10:AS$49,$C51),"")</f>
        <v>1</v>
      </c>
      <c r="AU51" s="30"/>
      <c r="AV51" s="38"/>
      <c r="AW51" s="30"/>
      <c r="AX51" s="30">
        <f>IF(ISNUMBER(AW$6),COUNTIF(AW$10:AW$49,$C51),"")</f>
        <v>1</v>
      </c>
      <c r="AY51" s="30"/>
      <c r="AZ51" s="38"/>
      <c r="BA51" s="30"/>
      <c r="BB51" s="30">
        <f>IF(ISNUMBER(BA$6),COUNTIF(BA$10:BA$49,$C51),"")</f>
        <v>1</v>
      </c>
      <c r="BC51" s="30"/>
      <c r="BD51" s="38"/>
      <c r="BE51" s="30"/>
      <c r="BF51" s="30">
        <f>IF(ISNUMBER(BE$6),COUNTIF(BE$10:BE$49,$C51),"")</f>
        <v>1</v>
      </c>
      <c r="BG51" s="30"/>
      <c r="BH51" s="38"/>
      <c r="BI51" s="30"/>
      <c r="BJ51" s="30">
        <f>IF(ISNUMBER(BI$6),COUNTIF(BI$10:BI$49,$C51),"")</f>
        <v>1</v>
      </c>
      <c r="BK51" s="30"/>
      <c r="BL51" s="38"/>
      <c r="BM51" s="30"/>
      <c r="BN51" s="30">
        <f>IF(ISNUMBER(BM$6),COUNTIF(BM$10:BM$49,$C51),"")</f>
        <v>0</v>
      </c>
      <c r="BO51" s="30"/>
      <c r="BP51" s="38"/>
      <c r="BQ51" s="30"/>
      <c r="BR51" s="30">
        <f>IF(ISNUMBER(BQ$6),COUNTIF(BQ$10:BQ$49,$C51),"")</f>
        <v>1</v>
      </c>
      <c r="BS51" s="30"/>
      <c r="BT51" s="38"/>
      <c r="BU51" s="30"/>
      <c r="BV51" s="30" t="str">
        <f>IF(ISNUMBER(BU$6),COUNTIF(BU$10:BU$49,$C51),"")</f>
        <v/>
      </c>
      <c r="BW51" s="30"/>
      <c r="BX51" s="38"/>
      <c r="BY51" s="30"/>
      <c r="BZ51" s="30" t="str">
        <f>IF(ISNUMBER(BY$6),COUNTIF(BY$10:BY$49,$C51),"")</f>
        <v/>
      </c>
      <c r="CA51" s="30"/>
      <c r="CB51" s="38"/>
      <c r="CC51" s="30"/>
      <c r="CD51" s="30">
        <f>IF(ISNUMBER(CC$6),COUNTIF(CC$10:CC$49,$C51),"")</f>
        <v>1</v>
      </c>
      <c r="CE51" s="30"/>
      <c r="CF51" s="38"/>
      <c r="CG51" s="30"/>
      <c r="CH51" s="30">
        <f>IF(ISNUMBER(CG$6),COUNTIF(CG$10:CG$49,$C51),"")</f>
        <v>1</v>
      </c>
      <c r="CI51" s="30"/>
      <c r="CJ51" s="38"/>
    </row>
    <row r="52" spans="1:88">
      <c r="A52" s="49"/>
      <c r="B52" s="49"/>
      <c r="C52" s="50" t="s">
        <v>47</v>
      </c>
      <c r="D52" s="50"/>
      <c r="E52" s="49"/>
      <c r="F52" s="51"/>
      <c r="G52" s="51"/>
      <c r="H52" s="25"/>
      <c r="I52" s="30"/>
      <c r="J52" s="30">
        <f>IF(ISNUMBER(I$6),COUNTIF(I$10:I$49,$C52),"")</f>
        <v>4</v>
      </c>
      <c r="K52" s="30"/>
      <c r="L52" s="38"/>
      <c r="M52" s="30"/>
      <c r="N52" s="30">
        <f>IF(ISNUMBER(M$6),COUNTIF(M$10:M$49,$C52),"")</f>
        <v>3</v>
      </c>
      <c r="O52" s="30"/>
      <c r="P52" s="38"/>
      <c r="R52" s="30">
        <f>IF(ISNUMBER(Q$6),COUNTIF(Q$10:Q$49,$C52),"")</f>
        <v>3</v>
      </c>
      <c r="S52" s="30"/>
      <c r="T52" s="38"/>
      <c r="U52" s="30"/>
      <c r="V52" s="30">
        <f>IF(ISNUMBER(U$6),COUNTIF(U$10:U$49,$C52),"")</f>
        <v>4</v>
      </c>
      <c r="W52" s="30"/>
      <c r="X52" s="38"/>
      <c r="Y52" s="30"/>
      <c r="Z52" s="30">
        <f>IF(ISNUMBER(Y$6),COUNTIF(Y$10:Y$49,$C52),"")</f>
        <v>4</v>
      </c>
      <c r="AA52" s="30"/>
      <c r="AB52" s="38"/>
      <c r="AC52" s="30"/>
      <c r="AD52" s="30">
        <f>IF(ISNUMBER(AC$6),COUNTIF(AC$10:AC$49,$C52),"")</f>
        <v>3</v>
      </c>
      <c r="AE52" s="30"/>
      <c r="AF52" s="38"/>
      <c r="AG52" s="30"/>
      <c r="AH52" s="30" t="str">
        <f>IF(ISNUMBER(AG$6),COUNTIF(AG$10:AG$49,$C52),"")</f>
        <v/>
      </c>
      <c r="AI52" s="30"/>
      <c r="AJ52" s="38"/>
      <c r="AK52" s="30"/>
      <c r="AL52" s="30">
        <f>IF(ISNUMBER(AK$6),COUNTIF(AK$10:AK$49,$C52),"")</f>
        <v>4</v>
      </c>
      <c r="AM52" s="30"/>
      <c r="AN52" s="38"/>
      <c r="AO52" s="30"/>
      <c r="AP52" s="30">
        <f>IF(ISNUMBER(AO$6),COUNTIF(AO$10:AO$49,$C52),"")</f>
        <v>4</v>
      </c>
      <c r="AQ52" s="30"/>
      <c r="AR52" s="38"/>
      <c r="AS52" s="30"/>
      <c r="AT52" s="30">
        <f>IF(ISNUMBER(AS$6),COUNTIF(AS$10:AS$49,$C52),"")</f>
        <v>3</v>
      </c>
      <c r="AU52" s="30"/>
      <c r="AV52" s="38"/>
      <c r="AW52" s="30"/>
      <c r="AX52" s="30">
        <f>IF(ISNUMBER(AW$6),COUNTIF(AW$10:AW$49,$C52),"")</f>
        <v>2</v>
      </c>
      <c r="AY52" s="30"/>
      <c r="AZ52" s="38"/>
      <c r="BA52" s="30"/>
      <c r="BB52" s="30">
        <f>IF(ISNUMBER(BA$6),COUNTIF(BA$10:BA$49,$C52),"")</f>
        <v>4</v>
      </c>
      <c r="BC52" s="30"/>
      <c r="BD52" s="38"/>
      <c r="BE52" s="30"/>
      <c r="BF52" s="30">
        <f>IF(ISNUMBER(BE$6),COUNTIF(BE$10:BE$49,$C52),"")</f>
        <v>4</v>
      </c>
      <c r="BG52" s="30"/>
      <c r="BH52" s="38"/>
      <c r="BI52" s="30"/>
      <c r="BJ52" s="30">
        <f>IF(ISNUMBER(BI$6),COUNTIF(BI$10:BI$49,$C52),"")</f>
        <v>4</v>
      </c>
      <c r="BK52" s="30"/>
      <c r="BL52" s="38"/>
      <c r="BM52" s="30"/>
      <c r="BN52" s="30">
        <f>IF(ISNUMBER(BM$6),COUNTIF(BM$10:BM$49,$C52),"")</f>
        <v>0</v>
      </c>
      <c r="BO52" s="30"/>
      <c r="BP52" s="38"/>
      <c r="BQ52" s="30"/>
      <c r="BR52" s="30">
        <f>IF(ISNUMBER(BQ$6),COUNTIF(BQ$10:BQ$49,$C52),"")</f>
        <v>5</v>
      </c>
      <c r="BS52" s="30"/>
      <c r="BT52" s="38"/>
      <c r="BU52" s="30"/>
      <c r="BV52" s="30" t="str">
        <f>IF(ISNUMBER(BU$6),COUNTIF(BU$10:BU$49,$C52),"")</f>
        <v/>
      </c>
      <c r="BW52" s="30"/>
      <c r="BX52" s="38"/>
      <c r="BY52" s="30"/>
      <c r="BZ52" s="30" t="str">
        <f>IF(ISNUMBER(BY$6),COUNTIF(BY$10:BY$49,$C52),"")</f>
        <v/>
      </c>
      <c r="CA52" s="30"/>
      <c r="CB52" s="38"/>
      <c r="CC52" s="30"/>
      <c r="CD52" s="30">
        <f>IF(ISNUMBER(CC$6),COUNTIF(CC$10:CC$49,$C52),"")</f>
        <v>4</v>
      </c>
      <c r="CE52" s="30"/>
      <c r="CF52" s="38"/>
      <c r="CG52" s="30"/>
      <c r="CH52" s="30">
        <f>IF(ISNUMBER(CG$6),COUNTIF(CG$10:CG$49,$C52),"")</f>
        <v>5</v>
      </c>
      <c r="CI52" s="30"/>
      <c r="CJ52" s="38"/>
    </row>
    <row r="53" spans="1:88">
      <c r="A53" s="49"/>
      <c r="B53" s="49"/>
      <c r="C53" s="50" t="s">
        <v>49</v>
      </c>
      <c r="D53" s="50"/>
      <c r="E53" s="49"/>
      <c r="F53" s="51"/>
      <c r="G53" s="51"/>
      <c r="H53" s="25"/>
      <c r="I53" s="30"/>
      <c r="J53" s="30">
        <f>IF(ISNUMBER(I$6),COUNTIF(I$10:I$49,$C53),"")</f>
        <v>4</v>
      </c>
      <c r="K53" s="30"/>
      <c r="L53" s="38"/>
      <c r="M53" s="30"/>
      <c r="N53" s="30">
        <f>IF(ISNUMBER(M$6),COUNTIF(M$10:M$49,$C53),"")</f>
        <v>8</v>
      </c>
      <c r="O53" s="30"/>
      <c r="P53" s="38"/>
      <c r="R53" s="30">
        <f>IF(ISNUMBER(Q$6),COUNTIF(Q$10:Q$49,$C53),"")</f>
        <v>7</v>
      </c>
      <c r="S53" s="30"/>
      <c r="T53" s="38"/>
      <c r="U53" s="30"/>
      <c r="V53" s="30">
        <f>IF(ISNUMBER(U$6),COUNTIF(U$10:U$49,$C53),"")</f>
        <v>5</v>
      </c>
      <c r="W53" s="30"/>
      <c r="X53" s="38"/>
      <c r="Y53" s="30"/>
      <c r="Z53" s="30">
        <f>IF(ISNUMBER(Y$6),COUNTIF(Y$10:Y$49,$C53),"")</f>
        <v>6</v>
      </c>
      <c r="AA53" s="30"/>
      <c r="AB53" s="38"/>
      <c r="AC53" s="30"/>
      <c r="AD53" s="30">
        <f>IF(ISNUMBER(AC$6),COUNTIF(AC$10:AC$49,$C53),"")</f>
        <v>6</v>
      </c>
      <c r="AE53" s="30"/>
      <c r="AF53" s="38"/>
      <c r="AG53" s="30"/>
      <c r="AH53" s="30" t="str">
        <f>IF(ISNUMBER(AG$6),COUNTIF(AG$10:AG$49,$C53),"")</f>
        <v/>
      </c>
      <c r="AI53" s="30"/>
      <c r="AJ53" s="38"/>
      <c r="AK53" s="30"/>
      <c r="AL53" s="30">
        <f>IF(ISNUMBER(AK$6),COUNTIF(AK$10:AK$49,$C53),"")</f>
        <v>5</v>
      </c>
      <c r="AM53" s="30"/>
      <c r="AN53" s="38"/>
      <c r="AO53" s="30"/>
      <c r="AP53" s="30">
        <f>IF(ISNUMBER(AO$6),COUNTIF(AO$10:AO$49,$C53),"")</f>
        <v>5</v>
      </c>
      <c r="AQ53" s="30"/>
      <c r="AR53" s="38"/>
      <c r="AS53" s="30"/>
      <c r="AT53" s="30">
        <f>IF(ISNUMBER(AS$6),COUNTIF(AS$10:AS$49,$C53),"")</f>
        <v>6</v>
      </c>
      <c r="AU53" s="30"/>
      <c r="AV53" s="38"/>
      <c r="AW53" s="30"/>
      <c r="AX53" s="30">
        <f>IF(ISNUMBER(AW$6),COUNTIF(AW$10:AW$49,$C53),"")</f>
        <v>5</v>
      </c>
      <c r="AY53" s="30"/>
      <c r="AZ53" s="38"/>
      <c r="BA53" s="30"/>
      <c r="BB53" s="30">
        <f>IF(ISNUMBER(BA$6),COUNTIF(BA$10:BA$49,$C53),"")</f>
        <v>3</v>
      </c>
      <c r="BC53" s="30"/>
      <c r="BD53" s="38"/>
      <c r="BE53" s="30"/>
      <c r="BF53" s="30">
        <f>IF(ISNUMBER(BE$6),COUNTIF(BE$10:BE$49,$C53),"")</f>
        <v>5</v>
      </c>
      <c r="BG53" s="30"/>
      <c r="BH53" s="38"/>
      <c r="BI53" s="30"/>
      <c r="BJ53" s="30">
        <f>IF(ISNUMBER(BI$6),COUNTIF(BI$10:BI$49,$C53),"")</f>
        <v>2</v>
      </c>
      <c r="BK53" s="30"/>
      <c r="BL53" s="38"/>
      <c r="BM53" s="30"/>
      <c r="BN53" s="30">
        <f>IF(ISNUMBER(BM$6),COUNTIF(BM$10:BM$49,$C53),"")</f>
        <v>0</v>
      </c>
      <c r="BO53" s="30"/>
      <c r="BP53" s="38"/>
      <c r="BQ53" s="30"/>
      <c r="BR53" s="30">
        <f>IF(ISNUMBER(BQ$6),COUNTIF(BQ$10:BQ$49,$C53),"")</f>
        <v>5</v>
      </c>
      <c r="BS53" s="30"/>
      <c r="BT53" s="38"/>
      <c r="BU53" s="30"/>
      <c r="BV53" s="30" t="str">
        <f>IF(ISNUMBER(BU$6),COUNTIF(BU$10:BU$49,$C53),"")</f>
        <v/>
      </c>
      <c r="BW53" s="30"/>
      <c r="BX53" s="38"/>
      <c r="BY53" s="30"/>
      <c r="BZ53" s="30" t="str">
        <f>IF(ISNUMBER(BY$6),COUNTIF(BY$10:BY$49,$C53),"")</f>
        <v/>
      </c>
      <c r="CA53" s="30"/>
      <c r="CB53" s="38"/>
      <c r="CC53" s="30"/>
      <c r="CD53" s="30">
        <f>IF(ISNUMBER(CC$6),COUNTIF(CC$10:CC$49,$C53),"")</f>
        <v>5</v>
      </c>
      <c r="CE53" s="30"/>
      <c r="CF53" s="38"/>
      <c r="CG53" s="30"/>
      <c r="CH53" s="30">
        <f>IF(ISNUMBER(CG$6),COUNTIF(CG$10:CG$49,$C53),"")</f>
        <v>7</v>
      </c>
      <c r="CI53" s="30"/>
      <c r="CJ53" s="38"/>
    </row>
    <row r="54" spans="1:88">
      <c r="A54" s="49"/>
      <c r="B54" s="49"/>
      <c r="C54" s="50" t="s">
        <v>32</v>
      </c>
      <c r="D54" s="50"/>
      <c r="E54" s="49"/>
      <c r="F54" s="51"/>
      <c r="G54" s="51"/>
      <c r="H54" s="25"/>
      <c r="I54" s="30"/>
      <c r="J54" s="30">
        <f>IF(ISNUMBER(I$6),COUNTIF(I$10:I$49,$C54),"")</f>
        <v>3</v>
      </c>
      <c r="K54" s="30"/>
      <c r="L54" s="38"/>
      <c r="M54" s="30"/>
      <c r="N54" s="30">
        <f>IF(ISNUMBER(M$6),COUNTIF(M$10:M$49,$C54),"")</f>
        <v>3</v>
      </c>
      <c r="O54" s="30"/>
      <c r="P54" s="38"/>
      <c r="R54" s="30">
        <f>IF(ISNUMBER(Q$6),COUNTIF(Q$10:Q$49,$C54),"")</f>
        <v>3</v>
      </c>
      <c r="S54" s="30"/>
      <c r="T54" s="38"/>
      <c r="U54" s="30"/>
      <c r="V54" s="30">
        <f>IF(ISNUMBER(U$6),COUNTIF(U$10:U$49,$C54),"")</f>
        <v>3</v>
      </c>
      <c r="W54" s="30"/>
      <c r="X54" s="38"/>
      <c r="Y54" s="30"/>
      <c r="Z54" s="30">
        <f>IF(ISNUMBER(Y$6),COUNTIF(Y$10:Y$49,$C54),"")</f>
        <v>3</v>
      </c>
      <c r="AA54" s="30"/>
      <c r="AB54" s="38"/>
      <c r="AC54" s="30"/>
      <c r="AD54" s="30">
        <f>IF(ISNUMBER(AC$6),COUNTIF(AC$10:AC$49,$C54),"")</f>
        <v>3</v>
      </c>
      <c r="AE54" s="30"/>
      <c r="AF54" s="38"/>
      <c r="AG54" s="30"/>
      <c r="AH54" s="30" t="str">
        <f>IF(ISNUMBER(AG$6),COUNTIF(AG$10:AG$49,$C54),"")</f>
        <v/>
      </c>
      <c r="AI54" s="30"/>
      <c r="AJ54" s="38"/>
      <c r="AK54" s="30"/>
      <c r="AL54" s="30">
        <f>IF(ISNUMBER(AK$6),COUNTIF(AK$10:AK$49,$C54),"")</f>
        <v>3</v>
      </c>
      <c r="AM54" s="30"/>
      <c r="AN54" s="38"/>
      <c r="AO54" s="30"/>
      <c r="AP54" s="30">
        <f>IF(ISNUMBER(AO$6),COUNTIF(AO$10:AO$49,$C54),"")</f>
        <v>3</v>
      </c>
      <c r="AQ54" s="30"/>
      <c r="AR54" s="38"/>
      <c r="AS54" s="30"/>
      <c r="AT54" s="30">
        <f>IF(ISNUMBER(AS$6),COUNTIF(AS$10:AS$49,$C54),"")</f>
        <v>3</v>
      </c>
      <c r="AU54" s="30"/>
      <c r="AV54" s="38"/>
      <c r="AW54" s="30"/>
      <c r="AX54" s="30">
        <f>IF(ISNUMBER(AW$6),COUNTIF(AW$10:AW$49,$C54),"")</f>
        <v>3</v>
      </c>
      <c r="AY54" s="30"/>
      <c r="AZ54" s="38"/>
      <c r="BA54" s="30"/>
      <c r="BB54" s="30">
        <f>IF(ISNUMBER(BA$6),COUNTIF(BA$10:BA$49,$C54),"")</f>
        <v>3</v>
      </c>
      <c r="BC54" s="30"/>
      <c r="BD54" s="38"/>
      <c r="BE54" s="30"/>
      <c r="BF54" s="30">
        <f>IF(ISNUMBER(BE$6),COUNTIF(BE$10:BE$49,$C54),"")</f>
        <v>3</v>
      </c>
      <c r="BG54" s="30"/>
      <c r="BH54" s="38"/>
      <c r="BI54" s="30"/>
      <c r="BJ54" s="30">
        <f>IF(ISNUMBER(BI$6),COUNTIF(BI$10:BI$49,$C54),"")</f>
        <v>4</v>
      </c>
      <c r="BK54" s="30"/>
      <c r="BL54" s="38"/>
      <c r="BM54" s="30"/>
      <c r="BN54" s="30">
        <f>IF(ISNUMBER(BM$6),COUNTIF(BM$10:BM$49,$C54),"")</f>
        <v>0</v>
      </c>
      <c r="BO54" s="30"/>
      <c r="BP54" s="38"/>
      <c r="BQ54" s="30"/>
      <c r="BR54" s="30">
        <f>IF(ISNUMBER(BQ$6),COUNTIF(BQ$10:BQ$49,$C54),"")</f>
        <v>3</v>
      </c>
      <c r="BS54" s="30"/>
      <c r="BT54" s="38"/>
      <c r="BU54" s="30"/>
      <c r="BV54" s="30" t="str">
        <f>IF(ISNUMBER(BU$6),COUNTIF(BU$10:BU$49,$C54),"")</f>
        <v/>
      </c>
      <c r="BW54" s="30"/>
      <c r="BX54" s="38"/>
      <c r="BY54" s="30"/>
      <c r="BZ54" s="30" t="str">
        <f>IF(ISNUMBER(BY$6),COUNTIF(BY$10:BY$49,$C54),"")</f>
        <v/>
      </c>
      <c r="CA54" s="30"/>
      <c r="CB54" s="38"/>
      <c r="CC54" s="30"/>
      <c r="CD54" s="30">
        <f>IF(ISNUMBER(CC$6),COUNTIF(CC$10:CC$49,$C54),"")</f>
        <v>3</v>
      </c>
      <c r="CE54" s="30"/>
      <c r="CF54" s="38"/>
      <c r="CG54" s="30"/>
      <c r="CH54" s="30">
        <f>IF(ISNUMBER(CG$6),COUNTIF(CG$10:CG$49,$C54),"")</f>
        <v>5</v>
      </c>
      <c r="CI54" s="30"/>
      <c r="CJ54" s="38"/>
    </row>
    <row r="55" spans="1:88" s="53" customFormat="1">
      <c r="A55" s="28"/>
      <c r="B55" s="28"/>
      <c r="C55" s="52" t="s">
        <v>28</v>
      </c>
      <c r="D55" s="52"/>
      <c r="E55" s="28"/>
      <c r="F55" s="52" t="s">
        <v>8</v>
      </c>
      <c r="G55" s="28">
        <f>AVERAGE(J55:CG55)</f>
        <v>12.125</v>
      </c>
      <c r="H55" s="29"/>
      <c r="I55" s="28"/>
      <c r="J55" s="28">
        <f>IF(ISNUMBER(I6),COUNTIF(I10:I49,"&lt;&gt;"),"")</f>
        <v>13</v>
      </c>
      <c r="K55" s="28"/>
      <c r="L55" s="29"/>
      <c r="M55" s="28"/>
      <c r="N55" s="28">
        <f>IF(ISNUMBER(M6),COUNTIF(M10:M49,"&lt;&gt;"),"")</f>
        <v>15</v>
      </c>
      <c r="O55" s="28"/>
      <c r="P55" s="29"/>
      <c r="Q55" s="28"/>
      <c r="R55" s="28">
        <f>IF(ISNUMBER(Q6),COUNTIF(Q10:Q49,"&lt;&gt;"),"")</f>
        <v>14</v>
      </c>
      <c r="S55" s="28"/>
      <c r="T55" s="29"/>
      <c r="U55" s="28"/>
      <c r="V55" s="28">
        <f>IF(ISNUMBER(U6),COUNTIF(U10:U49,"&lt;&gt;"),"")</f>
        <v>13</v>
      </c>
      <c r="W55" s="28"/>
      <c r="X55" s="29"/>
      <c r="Y55" s="28"/>
      <c r="Z55" s="28">
        <f>IF(ISNUMBER(Y6),COUNTIF(Y10:Y49,"&lt;&gt;"),"")</f>
        <v>14</v>
      </c>
      <c r="AA55" s="28"/>
      <c r="AB55" s="29"/>
      <c r="AC55" s="28"/>
      <c r="AD55" s="28">
        <f>IF(ISNUMBER(AC6),COUNTIF(AC10:AC49,"&lt;&gt;"),"")</f>
        <v>13</v>
      </c>
      <c r="AE55" s="28"/>
      <c r="AF55" s="29"/>
      <c r="AG55" s="28"/>
      <c r="AH55" s="28" t="str">
        <f>IF(ISNUMBER(AG6),COUNTIF(AG10:AG49,"&lt;&gt;"),"")</f>
        <v/>
      </c>
      <c r="AI55" s="28"/>
      <c r="AJ55" s="29"/>
      <c r="AK55" s="28"/>
      <c r="AL55" s="28">
        <f>IF(ISNUMBER(AK6),COUNTIF(AK10:AK49,"&lt;&gt;"),"")</f>
        <v>13</v>
      </c>
      <c r="AM55" s="28"/>
      <c r="AN55" s="29"/>
      <c r="AO55" s="28"/>
      <c r="AP55" s="28">
        <f>IF(ISNUMBER(AO6),COUNTIF(AO10:AO49,"&lt;&gt;"),"")</f>
        <v>13</v>
      </c>
      <c r="AQ55" s="28"/>
      <c r="AR55" s="29"/>
      <c r="AS55" s="28"/>
      <c r="AT55" s="28">
        <f>IF(ISNUMBER(AS6),COUNTIF(AS10:AS49,"&lt;&gt;"),"")</f>
        <v>13</v>
      </c>
      <c r="AU55" s="28"/>
      <c r="AV55" s="29"/>
      <c r="AW55" s="28"/>
      <c r="AX55" s="28">
        <f>IF(ISNUMBER(AW6),COUNTIF(AW10:AW49,"&lt;&gt;"),"")</f>
        <v>11</v>
      </c>
      <c r="AY55" s="28"/>
      <c r="AZ55" s="29"/>
      <c r="BA55" s="28"/>
      <c r="BB55" s="28">
        <f>IF(ISNUMBER(BA6),COUNTIF(BA10:BA49,"&lt;&gt;"),"")</f>
        <v>11</v>
      </c>
      <c r="BC55" s="28"/>
      <c r="BD55" s="29"/>
      <c r="BE55" s="28"/>
      <c r="BF55" s="28">
        <f>IF(ISNUMBER(BE6),COUNTIF(BE10:BE49,"&lt;&gt;"),"")</f>
        <v>13</v>
      </c>
      <c r="BG55" s="28"/>
      <c r="BH55" s="29"/>
      <c r="BI55" s="28"/>
      <c r="BJ55" s="28">
        <f>IF(ISNUMBER(BI6),COUNTIF(BI10:BI49,"&lt;&gt;"),"")</f>
        <v>11</v>
      </c>
      <c r="BK55" s="28"/>
      <c r="BL55" s="29"/>
      <c r="BM55" s="28"/>
      <c r="BN55" s="28">
        <f>IF(ISNUMBER(BM6),COUNTIF(BM10:BM49,"&lt;&gt;"),"")</f>
        <v>0</v>
      </c>
      <c r="BO55" s="28"/>
      <c r="BP55" s="29"/>
      <c r="BQ55" s="28"/>
      <c r="BR55" s="28">
        <f>IF(ISNUMBER(BQ6),COUNTIF(BQ10:BQ49,"&lt;&gt;"),"")</f>
        <v>14</v>
      </c>
      <c r="BS55" s="28"/>
      <c r="BT55" s="29"/>
      <c r="BU55" s="28"/>
      <c r="BV55" s="28" t="str">
        <f>IF(ISNUMBER(BU6),COUNTIF(BU10:BU49,"&lt;&gt;"),"")</f>
        <v/>
      </c>
      <c r="BW55" s="28"/>
      <c r="BX55" s="29"/>
      <c r="BY55" s="28"/>
      <c r="BZ55" s="28" t="str">
        <f>IF(ISNUMBER(BY6),COUNTIF(BY10:BY49,"&lt;&gt;"),"")</f>
        <v/>
      </c>
      <c r="CA55" s="28"/>
      <c r="CB55" s="29"/>
      <c r="CC55" s="28"/>
      <c r="CD55" s="28">
        <f>IF(ISNUMBER(CC6),COUNTIF(CC10:CC49,"&lt;&gt;"),"")</f>
        <v>13</v>
      </c>
      <c r="CE55" s="28"/>
      <c r="CF55" s="29"/>
      <c r="CG55" s="28"/>
      <c r="CH55" s="28">
        <f>IF(ISNUMBER(CG6),COUNTIF(CG10:CG49,"&lt;&gt;"),"")</f>
        <v>18</v>
      </c>
      <c r="CI55" s="28"/>
      <c r="CJ55" s="29"/>
    </row>
    <row r="56" spans="1:88" s="36" customFormat="1">
      <c r="A56" s="44"/>
      <c r="B56" s="44"/>
      <c r="C56" s="45" t="s">
        <v>45</v>
      </c>
      <c r="D56" s="45"/>
      <c r="E56" s="44"/>
      <c r="F56" s="44"/>
      <c r="G56" s="44"/>
      <c r="H56" s="46"/>
      <c r="I56" s="44" t="s">
        <v>90</v>
      </c>
      <c r="J56" s="44"/>
      <c r="K56" s="44"/>
      <c r="L56" s="44"/>
      <c r="M56" s="44"/>
      <c r="N56" s="44"/>
      <c r="O56" s="44"/>
      <c r="P56" s="44"/>
      <c r="Q56" s="44" t="s">
        <v>101</v>
      </c>
      <c r="R56" s="44"/>
      <c r="S56" s="44"/>
      <c r="T56" s="44"/>
      <c r="U56" s="44"/>
      <c r="V56" s="44"/>
      <c r="W56" s="44"/>
      <c r="X56" s="44"/>
      <c r="Y56" s="44" t="s">
        <v>111</v>
      </c>
      <c r="Z56" s="44"/>
      <c r="AA56" s="44"/>
      <c r="AB56" s="44"/>
      <c r="AC56" s="44" t="s">
        <v>112</v>
      </c>
      <c r="AD56" s="44"/>
      <c r="AE56" s="44"/>
      <c r="AF56" s="44"/>
      <c r="AG56" s="44"/>
      <c r="AH56" s="44"/>
      <c r="AI56" s="44"/>
      <c r="AJ56" s="44"/>
      <c r="AK56" s="44" t="s">
        <v>114</v>
      </c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 t="s">
        <v>121</v>
      </c>
      <c r="BB56" s="44"/>
      <c r="BC56" s="44"/>
      <c r="BD56" s="44"/>
      <c r="BE56" s="44"/>
      <c r="BF56" s="44"/>
      <c r="BG56" s="44"/>
      <c r="BH56" s="44"/>
      <c r="BI56" s="44" t="s">
        <v>122</v>
      </c>
      <c r="BJ56" s="44"/>
      <c r="BK56" s="44"/>
      <c r="BL56" s="44"/>
      <c r="BM56" s="44"/>
      <c r="BN56" s="44"/>
      <c r="BO56" s="44"/>
      <c r="BP56" s="44"/>
      <c r="BQ56" s="44" t="s">
        <v>125</v>
      </c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</row>
    <row r="57" spans="1:88">
      <c r="A57" s="4"/>
      <c r="B57" s="4"/>
      <c r="C57" s="1"/>
      <c r="D57" s="1"/>
      <c r="E57" s="4"/>
      <c r="F57" s="5"/>
      <c r="G57" s="5"/>
      <c r="H57" s="25"/>
      <c r="L57" s="38"/>
      <c r="P57" s="38"/>
      <c r="T57" s="38"/>
      <c r="X57" s="38"/>
      <c r="AB57" s="38"/>
      <c r="AF57" s="38"/>
      <c r="AJ57" s="38"/>
      <c r="AN57" s="38"/>
      <c r="AR57" s="38"/>
      <c r="AV57" s="38"/>
      <c r="AZ57" s="38"/>
      <c r="BD57" s="38"/>
      <c r="BH57" s="38"/>
      <c r="BL57" s="38"/>
      <c r="BP57" s="38"/>
      <c r="BT57" s="38"/>
      <c r="BX57" s="38"/>
      <c r="CB57" s="38"/>
      <c r="CF57" s="38"/>
      <c r="CJ57" s="38"/>
    </row>
    <row r="58" spans="1:88">
      <c r="C58" s="35" t="s">
        <v>38</v>
      </c>
      <c r="D58" s="35"/>
      <c r="I58" s="8" t="str">
        <f>CONCATENATE("&lt;p class=""small""&gt;Goal: ",I141,"; Defence: ",J141,"; Midfield: ",K141,"; Attack: ",L141)</f>
        <v>&lt;p class="small"&gt;Goal: Jacob Thorne; Defence: Andy Booth, David Copple, Dave Slaughter, Mark Winter; Midfield: Sam Baranowski, Dave Berman (2), Myles Johnstone (1), Richard Pearse; Attack: Justin Baranowski (2), Billy Camuso, Luke Johnstone (1)</v>
      </c>
      <c r="M58" s="8" t="str">
        <f>CONCATENATE("&lt;p class=""small""&gt;Goal: ",M141,"; Defence: ",N141,"; Midfield: ",O141,"; Attack: ",P141)</f>
        <v>&lt;p class="small"&gt;Goal: Jacob Thorne; Defence: Andy Booth, David Copple, Mark Winter; Midfield: Sam Baranowski, Mike Barratt (2), Dave Berman (1), Eddie Dale, Ben Iremonger (2), Myles Johnstone, Richard Pearse (2), Matt Twose (1); Attack: Justin Baranowski (2), Billy Camuso, Matt Payne (5)</v>
      </c>
      <c r="Q58" s="30" t="str">
        <f>CONCATENATE("&lt;p class=""small""&gt;Goal: ",Q141,"; Defence: ",R141,"; Midfield: ",S141,"; Attack: ",T141)</f>
        <v>&lt;p class="small"&gt;Goal: Dave Slaughter; Defence: Andy Booth, David Copple, Mark Winter; Midfield: Sam Baranowski, Eddie Dale, Will Duval (1), Eugene Fung, Ben Iremonger, Myles Johnstone, Matt Twose (1); Attack: Justin Baranowski, Billy Camuso, Matt Payne (1)</v>
      </c>
      <c r="U58" s="8" t="str">
        <f>CONCATENATE("&lt;p class=""small""&gt;Goal: ",U141,"; Defence: ",V141,"; Midfield: ",W141,"; Attack: ",X141)</f>
        <v>&lt;p class="small"&gt;Goal: Lygon Bowen-west; Defence: Andy Booth, David Copple, Charlie Merry, Mark Winter; Midfield: Sam Baranowski, Eddie Dale, Ben Iremonger (1), Myles Johnstone (1), Matt Twose (2); Attack: Justin Baranowski (1), Luke Johnstone (2), Matt Payne (3)</v>
      </c>
      <c r="Y58" s="8" t="str">
        <f>CONCATENATE("&lt;p class=""small""&gt;Goal: ",Y141,"; Defence: ",Z141,"; Midfield: ",AA141,"; Attack: ",AB141)</f>
        <v>&lt;p class="small"&gt;Goal: Jacob Thorne; Defence: Andy Booth, Conor Mills, Dave Slaughter, Mark Winter; Midfield: Lorenzo Balzarini (2), Eddie Dale, Jacob Hall (1), Ben Iremonger, Myles Johnstone (1), Matt Twose (1); Attack: Justin Baranowski (1), Billy Camuso, Richard Pearse</v>
      </c>
      <c r="AC58" s="8" t="str">
        <f>CONCATENATE("&lt;p class=""small""&gt;Goal: ",AC141,"; Defence: ",AD141,"; Midfield: ",AE141,"; Attack: ",AF141)</f>
        <v>&lt;p class="small"&gt;Goal: Jacob Thorne; Defence: David Copple, Dave Slaughter, Mark Winter; Midfield: Lorenzo Balzarini (1), Sam Baranowski, Eddie Dale, Myles Johnstone, Richard Pearse, Matt Twose; Attack: Justin Baranowski (1), Billy Camuso, Matt Payne (1)</v>
      </c>
      <c r="AG58" s="8" t="str">
        <f>CONCATENATE("&lt;p class=""small""&gt;Goal: ",AG141,"; Defence: ",AH141,"; Midfield: ",AI141,"; Attack: ",AJ141)</f>
        <v xml:space="preserve">&lt;p class="small"&gt;Goal: ; Defence: ; Midfield: ; Attack: </v>
      </c>
      <c r="AK58" s="8" t="str">
        <f>CONCATENATE("&lt;p class=""small""&gt;Goal: ",AK141,"; Defence: ",AL141,"; Midfield: ",AM141,"; Attack: ",AN141)</f>
        <v>&lt;p class="small"&gt;Goal: Jacob Thorne; Defence: Will Lucas, Conor Mills, Dave Slaughter, Mark Winter; Midfield: Lorenzo Balzarini, Sam Baranowski, Andy Booth, Jacob Hall, Myles Johnstone (1); Attack: Justin Baranowski (2), Billy Camuso, Matt Payne (2)</v>
      </c>
      <c r="AO58" s="8" t="str">
        <f>CONCATENATE("&lt;p class=""small""&gt;Goal: ",AO141,"; Defence: ",AP141,"; Midfield: ",AQ141,"; Attack: ",AR141)</f>
        <v>&lt;p class="small"&gt;Goal: Jacob Thorne; Defence: Andy Booth, David Copple, Conor Mills, Mark Winter; Midfield: Lorenzo Balzarini, Sam Baranowski, Mike Barratt (1), Richard Pearse, Matt Twose (1); Attack: Justin Baranowski (1), Myles Johnstone, Matt Payne (5)</v>
      </c>
      <c r="AS58" s="8" t="str">
        <f>CONCATENATE("&lt;p class=""small""&gt;Goal: ",AS141,"; Defence: ",AT141,"; Midfield: ",AU141,"; Attack: ",AV141)</f>
        <v>&lt;p class="small"&gt;Goal: Eliot Pugh; Defence: Andy Booth, David Copple, Mark Winter; Midfield: Lorenzo Balzarini, Mike Barratt (1), Lewis Blackshaw, Ben Iremonger, Richard Pearse (1), Matt Twose; Attack: Justin Baranowski, Myles Johnstone, Matt Payne (1)</v>
      </c>
      <c r="AW58" s="8" t="str">
        <f>CONCATENATE("&lt;p class=""small""&gt;Goal: ",AW141,"; Defence: ",AX141,"; Midfield: ",AY141,"; Attack: ",AZ141)</f>
        <v>&lt;p class="small"&gt;Goal: Dave Slaughter; Defence: David Copple, Sam Guest (1); Midfield: Jordan Anning, Lorenzo Balzarini (2), Jacob Hall, Richard Pearse, Matt Twose; Attack: Myles Johnstone, Matt Payne (2), Ben Reed (3)</v>
      </c>
      <c r="BA58" s="8" t="str">
        <f>CONCATENATE("&lt;p class=""small""&gt;Goal: ",BA141,"; Defence: ",BB141,"; Midfield: ",BC141,"; Attack: ",BD141)</f>
        <v>&lt;p class="small"&gt;Goal: Jacob Thorne; Defence: Andy Booth, David Copple, Conor Mills, Mark Winter; Midfield: Jacob Hall, Ben Iremonger (4), Matt Twose; Attack: Myles Johnstone (1), Richard Pearse (1), Dave Slaughter (1)</v>
      </c>
      <c r="BE58" s="8" t="str">
        <f>CONCATENATE("&lt;p class=""small""&gt;Goal: ",BE141,"; Defence: ",BF141,"; Midfield: ",BG141,"; Attack: ",BH141)</f>
        <v>&lt;p class="small"&gt;Goal: Jacob Thorne; Defence: Andy Booth, David Copple, Sam Guest, Mark Winter; Midfield: Lorenzo Balzarini (1), Mike Barratt (3), Jacob Hall, Ben Iremonger (1), Matt Twose; Attack: Justin Baranowski (2), Myles Johnstone (1), Matt Payne</v>
      </c>
      <c r="BI58" s="8" t="str">
        <f>CONCATENATE("&lt;p class=""small""&gt;Goal: ",BI141,"; Defence: ",BJ141,"; Midfield: ",BK141,"; Attack: ",BL141)</f>
        <v>&lt;p class="small"&gt;Goal: Jacob Thorne; Defence: Andy Booth, David Copple, Dave Slaughter, Mark Winter; Midfield: Lorenzo Balzarini (1), Richard Pearse (3); Attack: Justin Baranowski, Billy Camuso (1), Myles Johnstone, Matt Payne (2)</v>
      </c>
      <c r="BM58" s="8" t="str">
        <f>CONCATENATE("&lt;p class=""small""&gt;Goal: ",BM141,"; Defence: ",BN141,"; Midfield: ",BO141,"; Attack: ",BP141)</f>
        <v xml:space="preserve">&lt;p class="small"&gt;Goal: ; Defence: ; Midfield: ; Attack: </v>
      </c>
      <c r="BQ58" s="8" t="str">
        <f>CONCATENATE("&lt;p class=""small""&gt;Goal: ",BQ141,"; Defence: ",BR141,"; Midfield: ",BS141,"; Attack: ",BT141)</f>
        <v>&lt;p class="small"&gt;Goal: Jacob Thorne; Defence: Andy Booth, David Copple, Conor Mills, Dave Slaughter, Mark Winter; Midfield: Lorenzo Balzarini, Sam Baranowski, Kieran Kershaw, Richard Pearse (1), Matt Twose; Attack: Justin Baranowski, Billy Camuso (1), Sam Hallows</v>
      </c>
      <c r="BU58" s="8" t="str">
        <f>CONCATENATE("&lt;p class=""small""&gt;Goal: ",BU141,"; Defence: ",BV141,"; Midfield: ",BW141,"; Attack: ",BX141)</f>
        <v xml:space="preserve">&lt;p class="small"&gt;Goal: ; Defence: ; Midfield: ; Attack: </v>
      </c>
      <c r="BY58" s="8" t="str">
        <f>CONCATENATE("&lt;p class=""small""&gt;Goal: ",BY141,"; Defence: ",BZ141,"; Midfield: ",CA141,"; Attack: ",CB141)</f>
        <v xml:space="preserve">&lt;p class="small"&gt;Goal: ; Defence: ; Midfield: ; Attack: </v>
      </c>
      <c r="CC58" s="8" t="str">
        <f>CONCATENATE("&lt;p class=""small""&gt;Goal: ",CC141,"; Defence: ",CD141,"; Midfield: ",CE141,"; Attack: ",CF141)</f>
        <v>&lt;p class="small"&gt;Goal: Jacob Thorne; Defence: David Copple, Will Lucas, Conor Mills, Mark Winter; Midfield: Sam Baranowski, Mike Barratt, Myles Johnstone, Richard Pearse, Matt Twose (1); Attack: Justin Baranowski (2), Sam Hallows, Matt Payne (1)</v>
      </c>
      <c r="CG58" s="8" t="str">
        <f>CONCATENATE("&lt;p class=""small""&gt;Goal: ",CG141,"; Defence: ",CH141,"; Midfield: ",CI141,"; Attack: ",CJ141)</f>
        <v>&lt;p class="small"&gt;Goal: Jacob Thorne; Defence: David Copple, Sam Guest, Will Lucas, Conor Mills, Mark Winter; Midfield: Lorenzo Balzarini, Sam Baranowski, Mike Barratt (1), David Hudson, Myles Johnstone (1), Richard Pearse, Matt Twose; Attack: Dave Berman (1), Billy Camuso, Sam Hallows, Luke Johnstone, Matt Payne</v>
      </c>
    </row>
    <row r="59" spans="1:88">
      <c r="C59" s="35" t="s">
        <v>43</v>
      </c>
      <c r="D59" s="35"/>
      <c r="I59" s="8" t="str">
        <f>"&lt;br/&gt;Referee: "&amp;J182&amp;"&lt;/p&gt;"</f>
        <v>&lt;br/&gt;Referee: John Hubbard, Greg Irwin&lt;/p&gt;</v>
      </c>
      <c r="M59" s="8" t="str">
        <f>"&lt;br/&gt;Referee: "&amp;N182&amp;"&lt;/p&gt;"</f>
        <v>&lt;br/&gt;Referee: Dave Slaughter&lt;/p&gt;</v>
      </c>
      <c r="Q59" s="30" t="str">
        <f>"&lt;br/&gt;Referee: "&amp;R182&amp;"&lt;/p&gt;"</f>
        <v>&lt;br/&gt;Referee: Peter Compton&lt;/p&gt;</v>
      </c>
      <c r="U59" s="8" t="str">
        <f>"&lt;br/&gt;Referee: "&amp;V182&amp;"&lt;/p&gt;"</f>
        <v>&lt;br/&gt;Referee: Dave Slaughter&lt;/p&gt;</v>
      </c>
      <c r="Y59" s="8" t="str">
        <f>"&lt;br/&gt;Referee: "&amp;Z182&amp;"&lt;/p&gt;"</f>
        <v>&lt;br/&gt;Referee: Joe Burnett+1&lt;/p&gt;</v>
      </c>
      <c r="AC59" s="8" t="str">
        <f>"&lt;br/&gt;Referee: "&amp;AD182&amp;"&lt;/p&gt;"</f>
        <v>&lt;br/&gt;Referee: Hazel Wisby  +1&lt;/p&gt;</v>
      </c>
      <c r="AG59" s="8" t="str">
        <f>"&lt;br/&gt;Referee: "&amp;AH182&amp;"&lt;/p&gt;"</f>
        <v>&lt;br/&gt;Referee: &lt;/p&gt;</v>
      </c>
      <c r="AK59" s="8" t="str">
        <f>"&lt;br/&gt;Referee: "&amp;AL182&amp;"&lt;/p&gt;"</f>
        <v>&lt;br/&gt;Referee: Simon Peach&lt;/p&gt;</v>
      </c>
      <c r="AO59" s="8" t="str">
        <f>"&lt;br/&gt;Referee: "&amp;AP182&amp;"&lt;/p&gt;"</f>
        <v>&lt;br/&gt;Referee: Dave Slaughter&lt;/p&gt;</v>
      </c>
      <c r="AS59" s="8" t="str">
        <f>"&lt;br/&gt;Referee: "&amp;AT182&amp;"&lt;/p&gt;"</f>
        <v>&lt;br/&gt;Referee: Dave Slaughter&lt;/p&gt;</v>
      </c>
      <c r="AW59" s="8" t="str">
        <f>"&lt;br/&gt;Referee: "&amp;AX182&amp;"&lt;/p&gt;"</f>
        <v>&lt;br/&gt;Referee: Andy Booth&lt;/p&gt;</v>
      </c>
      <c r="BA59" s="8" t="str">
        <f>"&lt;br/&gt;Referee: "&amp;BB182&amp;"&lt;/p&gt;"</f>
        <v>&lt;br/&gt;Referee: Brian Kilby (Welwyn)&lt;/p&gt;</v>
      </c>
      <c r="BE59" s="8" t="str">
        <f>"&lt;br/&gt;Referee: "&amp;BF182&amp;"&lt;/p&gt;"</f>
        <v>&lt;br/&gt;Referee: Dave Slaughter&lt;/p&gt;</v>
      </c>
      <c r="BI59" s="8" t="str">
        <f>"&lt;br/&gt;Referee: "&amp;BJ182&amp;"&lt;/p&gt;"</f>
        <v>&lt;br/&gt;Referee: Debbie Field&lt;/p&gt;</v>
      </c>
      <c r="BM59" s="8" t="str">
        <f>"&lt;br/&gt;Referee: "&amp;BN182&amp;"&lt;/p&gt;"</f>
        <v>&lt;br/&gt;Referee: &lt;/p&gt;</v>
      </c>
      <c r="BQ59" s="8" t="str">
        <f>"&lt;br/&gt;Referee: "&amp;BR182&amp;"&lt;/p&gt;"</f>
        <v>&lt;br/&gt;Referee: Ben Jessup&lt;/p&gt;</v>
      </c>
      <c r="BU59" s="8" t="str">
        <f>"&lt;br/&gt;Referee: "&amp;BV182&amp;"&lt;/p&gt;"</f>
        <v>&lt;br/&gt;Referee: &lt;/p&gt;</v>
      </c>
      <c r="BY59" s="8" t="str">
        <f>"&lt;br/&gt;Referee: "&amp;BZ182&amp;"&lt;/p&gt;"</f>
        <v>&lt;br/&gt;Referee: &lt;/p&gt;</v>
      </c>
      <c r="CC59" s="8" t="str">
        <f>"&lt;br/&gt;Referee: "&amp;CD182&amp;"&lt;/p&gt;"</f>
        <v>&lt;br/&gt;Referee: Andy Booth&lt;/p&gt;</v>
      </c>
      <c r="CG59" s="8" t="str">
        <f>"&lt;br/&gt;Referee: "&amp;CH182&amp;"&lt;/p&gt;"</f>
        <v>&lt;br/&gt;Referee: Andy Booth&lt;/p&gt;</v>
      </c>
    </row>
    <row r="61" spans="1:88">
      <c r="C61" s="8" t="s">
        <v>39</v>
      </c>
      <c r="G61" s="8">
        <v>1</v>
      </c>
      <c r="I61" s="8" t="str">
        <f>IF(I10="G", CONCATENATE($D10, IF(J10+K10&gt;0,CONCATENATE(" (",J10,IF(K10&gt;0,CONCATENATE(IF(J10&gt;0,",",""),K10,"A"),""),")"),"")),"")</f>
        <v/>
      </c>
      <c r="J61" s="8" t="str">
        <f t="shared" ref="J61" si="41">IF(I10="D", CONCATENATE($D10, IF(J10+K10&gt;0,CONCATENATE(" (",J10,IF(K10&gt;0,CONCATENATE(IF(J10&gt;0,",",""),K10,"A"),""),")"),"")),"")</f>
        <v/>
      </c>
      <c r="K61" s="8" t="str">
        <f>IF(I10="M", CONCATENATE($D10, IF(J10+K10&gt;0,CONCATENATE(" (",J10,IF(K10&gt;0,CONCATENATE(IF(J10&gt;0,",",""),K10,"A"),""),")"),"")),"")</f>
        <v/>
      </c>
      <c r="L61" s="8" t="str">
        <f>IF(I10="A", CONCATENATE($D10, IF(J10+K10&gt;0,CONCATENATE(" (",J10,IF(K10&gt;0,CONCATENATE(IF(J10&gt;0,",",""),K10,"A"),""),")"),"")),"")</f>
        <v/>
      </c>
      <c r="M61" s="8" t="str">
        <f t="shared" ref="M61" si="42">IF(M10="G", CONCATENATE($D10, IF(N10+O10&gt;0,CONCATENATE(" (",N10,IF(O10&gt;0,CONCATENATE(IF(N10&gt;0,",",""),O10,"A"),""),")"),"")),"")</f>
        <v/>
      </c>
      <c r="N61" s="8" t="str">
        <f t="shared" ref="N61" si="43">IF(M10="D", CONCATENATE($D10, IF(N10+O10&gt;0,CONCATENATE(" (",N10,IF(O10&gt;0,CONCATENATE(IF(N10&gt;0,",",""),O10,"A"),""),")"),"")),"")</f>
        <v/>
      </c>
      <c r="O61" s="8" t="str">
        <f t="shared" ref="O61" si="44">IF(M10="M", CONCATENATE($D10, IF(N10+O10&gt;0,CONCATENATE(" (",N10,IF(O10&gt;0,CONCATENATE(IF(N10&gt;0,",",""),O10,"A"),""),")"),"")),"")</f>
        <v/>
      </c>
      <c r="P61" s="8" t="str">
        <f t="shared" ref="P61" si="45">IF(M10="A", CONCATENATE($D10, IF(N10+O10&gt;0,CONCATENATE(" (",N10,IF(O10&gt;0,CONCATENATE(IF(N10&gt;0,",",""),O10,"A"),""),")"),"")),"")</f>
        <v/>
      </c>
      <c r="Q61" s="30" t="str">
        <f t="shared" ref="Q61" si="46">IF(Q10="G", CONCATENATE($D10, IF(R10+S10&gt;0,CONCATENATE(" (",R10,IF(S10&gt;0,CONCATENATE(IF(R10&gt;0,",",""),S10,"A"),""),")"),"")),"")</f>
        <v/>
      </c>
      <c r="R61" s="8" t="str">
        <f t="shared" ref="R61" si="47">IF(Q10="D", CONCATENATE($D10, IF(R10+S10&gt;0,CONCATENATE(" (",R10,IF(S10&gt;0,CONCATENATE(IF(R10&gt;0,",",""),S10,"A"),""),")"),"")),"")</f>
        <v/>
      </c>
      <c r="S61" s="8" t="str">
        <f t="shared" ref="S61" si="48">IF(Q10="M", CONCATENATE($D10, IF(R10+S10&gt;0,CONCATENATE(" (",R10,IF(S10&gt;0,CONCATENATE(IF(R10&gt;0,",",""),S10,"A"),""),")"),"")),"")</f>
        <v/>
      </c>
      <c r="T61" s="8" t="str">
        <f t="shared" ref="T61" si="49">IF(Q10="A", CONCATENATE($D10, IF(R10+S10&gt;0,CONCATENATE(" (",R10,IF(S10&gt;0,CONCATENATE(IF(R10&gt;0,",",""),S10,"A"),""),")"),"")),"")</f>
        <v/>
      </c>
      <c r="U61" s="8" t="str">
        <f t="shared" ref="U61" si="50">IF(U10="G", CONCATENATE($D10, IF(V10+W10&gt;0,CONCATENATE(" (",V10,IF(W10&gt;0,CONCATENATE(IF(V10&gt;0,",",""),W10,"A"),""),")"),"")),"")</f>
        <v/>
      </c>
      <c r="V61" s="8" t="str">
        <f t="shared" ref="V61" si="51">IF(U10="D", CONCATENATE($D10, IF(V10+W10&gt;0,CONCATENATE(" (",V10,IF(W10&gt;0,CONCATENATE(IF(V10&gt;0,",",""),W10,"A"),""),")"),"")),"")</f>
        <v/>
      </c>
      <c r="W61" s="8" t="str">
        <f t="shared" ref="W61" si="52">IF(U10="M", CONCATENATE($D10, IF(V10+W10&gt;0,CONCATENATE(" (",V10,IF(W10&gt;0,CONCATENATE(IF(V10&gt;0,",",""),W10,"A"),""),")"),"")),"")</f>
        <v/>
      </c>
      <c r="X61" s="8" t="str">
        <f t="shared" ref="X61" si="53">IF(U10="A", CONCATENATE($D10, IF(V10+W10&gt;0,CONCATENATE(" (",V10,IF(W10&gt;0,CONCATENATE(IF(V10&gt;0,",",""),W10,"A"),""),")"),"")),"")</f>
        <v/>
      </c>
      <c r="Y61" s="8" t="str">
        <f t="shared" ref="Y61" si="54">IF(Y10="G", CONCATENATE($D10, IF(Z10+AA10&gt;0,CONCATENATE(" (",Z10,IF(AA10&gt;0,CONCATENATE(IF(Z10&gt;0,",",""),AA10,"A"),""),")"),"")),"")</f>
        <v/>
      </c>
      <c r="Z61" s="8" t="str">
        <f t="shared" ref="Z61" si="55">IF(Y10="D", CONCATENATE($D10, IF(Z10+AA10&gt;0,CONCATENATE(" (",Z10,IF(AA10&gt;0,CONCATENATE(IF(Z10&gt;0,",",""),AA10,"A"),""),")"),"")),"")</f>
        <v/>
      </c>
      <c r="AA61" s="8" t="str">
        <f t="shared" ref="AA61" si="56">IF(Y10="M", CONCATENATE($D10, IF(Z10+AA10&gt;0,CONCATENATE(" (",Z10,IF(AA10&gt;0,CONCATENATE(IF(Z10&gt;0,",",""),AA10,"A"),""),")"),"")),"")</f>
        <v/>
      </c>
      <c r="AB61" s="8" t="str">
        <f t="shared" ref="AB61" si="57">IF(Y10="A", CONCATENATE($D10, IF(Z10+AA10&gt;0,CONCATENATE(" (",Z10,IF(AA10&gt;0,CONCATENATE(IF(Z10&gt;0,",",""),AA10,"A"),""),")"),"")),"")</f>
        <v/>
      </c>
      <c r="AC61" s="8" t="str">
        <f t="shared" ref="AC61" si="58">IF(AC10="G", CONCATENATE($D10, IF(AD10+AE10&gt;0,CONCATENATE(" (",AD10,IF(AE10&gt;0,CONCATENATE(IF(AD10&gt;0,",",""),AE10,"A"),""),")"),"")),"")</f>
        <v/>
      </c>
      <c r="AD61" s="8" t="str">
        <f t="shared" ref="AD61" si="59">IF(AC10="D", CONCATENATE($D10, IF(AD10+AE10&gt;0,CONCATENATE(" (",AD10,IF(AE10&gt;0,CONCATENATE(IF(AD10&gt;0,",",""),AE10,"A"),""),")"),"")),"")</f>
        <v/>
      </c>
      <c r="AE61" s="8" t="str">
        <f t="shared" ref="AE61" si="60">IF(AC10="M", CONCATENATE($D10, IF(AD10+AE10&gt;0,CONCATENATE(" (",AD10,IF(AE10&gt;0,CONCATENATE(IF(AD10&gt;0,",",""),AE10,"A"),""),")"),"")),"")</f>
        <v/>
      </c>
      <c r="AF61" s="8" t="str">
        <f t="shared" ref="AF61" si="61">IF(AC10="A", CONCATENATE($D10, IF(AD10+AE10&gt;0,CONCATENATE(" (",AD10,IF(AE10&gt;0,CONCATENATE(IF(AD10&gt;0,",",""),AE10,"A"),""),")"),"")),"")</f>
        <v/>
      </c>
      <c r="AG61" s="8" t="str">
        <f t="shared" ref="AG61" si="62">IF(AG10="G", CONCATENATE($D10, IF(AH10+AI10&gt;0,CONCATENATE(" (",AH10,IF(AI10&gt;0,CONCATENATE(IF(AH10&gt;0,",",""),AI10,"A"),""),")"),"")),"")</f>
        <v/>
      </c>
      <c r="AH61" s="8" t="str">
        <f t="shared" ref="AH61" si="63">IF(AG10="D", CONCATENATE($D10, IF(AH10+AI10&gt;0,CONCATENATE(" (",AH10,IF(AI10&gt;0,CONCATENATE(IF(AH10&gt;0,",",""),AI10,"A"),""),")"),"")),"")</f>
        <v/>
      </c>
      <c r="AI61" s="8" t="str">
        <f t="shared" ref="AI61" si="64">IF(AG10="M", CONCATENATE($D10, IF(AH10+AI10&gt;0,CONCATENATE(" (",AH10,IF(AI10&gt;0,CONCATENATE(IF(AH10&gt;0,",",""),AI10,"A"),""),")"),"")),"")</f>
        <v/>
      </c>
      <c r="AJ61" s="8" t="str">
        <f t="shared" ref="AJ61" si="65">IF(AG10="A", CONCATENATE($D10, IF(AH10+AI10&gt;0,CONCATENATE(" (",AH10,IF(AI10&gt;0,CONCATENATE(IF(AH10&gt;0,",",""),AI10,"A"),""),")"),"")),"")</f>
        <v/>
      </c>
      <c r="AK61" s="8" t="str">
        <f t="shared" ref="AK61" si="66">IF(AK10="G", CONCATENATE($D10, IF(AL10+AM10&gt;0,CONCATENATE(" (",AL10,IF(AM10&gt;0,CONCATENATE(IF(AL10&gt;0,",",""),AM10,"A"),""),")"),"")),"")</f>
        <v/>
      </c>
      <c r="AL61" s="8" t="str">
        <f t="shared" ref="AL61" si="67">IF(AK10="D", CONCATENATE($D10, IF(AL10+AM10&gt;0,CONCATENATE(" (",AL10,IF(AM10&gt;0,CONCATENATE(IF(AL10&gt;0,",",""),AM10,"A"),""),")"),"")),"")</f>
        <v/>
      </c>
      <c r="AM61" s="8" t="str">
        <f t="shared" ref="AM61" si="68">IF(AK10="M", CONCATENATE($D10, IF(AL10+AM10&gt;0,CONCATENATE(" (",AL10,IF(AM10&gt;0,CONCATENATE(IF(AL10&gt;0,",",""),AM10,"A"),""),")"),"")),"")</f>
        <v/>
      </c>
      <c r="AN61" s="8" t="str">
        <f t="shared" ref="AN61" si="69">IF(AK10="A", CONCATENATE($D10, IF(AL10+AM10&gt;0,CONCATENATE(" (",AL10,IF(AM10&gt;0,CONCATENATE(IF(AL10&gt;0,",",""),AM10,"A"),""),")"),"")),"")</f>
        <v/>
      </c>
      <c r="AO61" s="8" t="str">
        <f t="shared" ref="AO61" si="70">IF(AO10="G", CONCATENATE($D10, IF(AP10+AQ10&gt;0,CONCATENATE(" (",AP10,IF(AQ10&gt;0,CONCATENATE(IF(AP10&gt;0,",",""),AQ10,"A"),""),")"),"")),"")</f>
        <v/>
      </c>
      <c r="AP61" s="8" t="str">
        <f t="shared" ref="AP61" si="71">IF(AO10="D", CONCATENATE($D10, IF(AP10+AQ10&gt;0,CONCATENATE(" (",AP10,IF(AQ10&gt;0,CONCATENATE(IF(AP10&gt;0,",",""),AQ10,"A"),""),")"),"")),"")</f>
        <v/>
      </c>
      <c r="AQ61" s="8" t="str">
        <f t="shared" ref="AQ61" si="72">IF(AO10="M", CONCATENATE($D10, IF(AP10+AQ10&gt;0,CONCATENATE(" (",AP10,IF(AQ10&gt;0,CONCATENATE(IF(AP10&gt;0,",",""),AQ10,"A"),""),")"),"")),"")</f>
        <v/>
      </c>
      <c r="AR61" s="8" t="str">
        <f t="shared" ref="AR61" si="73">IF(AO10="A", CONCATENATE($D10, IF(AP10+AQ10&gt;0,CONCATENATE(" (",AP10,IF(AQ10&gt;0,CONCATENATE(IF(AP10&gt;0,",",""),AQ10,"A"),""),")"),"")),"")</f>
        <v/>
      </c>
      <c r="AS61" s="8" t="str">
        <f t="shared" ref="AS61" si="74">IF(AS10="G", CONCATENATE($D10, IF(AT10+AU10&gt;0,CONCATENATE(" (",AT10,IF(AU10&gt;0,CONCATENATE(IF(AT10&gt;0,",",""),AU10,"A"),""),")"),"")),"")</f>
        <v/>
      </c>
      <c r="AT61" s="8" t="str">
        <f t="shared" ref="AT61" si="75">IF(AS10="D", CONCATENATE($D10, IF(AT10+AU10&gt;0,CONCATENATE(" (",AT10,IF(AU10&gt;0,CONCATENATE(IF(AT10&gt;0,",",""),AU10,"A"),""),")"),"")),"")</f>
        <v/>
      </c>
      <c r="AU61" s="8" t="str">
        <f t="shared" ref="AU61" si="76">IF(AS10="M", CONCATENATE($D10, IF(AT10+AU10&gt;0,CONCATENATE(" (",AT10,IF(AU10&gt;0,CONCATENATE(IF(AT10&gt;0,",",""),AU10,"A"),""),")"),"")),"")</f>
        <v/>
      </c>
      <c r="AV61" s="8" t="str">
        <f t="shared" ref="AV61" si="77">IF(AS10="A", CONCATENATE($D10, IF(AT10+AU10&gt;0,CONCATENATE(" (",AT10,IF(AU10&gt;0,CONCATENATE(IF(AT10&gt;0,",",""),AU10,"A"),""),")"),"")),"")</f>
        <v/>
      </c>
      <c r="AW61" s="8" t="str">
        <f t="shared" ref="AW61" si="78">IF(AW10="G", CONCATENATE($D10, IF(AX10+AY10&gt;0,CONCATENATE(" (",AX10,IF(AY10&gt;0,CONCATENATE(IF(AX10&gt;0,",",""),AY10,"A"),""),")"),"")),"")</f>
        <v/>
      </c>
      <c r="AX61" s="8" t="str">
        <f t="shared" ref="AX61" si="79">IF(AW10="D", CONCATENATE($D10, IF(AX10+AY10&gt;0,CONCATENATE(" (",AX10,IF(AY10&gt;0,CONCATENATE(IF(AX10&gt;0,",",""),AY10,"A"),""),")"),"")),"")</f>
        <v/>
      </c>
      <c r="AY61" s="8" t="str">
        <f t="shared" ref="AY61" si="80">IF(AW10="M", CONCATENATE($D10, IF(AX10+AY10&gt;0,CONCATENATE(" (",AX10,IF(AY10&gt;0,CONCATENATE(IF(AX10&gt;0,",",""),AY10,"A"),""),")"),"")),"")</f>
        <v>Jordan Anning</v>
      </c>
      <c r="AZ61" s="8" t="str">
        <f t="shared" ref="AZ61" si="81">IF(AW10="A", CONCATENATE($D10, IF(AX10+AY10&gt;0,CONCATENATE(" (",AX10,IF(AY10&gt;0,CONCATENATE(IF(AX10&gt;0,",",""),AY10,"A"),""),")"),"")),"")</f>
        <v/>
      </c>
      <c r="BA61" s="8" t="str">
        <f t="shared" ref="BA61" si="82">IF(BA10="G", CONCATENATE($D10, IF(BB10+BC10&gt;0,CONCATENATE(" (",BB10,IF(BC10&gt;0,CONCATENATE(IF(BB10&gt;0,",",""),BC10,"A"),""),")"),"")),"")</f>
        <v/>
      </c>
      <c r="BB61" s="8" t="str">
        <f t="shared" ref="BB61" si="83">IF(BA10="D", CONCATENATE($D10, IF(BB10+BC10&gt;0,CONCATENATE(" (",BB10,IF(BC10&gt;0,CONCATENATE(IF(BB10&gt;0,",",""),BC10,"A"),""),")"),"")),"")</f>
        <v/>
      </c>
      <c r="BC61" s="8" t="str">
        <f t="shared" ref="BC61" si="84">IF(BA10="M", CONCATENATE($D10, IF(BB10+BC10&gt;0,CONCATENATE(" (",BB10,IF(BC10&gt;0,CONCATENATE(IF(BB10&gt;0,",",""),BC10,"A"),""),")"),"")),"")</f>
        <v/>
      </c>
      <c r="BD61" s="8" t="str">
        <f t="shared" ref="BD61" si="85">IF(BA10="A", CONCATENATE($D10, IF(BB10+BC10&gt;0,CONCATENATE(" (",BB10,IF(BC10&gt;0,CONCATENATE(IF(BB10&gt;0,",",""),BC10,"A"),""),")"),"")),"")</f>
        <v/>
      </c>
      <c r="BE61" s="8" t="str">
        <f t="shared" ref="BE61" si="86">IF(BE10="G", CONCATENATE($D10, IF(BF10+BG10&gt;0,CONCATENATE(" (",BF10,IF(BG10&gt;0,CONCATENATE(IF(BF10&gt;0,",",""),BG10,"A"),""),")"),"")),"")</f>
        <v/>
      </c>
      <c r="BF61" s="8" t="str">
        <f t="shared" ref="BF61" si="87">IF(BE10="D", CONCATENATE($D10, IF(BF10+BG10&gt;0,CONCATENATE(" (",BF10,IF(BG10&gt;0,CONCATENATE(IF(BF10&gt;0,",",""),BG10,"A"),""),")"),"")),"")</f>
        <v/>
      </c>
      <c r="BG61" s="8" t="str">
        <f t="shared" ref="BG61" si="88">IF(BE10="M", CONCATENATE($D10, IF(BF10+BG10&gt;0,CONCATENATE(" (",BF10,IF(BG10&gt;0,CONCATENATE(IF(BF10&gt;0,",",""),BG10,"A"),""),")"),"")),"")</f>
        <v/>
      </c>
      <c r="BH61" s="8" t="str">
        <f t="shared" ref="BH61" si="89">IF(BE10="A", CONCATENATE($D10, IF(BF10+BG10&gt;0,CONCATENATE(" (",BF10,IF(BG10&gt;0,CONCATENATE(IF(BF10&gt;0,",",""),BG10,"A"),""),")"),"")),"")</f>
        <v/>
      </c>
      <c r="BI61" s="8" t="str">
        <f t="shared" ref="BI61" si="90">IF(BI10="G", CONCATENATE($D10, IF(BJ10+BK10&gt;0,CONCATENATE(" (",BJ10,IF(BK10&gt;0,CONCATENATE(IF(BJ10&gt;0,",",""),BK10,"A"),""),")"),"")),"")</f>
        <v/>
      </c>
      <c r="BJ61" s="8" t="str">
        <f t="shared" ref="BJ61" si="91">IF(BI10="D", CONCATENATE($D10, IF(BJ10+BK10&gt;0,CONCATENATE(" (",BJ10,IF(BK10&gt;0,CONCATENATE(IF(BJ10&gt;0,",",""),BK10,"A"),""),")"),"")),"")</f>
        <v/>
      </c>
      <c r="BK61" s="8" t="str">
        <f t="shared" ref="BK61" si="92">IF(BI10="M", CONCATENATE($D10, IF(BJ10+BK10&gt;0,CONCATENATE(" (",BJ10,IF(BK10&gt;0,CONCATENATE(IF(BJ10&gt;0,",",""),BK10,"A"),""),")"),"")),"")</f>
        <v/>
      </c>
      <c r="BL61" s="8" t="str">
        <f t="shared" ref="BL61" si="93">IF(BI10="A", CONCATENATE($D10, IF(BJ10+BK10&gt;0,CONCATENATE(" (",BJ10,IF(BK10&gt;0,CONCATENATE(IF(BJ10&gt;0,",",""),BK10,"A"),""),")"),"")),"")</f>
        <v/>
      </c>
      <c r="BM61" s="8" t="str">
        <f t="shared" ref="BM61:BM100" si="94">IF(BM10="G", CONCATENATE($D10, IF(BN10+BO10&gt;0,CONCATENATE(" (",BN10,IF(BO10&gt;0,CONCATENATE(IF(BN10&gt;0,",",""),BO10,"A"),""),")"),"")),"")</f>
        <v/>
      </c>
      <c r="BN61" s="8" t="str">
        <f t="shared" ref="BN61:BN100" si="95">IF(BM10="D", CONCATENATE($D10, IF(BN10+BO10&gt;0,CONCATENATE(" (",BN10,IF(BO10&gt;0,CONCATENATE(IF(BN10&gt;0,",",""),BO10,"A"),""),")"),"")),"")</f>
        <v/>
      </c>
      <c r="BO61" s="8" t="str">
        <f t="shared" ref="BO61:BO100" si="96">IF(BM10="M", CONCATENATE($D10, IF(BN10+BO10&gt;0,CONCATENATE(" (",BN10,IF(BO10&gt;0,CONCATENATE(IF(BN10&gt;0,",",""),BO10,"A"),""),")"),"")),"")</f>
        <v/>
      </c>
      <c r="BP61" s="8" t="str">
        <f t="shared" ref="BP61:BP100" si="97">IF(BM10="A", CONCATENATE($D10, IF(BN10+BO10&gt;0,CONCATENATE(" (",BN10,IF(BO10&gt;0,CONCATENATE(IF(BN10&gt;0,",",""),BO10,"A"),""),")"),"")),"")</f>
        <v/>
      </c>
      <c r="BQ61" s="8" t="str">
        <f t="shared" ref="BQ61:BQ100" si="98">IF(BQ10="G", CONCATENATE($D10, IF(BR10+BS10&gt;0,CONCATENATE(" (",BR10,IF(BS10&gt;0,CONCATENATE(IF(BR10&gt;0,",",""),BS10,"A"),""),")"),"")),"")</f>
        <v/>
      </c>
      <c r="BR61" s="8" t="str">
        <f t="shared" ref="BR61:BR100" si="99">IF(BQ10="D", CONCATENATE($D10, IF(BR10+BS10&gt;0,CONCATENATE(" (",BR10,IF(BS10&gt;0,CONCATENATE(IF(BR10&gt;0,",",""),BS10,"A"),""),")"),"")),"")</f>
        <v/>
      </c>
      <c r="BS61" s="8" t="str">
        <f t="shared" ref="BS61:BS100" si="100">IF(BQ10="M", CONCATENATE($D10, IF(BR10+BS10&gt;0,CONCATENATE(" (",BR10,IF(BS10&gt;0,CONCATENATE(IF(BR10&gt;0,",",""),BS10,"A"),""),")"),"")),"")</f>
        <v/>
      </c>
      <c r="BT61" s="8" t="str">
        <f t="shared" ref="BT61:BT100" si="101">IF(BQ10="A", CONCATENATE($D10, IF(BR10+BS10&gt;0,CONCATENATE(" (",BR10,IF(BS10&gt;0,CONCATENATE(IF(BR10&gt;0,",",""),BS10,"A"),""),")"),"")),"")</f>
        <v/>
      </c>
      <c r="BU61" s="8" t="str">
        <f t="shared" ref="BU61:BU100" si="102">IF(BU10="G", CONCATENATE($D10, IF(BV10+BW10&gt;0,CONCATENATE(" (",BV10,IF(BW10&gt;0,CONCATENATE(IF(BV10&gt;0,",",""),BW10,"A"),""),")"),"")),"")</f>
        <v/>
      </c>
      <c r="BV61" s="8" t="str">
        <f t="shared" ref="BV61:BV100" si="103">IF(BU10="D", CONCATENATE($D10, IF(BV10+BW10&gt;0,CONCATENATE(" (",BV10,IF(BW10&gt;0,CONCATENATE(IF(BV10&gt;0,",",""),BW10,"A"),""),")"),"")),"")</f>
        <v/>
      </c>
      <c r="BW61" s="8" t="str">
        <f t="shared" ref="BW61:BW100" si="104">IF(BU10="M", CONCATENATE($D10, IF(BV10+BW10&gt;0,CONCATENATE(" (",BV10,IF(BW10&gt;0,CONCATENATE(IF(BV10&gt;0,",",""),BW10,"A"),""),")"),"")),"")</f>
        <v/>
      </c>
      <c r="BX61" s="8" t="str">
        <f t="shared" ref="BX61:BX100" si="105">IF(BU10="A", CONCATENATE($D10, IF(BV10+BW10&gt;0,CONCATENATE(" (",BV10,IF(BW10&gt;0,CONCATENATE(IF(BV10&gt;0,",",""),BW10,"A"),""),")"),"")),"")</f>
        <v/>
      </c>
      <c r="BY61" s="8" t="str">
        <f t="shared" ref="BY61:BY100" si="106">IF(BY10="G", CONCATENATE($D10, IF(BZ10+CA10&gt;0,CONCATENATE(" (",BZ10,IF(CA10&gt;0,CONCATENATE(IF(BZ10&gt;0,",",""),CA10,"A"),""),")"),"")),"")</f>
        <v/>
      </c>
      <c r="BZ61" s="8" t="str">
        <f t="shared" ref="BZ61:BZ100" si="107">IF(BY10="D", CONCATENATE($D10, IF(BZ10+CA10&gt;0,CONCATENATE(" (",BZ10,IF(CA10&gt;0,CONCATENATE(IF(BZ10&gt;0,",",""),CA10,"A"),""),")"),"")),"")</f>
        <v/>
      </c>
      <c r="CA61" s="8" t="str">
        <f t="shared" ref="CA61:CA100" si="108">IF(BY10="M", CONCATENATE($D10, IF(BZ10+CA10&gt;0,CONCATENATE(" (",BZ10,IF(CA10&gt;0,CONCATENATE(IF(BZ10&gt;0,",",""),CA10,"A"),""),")"),"")),"")</f>
        <v/>
      </c>
      <c r="CB61" s="8" t="str">
        <f t="shared" ref="CB61:CB100" si="109">IF(BY10="A", CONCATENATE($D10, IF(BZ10+CA10&gt;0,CONCATENATE(" (",BZ10,IF(CA10&gt;0,CONCATENATE(IF(BZ10&gt;0,",",""),CA10,"A"),""),")"),"")),"")</f>
        <v/>
      </c>
      <c r="CC61" s="8" t="str">
        <f t="shared" ref="CC61:CC100" si="110">IF(CC10="G", CONCATENATE($D10, IF(CD10+CE10&gt;0,CONCATENATE(" (",CD10,IF(CE10&gt;0,CONCATENATE(IF(CD10&gt;0,",",""),CE10,"A"),""),")"),"")),"")</f>
        <v/>
      </c>
      <c r="CD61" s="8" t="str">
        <f t="shared" ref="CD61:CD100" si="111">IF(CC10="D", CONCATENATE($D10, IF(CD10+CE10&gt;0,CONCATENATE(" (",CD10,IF(CE10&gt;0,CONCATENATE(IF(CD10&gt;0,",",""),CE10,"A"),""),")"),"")),"")</f>
        <v/>
      </c>
      <c r="CE61" s="8" t="str">
        <f t="shared" ref="CE61:CE100" si="112">IF(CC10="M", CONCATENATE($D10, IF(CD10+CE10&gt;0,CONCATENATE(" (",CD10,IF(CE10&gt;0,CONCATENATE(IF(CD10&gt;0,",",""),CE10,"A"),""),")"),"")),"")</f>
        <v/>
      </c>
      <c r="CF61" s="8" t="str">
        <f t="shared" ref="CF61:CF100" si="113">IF(CC10="A", CONCATENATE($D10, IF(CD10+CE10&gt;0,CONCATENATE(" (",CD10,IF(CE10&gt;0,CONCATENATE(IF(CD10&gt;0,",",""),CE10,"A"),""),")"),"")),"")</f>
        <v/>
      </c>
      <c r="CG61" s="8" t="str">
        <f t="shared" ref="CG61:CG100" si="114">IF(CG10="G", CONCATENATE($D10, IF(CH10+CI10&gt;0,CONCATENATE(" (",CH10,IF(CI10&gt;0,CONCATENATE(IF(CH10&gt;0,",",""),CI10,"A"),""),")"),"")),"")</f>
        <v/>
      </c>
      <c r="CH61" s="8" t="str">
        <f t="shared" ref="CH61:CH100" si="115">IF(CG10="D", CONCATENATE($D10, IF(CH10+CI10&gt;0,CONCATENATE(" (",CH10,IF(CI10&gt;0,CONCATENATE(IF(CH10&gt;0,",",""),CI10,"A"),""),")"),"")),"")</f>
        <v/>
      </c>
      <c r="CI61" s="8" t="str">
        <f t="shared" ref="CI61:CI100" si="116">IF(CG10="M", CONCATENATE($D10, IF(CH10+CI10&gt;0,CONCATENATE(" (",CH10,IF(CI10&gt;0,CONCATENATE(IF(CH10&gt;0,",",""),CI10,"A"),""),")"),"")),"")</f>
        <v/>
      </c>
      <c r="CJ61" s="8" t="str">
        <f t="shared" ref="CJ61:CJ100" si="117">IF(CG10="A", CONCATENATE($D10, IF(CH10+CI10&gt;0,CONCATENATE(" (",CH10,IF(CI10&gt;0,CONCATENATE(IF(CH10&gt;0,",",""),CI10,"A"),""),")"),"")),"")</f>
        <v/>
      </c>
    </row>
    <row r="62" spans="1:88">
      <c r="F62" s="36"/>
      <c r="G62" s="8">
        <f>G61+1</f>
        <v>2</v>
      </c>
      <c r="I62" s="8" t="str">
        <f>IF(I11="G", CONCATENATE($D11, IF(J11+K11&gt;0,CONCATENATE(" (",J11,IF(K11&gt;0,CONCATENATE(IF(J11&gt;0,",",""),K11,"A"),""),")"),"")),"")</f>
        <v/>
      </c>
      <c r="J62" s="8" t="str">
        <f>IF(I11="D", CONCATENATE($D11, IF(J11+K11&gt;0,CONCATENATE(" (",J11,IF(K11&gt;0,CONCATENATE(IF(J11&gt;0,",",""),K11,"A"),""),")"),"")),"")</f>
        <v/>
      </c>
      <c r="K62" s="8" t="str">
        <f>IF(I11="M", CONCATENATE($D11, IF(J11+K11&gt;0,CONCATENATE(" (",J11,IF(K11&gt;0,CONCATENATE(IF(J11&gt;0,",",""),K11,"A"),""),")"),"")),"")</f>
        <v/>
      </c>
      <c r="L62" s="8" t="str">
        <f>IF(I11="A", CONCATENATE($D11, IF(J11+K11&gt;0,CONCATENATE(" (",J11,IF(K11&gt;0,CONCATENATE(IF(J11&gt;0,",",""),K11,"A"),""),")"),"")),"")</f>
        <v/>
      </c>
      <c r="M62" s="8" t="str">
        <f>IF(M11="G", CONCATENATE($D11, IF(N11+O11&gt;0,CONCATENATE(" (",N11,IF(O11&gt;0,CONCATENATE(IF(N11&gt;0,",",""),O11,"A"),""),")"),"")),"")</f>
        <v/>
      </c>
      <c r="N62" s="8" t="str">
        <f>IF(M11="D", CONCATENATE($D11, IF(N11+O11&gt;0,CONCATENATE(" (",N11,IF(O11&gt;0,CONCATENATE(IF(N11&gt;0,",",""),O11,"A"),""),")"),"")),"")</f>
        <v/>
      </c>
      <c r="O62" s="8" t="str">
        <f>IF(M11="M", CONCATENATE($D11, IF(N11+O11&gt;0,CONCATENATE(" (",N11,IF(O11&gt;0,CONCATENATE(IF(N11&gt;0,",",""),O11,"A"),""),")"),"")),"")</f>
        <v/>
      </c>
      <c r="P62" s="8" t="str">
        <f>IF(M11="A", CONCATENATE($D11, IF(N11+O11&gt;0,CONCATENATE(" (",N11,IF(O11&gt;0,CONCATENATE(IF(N11&gt;0,",",""),O11,"A"),""),")"),"")),"")</f>
        <v/>
      </c>
      <c r="Q62" s="30" t="str">
        <f>IF(Q11="G", CONCATENATE($D11, IF(R11+S11&gt;0,CONCATENATE(" (",R11,IF(S11&gt;0,CONCATENATE(IF(R11&gt;0,",",""),S11,"A"),""),")"),"")),"")</f>
        <v/>
      </c>
      <c r="R62" s="8" t="str">
        <f>IF(Q11="D", CONCATENATE($D11, IF(R11+S11&gt;0,CONCATENATE(" (",R11,IF(S11&gt;0,CONCATENATE(IF(R11&gt;0,",",""),S11,"A"),""),")"),"")),"")</f>
        <v/>
      </c>
      <c r="S62" s="8" t="str">
        <f>IF(Q11="M", CONCATENATE($D11, IF(R11+S11&gt;0,CONCATENATE(" (",R11,IF(S11&gt;0,CONCATENATE(IF(R11&gt;0,",",""),S11,"A"),""),")"),"")),"")</f>
        <v/>
      </c>
      <c r="T62" s="8" t="str">
        <f>IF(Q11="A", CONCATENATE($D11, IF(R11+S11&gt;0,CONCATENATE(" (",R11,IF(S11&gt;0,CONCATENATE(IF(R11&gt;0,",",""),S11,"A"),""),")"),"")),"")</f>
        <v/>
      </c>
      <c r="U62" s="8" t="str">
        <f>IF(U11="G", CONCATENATE($D11, IF(V11+W11&gt;0,CONCATENATE(" (",V11,IF(W11&gt;0,CONCATENATE(IF(V11&gt;0,",",""),W11,"A"),""),")"),"")),"")</f>
        <v/>
      </c>
      <c r="V62" s="8" t="str">
        <f>IF(U11="D", CONCATENATE($D11, IF(V11+W11&gt;0,CONCATENATE(" (",V11,IF(W11&gt;0,CONCATENATE(IF(V11&gt;0,",",""),W11,"A"),""),")"),"")),"")</f>
        <v/>
      </c>
      <c r="W62" s="8" t="str">
        <f>IF(U11="M", CONCATENATE($D11, IF(V11+W11&gt;0,CONCATENATE(" (",V11,IF(W11&gt;0,CONCATENATE(IF(V11&gt;0,",",""),W11,"A"),""),")"),"")),"")</f>
        <v/>
      </c>
      <c r="X62" s="8" t="str">
        <f>IF(U11="A", CONCATENATE($D11, IF(V11+W11&gt;0,CONCATENATE(" (",V11,IF(W11&gt;0,CONCATENATE(IF(V11&gt;0,",",""),W11,"A"),""),")"),"")),"")</f>
        <v/>
      </c>
      <c r="Y62" s="8" t="str">
        <f>IF(Y11="G", CONCATENATE($D11, IF(Z11+AA11&gt;0,CONCATENATE(" (",Z11,IF(AA11&gt;0,CONCATENATE(IF(Z11&gt;0,",",""),AA11,"A"),""),")"),"")),"")</f>
        <v/>
      </c>
      <c r="Z62" s="8" t="str">
        <f>IF(Y11="D", CONCATENATE($D11, IF(Z11+AA11&gt;0,CONCATENATE(" (",Z11,IF(AA11&gt;0,CONCATENATE(IF(Z11&gt;0,",",""),AA11,"A"),""),")"),"")),"")</f>
        <v/>
      </c>
      <c r="AA62" s="8" t="str">
        <f>IF(Y11="M", CONCATENATE($D11, IF(Z11+AA11&gt;0,CONCATENATE(" (",Z11,IF(AA11&gt;0,CONCATENATE(IF(Z11&gt;0,",",""),AA11,"A"),""),")"),"")),"")</f>
        <v>Lorenzo Balzarini (2)</v>
      </c>
      <c r="AB62" s="8" t="str">
        <f>IF(Y11="A", CONCATENATE($D11, IF(Z11+AA11&gt;0,CONCATENATE(" (",Z11,IF(AA11&gt;0,CONCATENATE(IF(Z11&gt;0,",",""),AA11,"A"),""),")"),"")),"")</f>
        <v/>
      </c>
      <c r="AC62" s="8" t="str">
        <f>IF(AC11="G", CONCATENATE($D11, IF(AD11+AE11&gt;0,CONCATENATE(" (",AD11,IF(AE11&gt;0,CONCATENATE(IF(AD11&gt;0,",",""),AE11,"A"),""),")"),"")),"")</f>
        <v/>
      </c>
      <c r="AD62" s="8" t="str">
        <f>IF(AC11="D", CONCATENATE($D11, IF(AD11+AE11&gt;0,CONCATENATE(" (",AD11,IF(AE11&gt;0,CONCATENATE(IF(AD11&gt;0,",",""),AE11,"A"),""),")"),"")),"")</f>
        <v/>
      </c>
      <c r="AE62" s="8" t="str">
        <f>IF(AC11="M", CONCATENATE($D11, IF(AD11+AE11&gt;0,CONCATENATE(" (",AD11,IF(AE11&gt;0,CONCATENATE(IF(AD11&gt;0,",",""),AE11,"A"),""),")"),"")),"")</f>
        <v>Lorenzo Balzarini (1)</v>
      </c>
      <c r="AF62" s="8" t="str">
        <f>IF(AC11="A", CONCATENATE($D11, IF(AD11+AE11&gt;0,CONCATENATE(" (",AD11,IF(AE11&gt;0,CONCATENATE(IF(AD11&gt;0,",",""),AE11,"A"),""),")"),"")),"")</f>
        <v/>
      </c>
      <c r="AG62" s="8" t="str">
        <f>IF(AG11="G", CONCATENATE($D11, IF(AH11+AI11&gt;0,CONCATENATE(" (",AH11,IF(AI11&gt;0,CONCATENATE(IF(AH11&gt;0,",",""),AI11,"A"),""),")"),"")),"")</f>
        <v/>
      </c>
      <c r="AH62" s="8" t="str">
        <f>IF(AG11="D", CONCATENATE($D11, IF(AH11+AI11&gt;0,CONCATENATE(" (",AH11,IF(AI11&gt;0,CONCATENATE(IF(AH11&gt;0,",",""),AI11,"A"),""),")"),"")),"")</f>
        <v/>
      </c>
      <c r="AI62" s="8" t="str">
        <f>IF(AG11="M", CONCATENATE($D11, IF(AH11+AI11&gt;0,CONCATENATE(" (",AH11,IF(AI11&gt;0,CONCATENATE(IF(AH11&gt;0,",",""),AI11,"A"),""),")"),"")),"")</f>
        <v/>
      </c>
      <c r="AJ62" s="8" t="str">
        <f>IF(AG11="A", CONCATENATE($D11, IF(AH11+AI11&gt;0,CONCATENATE(" (",AH11,IF(AI11&gt;0,CONCATENATE(IF(AH11&gt;0,",",""),AI11,"A"),""),")"),"")),"")</f>
        <v/>
      </c>
      <c r="AK62" s="8" t="str">
        <f>IF(AK11="G", CONCATENATE($D11, IF(AL11+AM11&gt;0,CONCATENATE(" (",AL11,IF(AM11&gt;0,CONCATENATE(IF(AL11&gt;0,",",""),AM11,"A"),""),")"),"")),"")</f>
        <v/>
      </c>
      <c r="AL62" s="8" t="str">
        <f>IF(AK11="D", CONCATENATE($D11, IF(AL11+AM11&gt;0,CONCATENATE(" (",AL11,IF(AM11&gt;0,CONCATENATE(IF(AL11&gt;0,",",""),AM11,"A"),""),")"),"")),"")</f>
        <v/>
      </c>
      <c r="AM62" s="8" t="str">
        <f>IF(AK11="M", CONCATENATE($D11, IF(AL11+AM11&gt;0,CONCATENATE(" (",AL11,IF(AM11&gt;0,CONCATENATE(IF(AL11&gt;0,",",""),AM11,"A"),""),")"),"")),"")</f>
        <v>Lorenzo Balzarini</v>
      </c>
      <c r="AN62" s="8" t="str">
        <f>IF(AK11="A", CONCATENATE($D11, IF(AL11+AM11&gt;0,CONCATENATE(" (",AL11,IF(AM11&gt;0,CONCATENATE(IF(AL11&gt;0,",",""),AM11,"A"),""),")"),"")),"")</f>
        <v/>
      </c>
      <c r="AO62" s="8" t="str">
        <f>IF(AO11="G", CONCATENATE($D11, IF(AP11+AQ11&gt;0,CONCATENATE(" (",AP11,IF(AQ11&gt;0,CONCATENATE(IF(AP11&gt;0,",",""),AQ11,"A"),""),")"),"")),"")</f>
        <v/>
      </c>
      <c r="AP62" s="8" t="str">
        <f>IF(AO11="D", CONCATENATE($D11, IF(AP11+AQ11&gt;0,CONCATENATE(" (",AP11,IF(AQ11&gt;0,CONCATENATE(IF(AP11&gt;0,",",""),AQ11,"A"),""),")"),"")),"")</f>
        <v/>
      </c>
      <c r="AQ62" s="8" t="str">
        <f>IF(AO11="M", CONCATENATE($D11, IF(AP11+AQ11&gt;0,CONCATENATE(" (",AP11,IF(AQ11&gt;0,CONCATENATE(IF(AP11&gt;0,",",""),AQ11,"A"),""),")"),"")),"")</f>
        <v>Lorenzo Balzarini</v>
      </c>
      <c r="AR62" s="8" t="str">
        <f>IF(AO11="A", CONCATENATE($D11, IF(AP11+AQ11&gt;0,CONCATENATE(" (",AP11,IF(AQ11&gt;0,CONCATENATE(IF(AP11&gt;0,",",""),AQ11,"A"),""),")"),"")),"")</f>
        <v/>
      </c>
      <c r="AS62" s="8" t="str">
        <f>IF(AS11="G", CONCATENATE($D11, IF(AT11+AU11&gt;0,CONCATENATE(" (",AT11,IF(AU11&gt;0,CONCATENATE(IF(AT11&gt;0,",",""),AU11,"A"),""),")"),"")),"")</f>
        <v/>
      </c>
      <c r="AT62" s="8" t="str">
        <f>IF(AS11="D", CONCATENATE($D11, IF(AT11+AU11&gt;0,CONCATENATE(" (",AT11,IF(AU11&gt;0,CONCATENATE(IF(AT11&gt;0,",",""),AU11,"A"),""),")"),"")),"")</f>
        <v/>
      </c>
      <c r="AU62" s="8" t="str">
        <f>IF(AS11="M", CONCATENATE($D11, IF(AT11+AU11&gt;0,CONCATENATE(" (",AT11,IF(AU11&gt;0,CONCATENATE(IF(AT11&gt;0,",",""),AU11,"A"),""),")"),"")),"")</f>
        <v>Lorenzo Balzarini</v>
      </c>
      <c r="AV62" s="8" t="str">
        <f>IF(AS11="A", CONCATENATE($D11, IF(AT11+AU11&gt;0,CONCATENATE(" (",AT11,IF(AU11&gt;0,CONCATENATE(IF(AT11&gt;0,",",""),AU11,"A"),""),")"),"")),"")</f>
        <v/>
      </c>
      <c r="AW62" s="8" t="str">
        <f>IF(AW11="G", CONCATENATE($D11, IF(AX11+AY11&gt;0,CONCATENATE(" (",AX11,IF(AY11&gt;0,CONCATENATE(IF(AX11&gt;0,",",""),AY11,"A"),""),")"),"")),"")</f>
        <v/>
      </c>
      <c r="AX62" s="8" t="str">
        <f>IF(AW11="D", CONCATENATE($D11, IF(AX11+AY11&gt;0,CONCATENATE(" (",AX11,IF(AY11&gt;0,CONCATENATE(IF(AX11&gt;0,",",""),AY11,"A"),""),")"),"")),"")</f>
        <v/>
      </c>
      <c r="AY62" s="8" t="str">
        <f>IF(AW11="M", CONCATENATE($D11, IF(AX11+AY11&gt;0,CONCATENATE(" (",AX11,IF(AY11&gt;0,CONCATENATE(IF(AX11&gt;0,",",""),AY11,"A"),""),")"),"")),"")</f>
        <v>Lorenzo Balzarini (2)</v>
      </c>
      <c r="AZ62" s="8" t="str">
        <f>IF(AW11="A", CONCATENATE($D11, IF(AX11+AY11&gt;0,CONCATENATE(" (",AX11,IF(AY11&gt;0,CONCATENATE(IF(AX11&gt;0,",",""),AY11,"A"),""),")"),"")),"")</f>
        <v/>
      </c>
      <c r="BA62" s="8" t="str">
        <f>IF(BA11="G", CONCATENATE($D11, IF(BB11+BC11&gt;0,CONCATENATE(" (",BB11,IF(BC11&gt;0,CONCATENATE(IF(BB11&gt;0,",",""),BC11,"A"),""),")"),"")),"")</f>
        <v/>
      </c>
      <c r="BB62" s="8" t="str">
        <f>IF(BA11="D", CONCATENATE($D11, IF(BB11+BC11&gt;0,CONCATENATE(" (",BB11,IF(BC11&gt;0,CONCATENATE(IF(BB11&gt;0,",",""),BC11,"A"),""),")"),"")),"")</f>
        <v/>
      </c>
      <c r="BC62" s="8" t="str">
        <f>IF(BA11="M", CONCATENATE($D11, IF(BB11+BC11&gt;0,CONCATENATE(" (",BB11,IF(BC11&gt;0,CONCATENATE(IF(BB11&gt;0,",",""),BC11,"A"),""),")"),"")),"")</f>
        <v/>
      </c>
      <c r="BD62" s="8" t="str">
        <f>IF(BA11="A", CONCATENATE($D11, IF(BB11+BC11&gt;0,CONCATENATE(" (",BB11,IF(BC11&gt;0,CONCATENATE(IF(BB11&gt;0,",",""),BC11,"A"),""),")"),"")),"")</f>
        <v/>
      </c>
      <c r="BE62" s="8" t="str">
        <f>IF(BE11="G", CONCATENATE($D11, IF(BF11+BG11&gt;0,CONCATENATE(" (",BF11,IF(BG11&gt;0,CONCATENATE(IF(BF11&gt;0,",",""),BG11,"A"),""),")"),"")),"")</f>
        <v/>
      </c>
      <c r="BF62" s="8" t="str">
        <f>IF(BE11="D", CONCATENATE($D11, IF(BF11+BG11&gt;0,CONCATENATE(" (",BF11,IF(BG11&gt;0,CONCATENATE(IF(BF11&gt;0,",",""),BG11,"A"),""),")"),"")),"")</f>
        <v/>
      </c>
      <c r="BG62" s="8" t="str">
        <f>IF(BE11="M", CONCATENATE($D11, IF(BF11+BG11&gt;0,CONCATENATE(" (",BF11,IF(BG11&gt;0,CONCATENATE(IF(BF11&gt;0,",",""),BG11,"A"),""),")"),"")),"")</f>
        <v>Lorenzo Balzarini (1)</v>
      </c>
      <c r="BH62" s="8" t="str">
        <f>IF(BE11="A", CONCATENATE($D11, IF(BF11+BG11&gt;0,CONCATENATE(" (",BF11,IF(BG11&gt;0,CONCATENATE(IF(BF11&gt;0,",",""),BG11,"A"),""),")"),"")),"")</f>
        <v/>
      </c>
      <c r="BI62" s="8" t="str">
        <f>IF(BI11="G", CONCATENATE($D11, IF(BJ11+BK11&gt;0,CONCATENATE(" (",BJ11,IF(BK11&gt;0,CONCATENATE(IF(BJ11&gt;0,",",""),BK11,"A"),""),")"),"")),"")</f>
        <v/>
      </c>
      <c r="BJ62" s="8" t="str">
        <f>IF(BI11="D", CONCATENATE($D11, IF(BJ11+BK11&gt;0,CONCATENATE(" (",BJ11,IF(BK11&gt;0,CONCATENATE(IF(BJ11&gt;0,",",""),BK11,"A"),""),")"),"")),"")</f>
        <v/>
      </c>
      <c r="BK62" s="8" t="str">
        <f>IF(BI11="M", CONCATENATE($D11, IF(BJ11+BK11&gt;0,CONCATENATE(" (",BJ11,IF(BK11&gt;0,CONCATENATE(IF(BJ11&gt;0,",",""),BK11,"A"),""),")"),"")),"")</f>
        <v>Lorenzo Balzarini (1)</v>
      </c>
      <c r="BL62" s="8" t="str">
        <f>IF(BI11="A", CONCATENATE($D11, IF(BJ11+BK11&gt;0,CONCATENATE(" (",BJ11,IF(BK11&gt;0,CONCATENATE(IF(BJ11&gt;0,",",""),BK11,"A"),""),")"),"")),"")</f>
        <v/>
      </c>
      <c r="BM62" s="8" t="str">
        <f t="shared" si="94"/>
        <v/>
      </c>
      <c r="BN62" s="8" t="str">
        <f t="shared" si="95"/>
        <v/>
      </c>
      <c r="BO62" s="8" t="str">
        <f t="shared" si="96"/>
        <v/>
      </c>
      <c r="BP62" s="8" t="str">
        <f t="shared" si="97"/>
        <v/>
      </c>
      <c r="BQ62" s="8" t="str">
        <f t="shared" si="98"/>
        <v/>
      </c>
      <c r="BR62" s="8" t="str">
        <f t="shared" si="99"/>
        <v/>
      </c>
      <c r="BS62" s="8" t="str">
        <f t="shared" si="100"/>
        <v>Lorenzo Balzarini</v>
      </c>
      <c r="BT62" s="8" t="str">
        <f t="shared" si="101"/>
        <v/>
      </c>
      <c r="BU62" s="8" t="str">
        <f t="shared" si="102"/>
        <v/>
      </c>
      <c r="BV62" s="8" t="str">
        <f t="shared" si="103"/>
        <v/>
      </c>
      <c r="BW62" s="8" t="str">
        <f t="shared" si="104"/>
        <v/>
      </c>
      <c r="BX62" s="8" t="str">
        <f t="shared" si="105"/>
        <v/>
      </c>
      <c r="BY62" s="8" t="str">
        <f t="shared" si="106"/>
        <v/>
      </c>
      <c r="BZ62" s="8" t="str">
        <f t="shared" si="107"/>
        <v/>
      </c>
      <c r="CA62" s="8" t="str">
        <f t="shared" si="108"/>
        <v/>
      </c>
      <c r="CB62" s="8" t="str">
        <f t="shared" si="109"/>
        <v/>
      </c>
      <c r="CC62" s="8" t="str">
        <f t="shared" si="110"/>
        <v/>
      </c>
      <c r="CD62" s="8" t="str">
        <f t="shared" si="111"/>
        <v/>
      </c>
      <c r="CE62" s="8" t="str">
        <f t="shared" si="112"/>
        <v/>
      </c>
      <c r="CF62" s="8" t="str">
        <f t="shared" si="113"/>
        <v/>
      </c>
      <c r="CG62" s="8" t="str">
        <f t="shared" si="114"/>
        <v/>
      </c>
      <c r="CH62" s="8" t="str">
        <f t="shared" si="115"/>
        <v/>
      </c>
      <c r="CI62" s="8" t="str">
        <f t="shared" si="116"/>
        <v>Lorenzo Balzarini</v>
      </c>
      <c r="CJ62" s="8" t="str">
        <f t="shared" si="117"/>
        <v/>
      </c>
    </row>
    <row r="63" spans="1:88">
      <c r="F63" s="36"/>
      <c r="G63" s="8">
        <f t="shared" ref="G63:G100" si="118">G62+1</f>
        <v>3</v>
      </c>
      <c r="I63" s="8" t="str">
        <f t="shared" ref="I63:I100" si="119">IF(I12="G", CONCATENATE($D12, IF(J12+K12&gt;0,CONCATENATE(" (",J12,IF(K12&gt;0,CONCATENATE(IF(J12&gt;0,",",""),K12,"A"),""),")"),"")),"")</f>
        <v/>
      </c>
      <c r="J63" s="8" t="str">
        <f t="shared" ref="J63:J100" si="120">IF(I12="D", CONCATENATE($D12, IF(J12+K12&gt;0,CONCATENATE(" (",J12,IF(K12&gt;0,CONCATENATE(IF(J12&gt;0,",",""),K12,"A"),""),")"),"")),"")</f>
        <v/>
      </c>
      <c r="K63" s="8" t="str">
        <f t="shared" ref="K63:K100" si="121">IF(I12="M", CONCATENATE($D12, IF(J12+K12&gt;0,CONCATENATE(" (",J12,IF(K12&gt;0,CONCATENATE(IF(J12&gt;0,",",""),K12,"A"),""),")"),"")),"")</f>
        <v/>
      </c>
      <c r="L63" s="8" t="str">
        <f t="shared" ref="L63:L100" si="122">IF(I12="A", CONCATENATE($D12, IF(J12+K12&gt;0,CONCATENATE(" (",J12,IF(K12&gt;0,CONCATENATE(IF(J12&gt;0,",",""),K12,"A"),""),")"),"")),"")</f>
        <v>Justin Baranowski (2)</v>
      </c>
      <c r="M63" s="8" t="str">
        <f t="shared" ref="M63:M100" si="123">IF(M12="G", CONCATENATE($D12, IF(N12+O12&gt;0,CONCATENATE(" (",N12,IF(O12&gt;0,CONCATENATE(IF(N12&gt;0,",",""),O12,"A"),""),")"),"")),"")</f>
        <v/>
      </c>
      <c r="N63" s="8" t="str">
        <f t="shared" ref="N63:N100" si="124">IF(M12="D", CONCATENATE($D12, IF(N12+O12&gt;0,CONCATENATE(" (",N12,IF(O12&gt;0,CONCATENATE(IF(N12&gt;0,",",""),O12,"A"),""),")"),"")),"")</f>
        <v/>
      </c>
      <c r="O63" s="8" t="str">
        <f t="shared" ref="O63:O100" si="125">IF(M12="M", CONCATENATE($D12, IF(N12+O12&gt;0,CONCATENATE(" (",N12,IF(O12&gt;0,CONCATENATE(IF(N12&gt;0,",",""),O12,"A"),""),")"),"")),"")</f>
        <v/>
      </c>
      <c r="P63" s="8" t="str">
        <f t="shared" ref="P63:P100" si="126">IF(M12="A", CONCATENATE($D12, IF(N12+O12&gt;0,CONCATENATE(" (",N12,IF(O12&gt;0,CONCATENATE(IF(N12&gt;0,",",""),O12,"A"),""),")"),"")),"")</f>
        <v>Justin Baranowski (2)</v>
      </c>
      <c r="Q63" s="30" t="str">
        <f t="shared" ref="Q63:Q100" si="127">IF(Q12="G", CONCATENATE($D12, IF(R12+S12&gt;0,CONCATENATE(" (",R12,IF(S12&gt;0,CONCATENATE(IF(R12&gt;0,",",""),S12,"A"),""),")"),"")),"")</f>
        <v/>
      </c>
      <c r="R63" s="8" t="str">
        <f t="shared" ref="R63:R100" si="128">IF(Q12="D", CONCATENATE($D12, IF(R12+S12&gt;0,CONCATENATE(" (",R12,IF(S12&gt;0,CONCATENATE(IF(R12&gt;0,",",""),S12,"A"),""),")"),"")),"")</f>
        <v/>
      </c>
      <c r="S63" s="8" t="str">
        <f t="shared" ref="S63:S100" si="129">IF(Q12="M", CONCATENATE($D12, IF(R12+S12&gt;0,CONCATENATE(" (",R12,IF(S12&gt;0,CONCATENATE(IF(R12&gt;0,",",""),S12,"A"),""),")"),"")),"")</f>
        <v/>
      </c>
      <c r="T63" s="8" t="str">
        <f t="shared" ref="T63:T100" si="130">IF(Q12="A", CONCATENATE($D12, IF(R12+S12&gt;0,CONCATENATE(" (",R12,IF(S12&gt;0,CONCATENATE(IF(R12&gt;0,",",""),S12,"A"),""),")"),"")),"")</f>
        <v>Justin Baranowski</v>
      </c>
      <c r="U63" s="8" t="str">
        <f t="shared" ref="U63:U100" si="131">IF(U12="G", CONCATENATE($D12, IF(V12+W12&gt;0,CONCATENATE(" (",V12,IF(W12&gt;0,CONCATENATE(IF(V12&gt;0,",",""),W12,"A"),""),")"),"")),"")</f>
        <v/>
      </c>
      <c r="V63" s="8" t="str">
        <f t="shared" ref="V63:V100" si="132">IF(U12="D", CONCATENATE($D12, IF(V12+W12&gt;0,CONCATENATE(" (",V12,IF(W12&gt;0,CONCATENATE(IF(V12&gt;0,",",""),W12,"A"),""),")"),"")),"")</f>
        <v/>
      </c>
      <c r="W63" s="8" t="str">
        <f t="shared" ref="W63:W100" si="133">IF(U12="M", CONCATENATE($D12, IF(V12+W12&gt;0,CONCATENATE(" (",V12,IF(W12&gt;0,CONCATENATE(IF(V12&gt;0,",",""),W12,"A"),""),")"),"")),"")</f>
        <v/>
      </c>
      <c r="X63" s="8" t="str">
        <f t="shared" ref="X63:X100" si="134">IF(U12="A", CONCATENATE($D12, IF(V12+W12&gt;0,CONCATENATE(" (",V12,IF(W12&gt;0,CONCATENATE(IF(V12&gt;0,",",""),W12,"A"),""),")"),"")),"")</f>
        <v>Justin Baranowski (1)</v>
      </c>
      <c r="Y63" s="8" t="str">
        <f t="shared" ref="Y63:Y100" si="135">IF(Y12="G", CONCATENATE($D12, IF(Z12+AA12&gt;0,CONCATENATE(" (",Z12,IF(AA12&gt;0,CONCATENATE(IF(Z12&gt;0,",",""),AA12,"A"),""),")"),"")),"")</f>
        <v/>
      </c>
      <c r="Z63" s="8" t="str">
        <f t="shared" ref="Z63:Z100" si="136">IF(Y12="D", CONCATENATE($D12, IF(Z12+AA12&gt;0,CONCATENATE(" (",Z12,IF(AA12&gt;0,CONCATENATE(IF(Z12&gt;0,",",""),AA12,"A"),""),")"),"")),"")</f>
        <v/>
      </c>
      <c r="AA63" s="8" t="str">
        <f t="shared" ref="AA63:AA100" si="137">IF(Y12="M", CONCATENATE($D12, IF(Z12+AA12&gt;0,CONCATENATE(" (",Z12,IF(AA12&gt;0,CONCATENATE(IF(Z12&gt;0,",",""),AA12,"A"),""),")"),"")),"")</f>
        <v/>
      </c>
      <c r="AB63" s="8" t="str">
        <f t="shared" ref="AB63:AB100" si="138">IF(Y12="A", CONCATENATE($D12, IF(Z12+AA12&gt;0,CONCATENATE(" (",Z12,IF(AA12&gt;0,CONCATENATE(IF(Z12&gt;0,",",""),AA12,"A"),""),")"),"")),"")</f>
        <v>Justin Baranowski (1)</v>
      </c>
      <c r="AC63" s="8" t="str">
        <f t="shared" ref="AC63:AC100" si="139">IF(AC12="G", CONCATENATE($D12, IF(AD12+AE12&gt;0,CONCATENATE(" (",AD12,IF(AE12&gt;0,CONCATENATE(IF(AD12&gt;0,",",""),AE12,"A"),""),")"),"")),"")</f>
        <v/>
      </c>
      <c r="AD63" s="8" t="str">
        <f t="shared" ref="AD63:AD100" si="140">IF(AC12="D", CONCATENATE($D12, IF(AD12+AE12&gt;0,CONCATENATE(" (",AD12,IF(AE12&gt;0,CONCATENATE(IF(AD12&gt;0,",",""),AE12,"A"),""),")"),"")),"")</f>
        <v/>
      </c>
      <c r="AE63" s="8" t="str">
        <f t="shared" ref="AE63:AE100" si="141">IF(AC12="M", CONCATENATE($D12, IF(AD12+AE12&gt;0,CONCATENATE(" (",AD12,IF(AE12&gt;0,CONCATENATE(IF(AD12&gt;0,",",""),AE12,"A"),""),")"),"")),"")</f>
        <v/>
      </c>
      <c r="AF63" s="8" t="str">
        <f t="shared" ref="AF63:AF100" si="142">IF(AC12="A", CONCATENATE($D12, IF(AD12+AE12&gt;0,CONCATENATE(" (",AD12,IF(AE12&gt;0,CONCATENATE(IF(AD12&gt;0,",",""),AE12,"A"),""),")"),"")),"")</f>
        <v>Justin Baranowski (1)</v>
      </c>
      <c r="AG63" s="8" t="str">
        <f t="shared" ref="AG63:AG100" si="143">IF(AG12="G", CONCATENATE($D12, IF(AH12+AI12&gt;0,CONCATENATE(" (",AH12,IF(AI12&gt;0,CONCATENATE(IF(AH12&gt;0,",",""),AI12,"A"),""),")"),"")),"")</f>
        <v/>
      </c>
      <c r="AH63" s="8" t="str">
        <f t="shared" ref="AH63:AH100" si="144">IF(AG12="D", CONCATENATE($D12, IF(AH12+AI12&gt;0,CONCATENATE(" (",AH12,IF(AI12&gt;0,CONCATENATE(IF(AH12&gt;0,",",""),AI12,"A"),""),")"),"")),"")</f>
        <v/>
      </c>
      <c r="AI63" s="8" t="str">
        <f t="shared" ref="AI63:AI100" si="145">IF(AG12="M", CONCATENATE($D12, IF(AH12+AI12&gt;0,CONCATENATE(" (",AH12,IF(AI12&gt;0,CONCATENATE(IF(AH12&gt;0,",",""),AI12,"A"),""),")"),"")),"")</f>
        <v/>
      </c>
      <c r="AJ63" s="8" t="str">
        <f t="shared" ref="AJ63:AJ100" si="146">IF(AG12="A", CONCATENATE($D12, IF(AH12+AI12&gt;0,CONCATENATE(" (",AH12,IF(AI12&gt;0,CONCATENATE(IF(AH12&gt;0,",",""),AI12,"A"),""),")"),"")),"")</f>
        <v/>
      </c>
      <c r="AK63" s="8" t="str">
        <f t="shared" ref="AK63:AK100" si="147">IF(AK12="G", CONCATENATE($D12, IF(AL12+AM12&gt;0,CONCATENATE(" (",AL12,IF(AM12&gt;0,CONCATENATE(IF(AL12&gt;0,",",""),AM12,"A"),""),")"),"")),"")</f>
        <v/>
      </c>
      <c r="AL63" s="8" t="str">
        <f t="shared" ref="AL63:AL100" si="148">IF(AK12="D", CONCATENATE($D12, IF(AL12+AM12&gt;0,CONCATENATE(" (",AL12,IF(AM12&gt;0,CONCATENATE(IF(AL12&gt;0,",",""),AM12,"A"),""),")"),"")),"")</f>
        <v/>
      </c>
      <c r="AM63" s="8" t="str">
        <f t="shared" ref="AM63:AM100" si="149">IF(AK12="M", CONCATENATE($D12, IF(AL12+AM12&gt;0,CONCATENATE(" (",AL12,IF(AM12&gt;0,CONCATENATE(IF(AL12&gt;0,",",""),AM12,"A"),""),")"),"")),"")</f>
        <v/>
      </c>
      <c r="AN63" s="8" t="str">
        <f t="shared" ref="AN63:AN100" si="150">IF(AK12="A", CONCATENATE($D12, IF(AL12+AM12&gt;0,CONCATENATE(" (",AL12,IF(AM12&gt;0,CONCATENATE(IF(AL12&gt;0,",",""),AM12,"A"),""),")"),"")),"")</f>
        <v>Justin Baranowski (2)</v>
      </c>
      <c r="AO63" s="8" t="str">
        <f t="shared" ref="AO63:AO100" si="151">IF(AO12="G", CONCATENATE($D12, IF(AP12+AQ12&gt;0,CONCATENATE(" (",AP12,IF(AQ12&gt;0,CONCATENATE(IF(AP12&gt;0,",",""),AQ12,"A"),""),")"),"")),"")</f>
        <v/>
      </c>
      <c r="AP63" s="8" t="str">
        <f t="shared" ref="AP63:AP100" si="152">IF(AO12="D", CONCATENATE($D12, IF(AP12+AQ12&gt;0,CONCATENATE(" (",AP12,IF(AQ12&gt;0,CONCATENATE(IF(AP12&gt;0,",",""),AQ12,"A"),""),")"),"")),"")</f>
        <v/>
      </c>
      <c r="AQ63" s="8" t="str">
        <f t="shared" ref="AQ63:AQ100" si="153">IF(AO12="M", CONCATENATE($D12, IF(AP12+AQ12&gt;0,CONCATENATE(" (",AP12,IF(AQ12&gt;0,CONCATENATE(IF(AP12&gt;0,",",""),AQ12,"A"),""),")"),"")),"")</f>
        <v/>
      </c>
      <c r="AR63" s="8" t="str">
        <f t="shared" ref="AR63:AR100" si="154">IF(AO12="A", CONCATENATE($D12, IF(AP12+AQ12&gt;0,CONCATENATE(" (",AP12,IF(AQ12&gt;0,CONCATENATE(IF(AP12&gt;0,",",""),AQ12,"A"),""),")"),"")),"")</f>
        <v>Justin Baranowski (1)</v>
      </c>
      <c r="AS63" s="8" t="str">
        <f t="shared" ref="AS63:AS100" si="155">IF(AS12="G", CONCATENATE($D12, IF(AT12+AU12&gt;0,CONCATENATE(" (",AT12,IF(AU12&gt;0,CONCATENATE(IF(AT12&gt;0,",",""),AU12,"A"),""),")"),"")),"")</f>
        <v/>
      </c>
      <c r="AT63" s="8" t="str">
        <f t="shared" ref="AT63:AT100" si="156">IF(AS12="D", CONCATENATE($D12, IF(AT12+AU12&gt;0,CONCATENATE(" (",AT12,IF(AU12&gt;0,CONCATENATE(IF(AT12&gt;0,",",""),AU12,"A"),""),")"),"")),"")</f>
        <v/>
      </c>
      <c r="AU63" s="8" t="str">
        <f t="shared" ref="AU63:AU100" si="157">IF(AS12="M", CONCATENATE($D12, IF(AT12+AU12&gt;0,CONCATENATE(" (",AT12,IF(AU12&gt;0,CONCATENATE(IF(AT12&gt;0,",",""),AU12,"A"),""),")"),"")),"")</f>
        <v/>
      </c>
      <c r="AV63" s="8" t="str">
        <f t="shared" ref="AV63:AV100" si="158">IF(AS12="A", CONCATENATE($D12, IF(AT12+AU12&gt;0,CONCATENATE(" (",AT12,IF(AU12&gt;0,CONCATENATE(IF(AT12&gt;0,",",""),AU12,"A"),""),")"),"")),"")</f>
        <v>Justin Baranowski</v>
      </c>
      <c r="AW63" s="8" t="str">
        <f t="shared" ref="AW63:AW100" si="159">IF(AW12="G", CONCATENATE($D12, IF(AX12+AY12&gt;0,CONCATENATE(" (",AX12,IF(AY12&gt;0,CONCATENATE(IF(AX12&gt;0,",",""),AY12,"A"),""),")"),"")),"")</f>
        <v/>
      </c>
      <c r="AX63" s="8" t="str">
        <f t="shared" ref="AX63:AX100" si="160">IF(AW12="D", CONCATENATE($D12, IF(AX12+AY12&gt;0,CONCATENATE(" (",AX12,IF(AY12&gt;0,CONCATENATE(IF(AX12&gt;0,",",""),AY12,"A"),""),")"),"")),"")</f>
        <v/>
      </c>
      <c r="AY63" s="8" t="str">
        <f t="shared" ref="AY63:AY100" si="161">IF(AW12="M", CONCATENATE($D12, IF(AX12+AY12&gt;0,CONCATENATE(" (",AX12,IF(AY12&gt;0,CONCATENATE(IF(AX12&gt;0,",",""),AY12,"A"),""),")"),"")),"")</f>
        <v/>
      </c>
      <c r="AZ63" s="8" t="str">
        <f t="shared" ref="AZ63:AZ100" si="162">IF(AW12="A", CONCATENATE($D12, IF(AX12+AY12&gt;0,CONCATENATE(" (",AX12,IF(AY12&gt;0,CONCATENATE(IF(AX12&gt;0,",",""),AY12,"A"),""),")"),"")),"")</f>
        <v/>
      </c>
      <c r="BA63" s="8" t="str">
        <f t="shared" ref="BA63:BA100" si="163">IF(BA12="G", CONCATENATE($D12, IF(BB12+BC12&gt;0,CONCATENATE(" (",BB12,IF(BC12&gt;0,CONCATENATE(IF(BB12&gt;0,",",""),BC12,"A"),""),")"),"")),"")</f>
        <v/>
      </c>
      <c r="BB63" s="8" t="str">
        <f t="shared" ref="BB63:BB100" si="164">IF(BA12="D", CONCATENATE($D12, IF(BB12+BC12&gt;0,CONCATENATE(" (",BB12,IF(BC12&gt;0,CONCATENATE(IF(BB12&gt;0,",",""),BC12,"A"),""),")"),"")),"")</f>
        <v/>
      </c>
      <c r="BC63" s="8" t="str">
        <f t="shared" ref="BC63:BC100" si="165">IF(BA12="M", CONCATENATE($D12, IF(BB12+BC12&gt;0,CONCATENATE(" (",BB12,IF(BC12&gt;0,CONCATENATE(IF(BB12&gt;0,",",""),BC12,"A"),""),")"),"")),"")</f>
        <v/>
      </c>
      <c r="BD63" s="8" t="str">
        <f t="shared" ref="BD63:BD100" si="166">IF(BA12="A", CONCATENATE($D12, IF(BB12+BC12&gt;0,CONCATENATE(" (",BB12,IF(BC12&gt;0,CONCATENATE(IF(BB12&gt;0,",",""),BC12,"A"),""),")"),"")),"")</f>
        <v/>
      </c>
      <c r="BE63" s="8" t="str">
        <f t="shared" ref="BE63:BE100" si="167">IF(BE12="G", CONCATENATE($D12, IF(BF12+BG12&gt;0,CONCATENATE(" (",BF12,IF(BG12&gt;0,CONCATENATE(IF(BF12&gt;0,",",""),BG12,"A"),""),")"),"")),"")</f>
        <v/>
      </c>
      <c r="BF63" s="8" t="str">
        <f t="shared" ref="BF63:BF100" si="168">IF(BE12="D", CONCATENATE($D12, IF(BF12+BG12&gt;0,CONCATENATE(" (",BF12,IF(BG12&gt;0,CONCATENATE(IF(BF12&gt;0,",",""),BG12,"A"),""),")"),"")),"")</f>
        <v/>
      </c>
      <c r="BG63" s="8" t="str">
        <f t="shared" ref="BG63:BG100" si="169">IF(BE12="M", CONCATENATE($D12, IF(BF12+BG12&gt;0,CONCATENATE(" (",BF12,IF(BG12&gt;0,CONCATENATE(IF(BF12&gt;0,",",""),BG12,"A"),""),")"),"")),"")</f>
        <v/>
      </c>
      <c r="BH63" s="8" t="str">
        <f t="shared" ref="BH63:BH100" si="170">IF(BE12="A", CONCATENATE($D12, IF(BF12+BG12&gt;0,CONCATENATE(" (",BF12,IF(BG12&gt;0,CONCATENATE(IF(BF12&gt;0,",",""),BG12,"A"),""),")"),"")),"")</f>
        <v>Justin Baranowski (2)</v>
      </c>
      <c r="BI63" s="8" t="str">
        <f t="shared" ref="BI63:BI100" si="171">IF(BI12="G", CONCATENATE($D12, IF(BJ12+BK12&gt;0,CONCATENATE(" (",BJ12,IF(BK12&gt;0,CONCATENATE(IF(BJ12&gt;0,",",""),BK12,"A"),""),")"),"")),"")</f>
        <v/>
      </c>
      <c r="BJ63" s="8" t="str">
        <f t="shared" ref="BJ63:BJ100" si="172">IF(BI12="D", CONCATENATE($D12, IF(BJ12+BK12&gt;0,CONCATENATE(" (",BJ12,IF(BK12&gt;0,CONCATENATE(IF(BJ12&gt;0,",",""),BK12,"A"),""),")"),"")),"")</f>
        <v/>
      </c>
      <c r="BK63" s="8" t="str">
        <f t="shared" ref="BK63:BK100" si="173">IF(BI12="M", CONCATENATE($D12, IF(BJ12+BK12&gt;0,CONCATENATE(" (",BJ12,IF(BK12&gt;0,CONCATENATE(IF(BJ12&gt;0,",",""),BK12,"A"),""),")"),"")),"")</f>
        <v/>
      </c>
      <c r="BL63" s="8" t="str">
        <f t="shared" ref="BL63:BL100" si="174">IF(BI12="A", CONCATENATE($D12, IF(BJ12+BK12&gt;0,CONCATENATE(" (",BJ12,IF(BK12&gt;0,CONCATENATE(IF(BJ12&gt;0,",",""),BK12,"A"),""),")"),"")),"")</f>
        <v>Justin Baranowski</v>
      </c>
      <c r="BM63" s="8" t="str">
        <f t="shared" si="94"/>
        <v/>
      </c>
      <c r="BN63" s="8" t="str">
        <f t="shared" si="95"/>
        <v/>
      </c>
      <c r="BO63" s="8" t="str">
        <f t="shared" si="96"/>
        <v/>
      </c>
      <c r="BP63" s="8" t="str">
        <f t="shared" si="97"/>
        <v/>
      </c>
      <c r="BQ63" s="8" t="str">
        <f t="shared" si="98"/>
        <v/>
      </c>
      <c r="BR63" s="8" t="str">
        <f t="shared" si="99"/>
        <v/>
      </c>
      <c r="BS63" s="8" t="str">
        <f t="shared" si="100"/>
        <v/>
      </c>
      <c r="BT63" s="8" t="str">
        <f t="shared" si="101"/>
        <v>Justin Baranowski</v>
      </c>
      <c r="BU63" s="8" t="str">
        <f t="shared" si="102"/>
        <v/>
      </c>
      <c r="BV63" s="8" t="str">
        <f t="shared" si="103"/>
        <v/>
      </c>
      <c r="BW63" s="8" t="str">
        <f t="shared" si="104"/>
        <v/>
      </c>
      <c r="BX63" s="8" t="str">
        <f t="shared" si="105"/>
        <v/>
      </c>
      <c r="BY63" s="8" t="str">
        <f t="shared" si="106"/>
        <v/>
      </c>
      <c r="BZ63" s="8" t="str">
        <f t="shared" si="107"/>
        <v/>
      </c>
      <c r="CA63" s="8" t="str">
        <f t="shared" si="108"/>
        <v/>
      </c>
      <c r="CB63" s="8" t="str">
        <f t="shared" si="109"/>
        <v/>
      </c>
      <c r="CC63" s="8" t="str">
        <f t="shared" si="110"/>
        <v/>
      </c>
      <c r="CD63" s="8" t="str">
        <f t="shared" si="111"/>
        <v/>
      </c>
      <c r="CE63" s="8" t="str">
        <f t="shared" si="112"/>
        <v/>
      </c>
      <c r="CF63" s="8" t="str">
        <f t="shared" si="113"/>
        <v>Justin Baranowski (2)</v>
      </c>
      <c r="CG63" s="8" t="str">
        <f t="shared" si="114"/>
        <v/>
      </c>
      <c r="CH63" s="8" t="str">
        <f t="shared" si="115"/>
        <v/>
      </c>
      <c r="CI63" s="8" t="str">
        <f t="shared" si="116"/>
        <v/>
      </c>
      <c r="CJ63" s="8" t="str">
        <f t="shared" si="117"/>
        <v/>
      </c>
    </row>
    <row r="64" spans="1:88">
      <c r="F64" s="36"/>
      <c r="G64" s="8">
        <f t="shared" si="118"/>
        <v>4</v>
      </c>
      <c r="I64" s="8" t="str">
        <f t="shared" si="119"/>
        <v/>
      </c>
      <c r="J64" s="8" t="str">
        <f t="shared" si="120"/>
        <v/>
      </c>
      <c r="K64" s="8" t="str">
        <f t="shared" si="121"/>
        <v>Sam Baranowski</v>
      </c>
      <c r="L64" s="8" t="str">
        <f t="shared" si="122"/>
        <v/>
      </c>
      <c r="M64" s="8" t="str">
        <f t="shared" si="123"/>
        <v/>
      </c>
      <c r="N64" s="8" t="str">
        <f t="shared" si="124"/>
        <v/>
      </c>
      <c r="O64" s="8" t="str">
        <f t="shared" si="125"/>
        <v>Sam Baranowski</v>
      </c>
      <c r="P64" s="8" t="str">
        <f t="shared" si="126"/>
        <v/>
      </c>
      <c r="Q64" s="30" t="str">
        <f t="shared" si="127"/>
        <v/>
      </c>
      <c r="R64" s="8" t="str">
        <f t="shared" si="128"/>
        <v/>
      </c>
      <c r="S64" s="8" t="str">
        <f t="shared" si="129"/>
        <v>Sam Baranowski</v>
      </c>
      <c r="T64" s="8" t="str">
        <f t="shared" si="130"/>
        <v/>
      </c>
      <c r="U64" s="8" t="str">
        <f t="shared" si="131"/>
        <v/>
      </c>
      <c r="V64" s="8" t="str">
        <f t="shared" si="132"/>
        <v/>
      </c>
      <c r="W64" s="8" t="str">
        <f t="shared" si="133"/>
        <v>Sam Baranowski</v>
      </c>
      <c r="X64" s="8" t="str">
        <f t="shared" si="134"/>
        <v/>
      </c>
      <c r="Y64" s="8" t="str">
        <f t="shared" si="135"/>
        <v/>
      </c>
      <c r="Z64" s="8" t="str">
        <f t="shared" si="136"/>
        <v/>
      </c>
      <c r="AA64" s="8" t="str">
        <f t="shared" si="137"/>
        <v/>
      </c>
      <c r="AB64" s="8" t="str">
        <f t="shared" si="138"/>
        <v/>
      </c>
      <c r="AC64" s="8" t="str">
        <f t="shared" si="139"/>
        <v/>
      </c>
      <c r="AD64" s="8" t="str">
        <f t="shared" si="140"/>
        <v/>
      </c>
      <c r="AE64" s="8" t="str">
        <f t="shared" si="141"/>
        <v>Sam Baranowski</v>
      </c>
      <c r="AF64" s="8" t="str">
        <f t="shared" si="142"/>
        <v/>
      </c>
      <c r="AG64" s="8" t="str">
        <f t="shared" si="143"/>
        <v/>
      </c>
      <c r="AH64" s="8" t="str">
        <f t="shared" si="144"/>
        <v/>
      </c>
      <c r="AI64" s="8" t="str">
        <f t="shared" si="145"/>
        <v/>
      </c>
      <c r="AJ64" s="8" t="str">
        <f t="shared" si="146"/>
        <v/>
      </c>
      <c r="AK64" s="8" t="str">
        <f t="shared" si="147"/>
        <v/>
      </c>
      <c r="AL64" s="8" t="str">
        <f t="shared" si="148"/>
        <v/>
      </c>
      <c r="AM64" s="8" t="str">
        <f t="shared" si="149"/>
        <v>Sam Baranowski</v>
      </c>
      <c r="AN64" s="8" t="str">
        <f t="shared" si="150"/>
        <v/>
      </c>
      <c r="AO64" s="8" t="str">
        <f t="shared" si="151"/>
        <v/>
      </c>
      <c r="AP64" s="8" t="str">
        <f t="shared" si="152"/>
        <v/>
      </c>
      <c r="AQ64" s="8" t="str">
        <f t="shared" si="153"/>
        <v>Sam Baranowski</v>
      </c>
      <c r="AR64" s="8" t="str">
        <f t="shared" si="154"/>
        <v/>
      </c>
      <c r="AS64" s="8" t="str">
        <f t="shared" si="155"/>
        <v/>
      </c>
      <c r="AT64" s="8" t="str">
        <f t="shared" si="156"/>
        <v/>
      </c>
      <c r="AU64" s="8" t="str">
        <f t="shared" si="157"/>
        <v/>
      </c>
      <c r="AV64" s="8" t="str">
        <f t="shared" si="158"/>
        <v/>
      </c>
      <c r="AW64" s="8" t="str">
        <f t="shared" si="159"/>
        <v/>
      </c>
      <c r="AX64" s="8" t="str">
        <f t="shared" si="160"/>
        <v/>
      </c>
      <c r="AY64" s="8" t="str">
        <f t="shared" si="161"/>
        <v/>
      </c>
      <c r="AZ64" s="8" t="str">
        <f t="shared" si="162"/>
        <v/>
      </c>
      <c r="BA64" s="8" t="str">
        <f t="shared" si="163"/>
        <v/>
      </c>
      <c r="BB64" s="8" t="str">
        <f t="shared" si="164"/>
        <v/>
      </c>
      <c r="BC64" s="8" t="str">
        <f t="shared" si="165"/>
        <v/>
      </c>
      <c r="BD64" s="8" t="str">
        <f t="shared" si="166"/>
        <v/>
      </c>
      <c r="BE64" s="8" t="str">
        <f t="shared" si="167"/>
        <v/>
      </c>
      <c r="BF64" s="8" t="str">
        <f t="shared" si="168"/>
        <v/>
      </c>
      <c r="BG64" s="8" t="str">
        <f t="shared" si="169"/>
        <v/>
      </c>
      <c r="BH64" s="8" t="str">
        <f t="shared" si="170"/>
        <v/>
      </c>
      <c r="BI64" s="8" t="str">
        <f t="shared" si="171"/>
        <v/>
      </c>
      <c r="BJ64" s="8" t="str">
        <f t="shared" si="172"/>
        <v/>
      </c>
      <c r="BK64" s="8" t="str">
        <f t="shared" si="173"/>
        <v/>
      </c>
      <c r="BL64" s="8" t="str">
        <f t="shared" si="174"/>
        <v/>
      </c>
      <c r="BM64" s="8" t="str">
        <f t="shared" si="94"/>
        <v/>
      </c>
      <c r="BN64" s="8" t="str">
        <f t="shared" si="95"/>
        <v/>
      </c>
      <c r="BO64" s="8" t="str">
        <f t="shared" si="96"/>
        <v/>
      </c>
      <c r="BP64" s="8" t="str">
        <f t="shared" si="97"/>
        <v/>
      </c>
      <c r="BQ64" s="8" t="str">
        <f t="shared" si="98"/>
        <v/>
      </c>
      <c r="BR64" s="8" t="str">
        <f t="shared" si="99"/>
        <v/>
      </c>
      <c r="BS64" s="8" t="str">
        <f t="shared" si="100"/>
        <v>Sam Baranowski</v>
      </c>
      <c r="BT64" s="8" t="str">
        <f t="shared" si="101"/>
        <v/>
      </c>
      <c r="BU64" s="8" t="str">
        <f t="shared" si="102"/>
        <v/>
      </c>
      <c r="BV64" s="8" t="str">
        <f t="shared" si="103"/>
        <v/>
      </c>
      <c r="BW64" s="8" t="str">
        <f t="shared" si="104"/>
        <v/>
      </c>
      <c r="BX64" s="8" t="str">
        <f t="shared" si="105"/>
        <v/>
      </c>
      <c r="BY64" s="8" t="str">
        <f t="shared" si="106"/>
        <v/>
      </c>
      <c r="BZ64" s="8" t="str">
        <f t="shared" si="107"/>
        <v/>
      </c>
      <c r="CA64" s="8" t="str">
        <f t="shared" si="108"/>
        <v/>
      </c>
      <c r="CB64" s="8" t="str">
        <f t="shared" si="109"/>
        <v/>
      </c>
      <c r="CC64" s="8" t="str">
        <f t="shared" si="110"/>
        <v/>
      </c>
      <c r="CD64" s="8" t="str">
        <f t="shared" si="111"/>
        <v/>
      </c>
      <c r="CE64" s="8" t="str">
        <f t="shared" si="112"/>
        <v>Sam Baranowski</v>
      </c>
      <c r="CF64" s="8" t="str">
        <f t="shared" si="113"/>
        <v/>
      </c>
      <c r="CG64" s="8" t="str">
        <f t="shared" si="114"/>
        <v/>
      </c>
      <c r="CH64" s="8" t="str">
        <f t="shared" si="115"/>
        <v/>
      </c>
      <c r="CI64" s="8" t="str">
        <f t="shared" si="116"/>
        <v>Sam Baranowski</v>
      </c>
      <c r="CJ64" s="8" t="str">
        <f t="shared" si="117"/>
        <v/>
      </c>
    </row>
    <row r="65" spans="6:88">
      <c r="F65" s="36"/>
      <c r="G65" s="8">
        <f t="shared" si="118"/>
        <v>5</v>
      </c>
      <c r="I65" s="8" t="str">
        <f t="shared" si="119"/>
        <v/>
      </c>
      <c r="J65" s="8" t="str">
        <f t="shared" si="120"/>
        <v/>
      </c>
      <c r="K65" s="8" t="str">
        <f t="shared" si="121"/>
        <v/>
      </c>
      <c r="L65" s="8" t="str">
        <f t="shared" si="122"/>
        <v/>
      </c>
      <c r="M65" s="8" t="str">
        <f t="shared" si="123"/>
        <v/>
      </c>
      <c r="N65" s="8" t="str">
        <f t="shared" si="124"/>
        <v/>
      </c>
      <c r="O65" s="8" t="str">
        <f t="shared" si="125"/>
        <v>Mike Barratt (2)</v>
      </c>
      <c r="P65" s="8" t="str">
        <f t="shared" si="126"/>
        <v/>
      </c>
      <c r="Q65" s="30" t="str">
        <f t="shared" si="127"/>
        <v/>
      </c>
      <c r="R65" s="8" t="str">
        <f t="shared" si="128"/>
        <v/>
      </c>
      <c r="S65" s="8" t="str">
        <f t="shared" si="129"/>
        <v/>
      </c>
      <c r="T65" s="8" t="str">
        <f t="shared" si="130"/>
        <v/>
      </c>
      <c r="U65" s="8" t="str">
        <f t="shared" si="131"/>
        <v/>
      </c>
      <c r="V65" s="8" t="str">
        <f t="shared" si="132"/>
        <v/>
      </c>
      <c r="W65" s="8" t="str">
        <f t="shared" si="133"/>
        <v/>
      </c>
      <c r="X65" s="8" t="str">
        <f t="shared" si="134"/>
        <v/>
      </c>
      <c r="Y65" s="8" t="str">
        <f t="shared" si="135"/>
        <v/>
      </c>
      <c r="Z65" s="8" t="str">
        <f t="shared" si="136"/>
        <v/>
      </c>
      <c r="AA65" s="8" t="str">
        <f t="shared" si="137"/>
        <v/>
      </c>
      <c r="AB65" s="8" t="str">
        <f t="shared" si="138"/>
        <v/>
      </c>
      <c r="AC65" s="8" t="str">
        <f t="shared" si="139"/>
        <v/>
      </c>
      <c r="AD65" s="8" t="str">
        <f t="shared" si="140"/>
        <v/>
      </c>
      <c r="AE65" s="8" t="str">
        <f t="shared" si="141"/>
        <v/>
      </c>
      <c r="AF65" s="8" t="str">
        <f t="shared" si="142"/>
        <v/>
      </c>
      <c r="AG65" s="8" t="str">
        <f t="shared" si="143"/>
        <v/>
      </c>
      <c r="AH65" s="8" t="str">
        <f t="shared" si="144"/>
        <v/>
      </c>
      <c r="AI65" s="8" t="str">
        <f t="shared" si="145"/>
        <v/>
      </c>
      <c r="AJ65" s="8" t="str">
        <f t="shared" si="146"/>
        <v/>
      </c>
      <c r="AK65" s="8" t="str">
        <f t="shared" si="147"/>
        <v/>
      </c>
      <c r="AL65" s="8" t="str">
        <f t="shared" si="148"/>
        <v/>
      </c>
      <c r="AM65" s="8" t="str">
        <f t="shared" si="149"/>
        <v/>
      </c>
      <c r="AN65" s="8" t="str">
        <f t="shared" si="150"/>
        <v/>
      </c>
      <c r="AO65" s="8" t="str">
        <f t="shared" si="151"/>
        <v/>
      </c>
      <c r="AP65" s="8" t="str">
        <f t="shared" si="152"/>
        <v/>
      </c>
      <c r="AQ65" s="8" t="str">
        <f t="shared" si="153"/>
        <v>Mike Barratt (1)</v>
      </c>
      <c r="AR65" s="8" t="str">
        <f t="shared" si="154"/>
        <v/>
      </c>
      <c r="AS65" s="8" t="str">
        <f t="shared" si="155"/>
        <v/>
      </c>
      <c r="AT65" s="8" t="str">
        <f t="shared" si="156"/>
        <v/>
      </c>
      <c r="AU65" s="8" t="str">
        <f t="shared" si="157"/>
        <v>Mike Barratt (1)</v>
      </c>
      <c r="AV65" s="8" t="str">
        <f t="shared" si="158"/>
        <v/>
      </c>
      <c r="AW65" s="8" t="str">
        <f t="shared" si="159"/>
        <v/>
      </c>
      <c r="AX65" s="8" t="str">
        <f t="shared" si="160"/>
        <v/>
      </c>
      <c r="AY65" s="8" t="str">
        <f t="shared" si="161"/>
        <v/>
      </c>
      <c r="AZ65" s="8" t="str">
        <f t="shared" si="162"/>
        <v/>
      </c>
      <c r="BA65" s="8" t="str">
        <f t="shared" si="163"/>
        <v/>
      </c>
      <c r="BB65" s="8" t="str">
        <f t="shared" si="164"/>
        <v/>
      </c>
      <c r="BC65" s="8" t="str">
        <f t="shared" si="165"/>
        <v/>
      </c>
      <c r="BD65" s="8" t="str">
        <f t="shared" si="166"/>
        <v/>
      </c>
      <c r="BE65" s="8" t="str">
        <f t="shared" si="167"/>
        <v/>
      </c>
      <c r="BF65" s="8" t="str">
        <f t="shared" si="168"/>
        <v/>
      </c>
      <c r="BG65" s="8" t="str">
        <f t="shared" si="169"/>
        <v>Mike Barratt (3)</v>
      </c>
      <c r="BH65" s="8" t="str">
        <f t="shared" si="170"/>
        <v/>
      </c>
      <c r="BI65" s="8" t="str">
        <f t="shared" si="171"/>
        <v/>
      </c>
      <c r="BJ65" s="8" t="str">
        <f t="shared" si="172"/>
        <v/>
      </c>
      <c r="BK65" s="8" t="str">
        <f t="shared" si="173"/>
        <v/>
      </c>
      <c r="BL65" s="8" t="str">
        <f t="shared" si="174"/>
        <v/>
      </c>
      <c r="BM65" s="8" t="str">
        <f t="shared" si="94"/>
        <v/>
      </c>
      <c r="BN65" s="8" t="str">
        <f t="shared" si="95"/>
        <v/>
      </c>
      <c r="BO65" s="8" t="str">
        <f t="shared" si="96"/>
        <v/>
      </c>
      <c r="BP65" s="8" t="str">
        <f t="shared" si="97"/>
        <v/>
      </c>
      <c r="BQ65" s="8" t="str">
        <f t="shared" si="98"/>
        <v/>
      </c>
      <c r="BR65" s="8" t="str">
        <f t="shared" si="99"/>
        <v/>
      </c>
      <c r="BS65" s="8" t="str">
        <f t="shared" si="100"/>
        <v/>
      </c>
      <c r="BT65" s="8" t="str">
        <f t="shared" si="101"/>
        <v/>
      </c>
      <c r="BU65" s="8" t="str">
        <f t="shared" si="102"/>
        <v/>
      </c>
      <c r="BV65" s="8" t="str">
        <f t="shared" si="103"/>
        <v/>
      </c>
      <c r="BW65" s="8" t="str">
        <f t="shared" si="104"/>
        <v/>
      </c>
      <c r="BX65" s="8" t="str">
        <f t="shared" si="105"/>
        <v/>
      </c>
      <c r="BY65" s="8" t="str">
        <f t="shared" si="106"/>
        <v/>
      </c>
      <c r="BZ65" s="8" t="str">
        <f t="shared" si="107"/>
        <v/>
      </c>
      <c r="CA65" s="8" t="str">
        <f t="shared" si="108"/>
        <v/>
      </c>
      <c r="CB65" s="8" t="str">
        <f t="shared" si="109"/>
        <v/>
      </c>
      <c r="CC65" s="8" t="str">
        <f t="shared" si="110"/>
        <v/>
      </c>
      <c r="CD65" s="8" t="str">
        <f t="shared" si="111"/>
        <v/>
      </c>
      <c r="CE65" s="8" t="str">
        <f t="shared" si="112"/>
        <v>Mike Barratt</v>
      </c>
      <c r="CF65" s="8" t="str">
        <f t="shared" si="113"/>
        <v/>
      </c>
      <c r="CG65" s="8" t="str">
        <f t="shared" si="114"/>
        <v/>
      </c>
      <c r="CH65" s="8" t="str">
        <f t="shared" si="115"/>
        <v/>
      </c>
      <c r="CI65" s="8" t="str">
        <f t="shared" si="116"/>
        <v>Mike Barratt (1)</v>
      </c>
      <c r="CJ65" s="8" t="str">
        <f t="shared" si="117"/>
        <v/>
      </c>
    </row>
    <row r="66" spans="6:88">
      <c r="F66" s="36"/>
      <c r="G66" s="8">
        <f t="shared" si="118"/>
        <v>6</v>
      </c>
      <c r="I66" s="8" t="str">
        <f t="shared" si="119"/>
        <v/>
      </c>
      <c r="J66" s="8" t="str">
        <f t="shared" si="120"/>
        <v/>
      </c>
      <c r="K66" s="8" t="str">
        <f t="shared" si="121"/>
        <v>Dave Berman (2)</v>
      </c>
      <c r="L66" s="8" t="str">
        <f t="shared" si="122"/>
        <v/>
      </c>
      <c r="M66" s="8" t="str">
        <f t="shared" si="123"/>
        <v/>
      </c>
      <c r="N66" s="8" t="str">
        <f t="shared" si="124"/>
        <v/>
      </c>
      <c r="O66" s="8" t="str">
        <f t="shared" si="125"/>
        <v>Dave Berman (1)</v>
      </c>
      <c r="P66" s="8" t="str">
        <f t="shared" si="126"/>
        <v/>
      </c>
      <c r="Q66" s="30" t="str">
        <f t="shared" si="127"/>
        <v/>
      </c>
      <c r="R66" s="8" t="str">
        <f t="shared" si="128"/>
        <v/>
      </c>
      <c r="S66" s="8" t="str">
        <f t="shared" si="129"/>
        <v/>
      </c>
      <c r="T66" s="8" t="str">
        <f t="shared" si="130"/>
        <v/>
      </c>
      <c r="U66" s="8" t="str">
        <f t="shared" si="131"/>
        <v/>
      </c>
      <c r="V66" s="8" t="str">
        <f t="shared" si="132"/>
        <v/>
      </c>
      <c r="W66" s="8" t="str">
        <f t="shared" si="133"/>
        <v/>
      </c>
      <c r="X66" s="8" t="str">
        <f t="shared" si="134"/>
        <v/>
      </c>
      <c r="Y66" s="8" t="str">
        <f t="shared" si="135"/>
        <v/>
      </c>
      <c r="Z66" s="8" t="str">
        <f t="shared" si="136"/>
        <v/>
      </c>
      <c r="AA66" s="8" t="str">
        <f t="shared" si="137"/>
        <v/>
      </c>
      <c r="AB66" s="8" t="str">
        <f t="shared" si="138"/>
        <v/>
      </c>
      <c r="AC66" s="8" t="str">
        <f t="shared" si="139"/>
        <v/>
      </c>
      <c r="AD66" s="8" t="str">
        <f t="shared" si="140"/>
        <v/>
      </c>
      <c r="AE66" s="8" t="str">
        <f t="shared" si="141"/>
        <v/>
      </c>
      <c r="AF66" s="8" t="str">
        <f t="shared" si="142"/>
        <v/>
      </c>
      <c r="AG66" s="8" t="str">
        <f t="shared" si="143"/>
        <v/>
      </c>
      <c r="AH66" s="8" t="str">
        <f t="shared" si="144"/>
        <v/>
      </c>
      <c r="AI66" s="8" t="str">
        <f t="shared" si="145"/>
        <v/>
      </c>
      <c r="AJ66" s="8" t="str">
        <f t="shared" si="146"/>
        <v/>
      </c>
      <c r="AK66" s="8" t="str">
        <f t="shared" si="147"/>
        <v/>
      </c>
      <c r="AL66" s="8" t="str">
        <f t="shared" si="148"/>
        <v/>
      </c>
      <c r="AM66" s="8" t="str">
        <f t="shared" si="149"/>
        <v/>
      </c>
      <c r="AN66" s="8" t="str">
        <f t="shared" si="150"/>
        <v/>
      </c>
      <c r="AO66" s="8" t="str">
        <f t="shared" si="151"/>
        <v/>
      </c>
      <c r="AP66" s="8" t="str">
        <f t="shared" si="152"/>
        <v/>
      </c>
      <c r="AQ66" s="8" t="str">
        <f t="shared" si="153"/>
        <v/>
      </c>
      <c r="AR66" s="8" t="str">
        <f t="shared" si="154"/>
        <v/>
      </c>
      <c r="AS66" s="8" t="str">
        <f t="shared" si="155"/>
        <v/>
      </c>
      <c r="AT66" s="8" t="str">
        <f t="shared" si="156"/>
        <v/>
      </c>
      <c r="AU66" s="8" t="str">
        <f t="shared" si="157"/>
        <v/>
      </c>
      <c r="AV66" s="8" t="str">
        <f t="shared" si="158"/>
        <v/>
      </c>
      <c r="AW66" s="8" t="str">
        <f t="shared" si="159"/>
        <v/>
      </c>
      <c r="AX66" s="8" t="str">
        <f t="shared" si="160"/>
        <v/>
      </c>
      <c r="AY66" s="8" t="str">
        <f t="shared" si="161"/>
        <v/>
      </c>
      <c r="AZ66" s="8" t="str">
        <f t="shared" si="162"/>
        <v/>
      </c>
      <c r="BA66" s="8" t="str">
        <f t="shared" si="163"/>
        <v/>
      </c>
      <c r="BB66" s="8" t="str">
        <f t="shared" si="164"/>
        <v/>
      </c>
      <c r="BC66" s="8" t="str">
        <f t="shared" si="165"/>
        <v/>
      </c>
      <c r="BD66" s="8" t="str">
        <f t="shared" si="166"/>
        <v/>
      </c>
      <c r="BE66" s="8" t="str">
        <f t="shared" si="167"/>
        <v/>
      </c>
      <c r="BF66" s="8" t="str">
        <f t="shared" si="168"/>
        <v/>
      </c>
      <c r="BG66" s="8" t="str">
        <f t="shared" si="169"/>
        <v/>
      </c>
      <c r="BH66" s="8" t="str">
        <f t="shared" si="170"/>
        <v/>
      </c>
      <c r="BI66" s="8" t="str">
        <f t="shared" si="171"/>
        <v/>
      </c>
      <c r="BJ66" s="8" t="str">
        <f t="shared" si="172"/>
        <v/>
      </c>
      <c r="BK66" s="8" t="str">
        <f t="shared" si="173"/>
        <v/>
      </c>
      <c r="BL66" s="8" t="str">
        <f t="shared" si="174"/>
        <v/>
      </c>
      <c r="BM66" s="8" t="str">
        <f t="shared" si="94"/>
        <v/>
      </c>
      <c r="BN66" s="8" t="str">
        <f t="shared" si="95"/>
        <v/>
      </c>
      <c r="BO66" s="8" t="str">
        <f t="shared" si="96"/>
        <v/>
      </c>
      <c r="BP66" s="8" t="str">
        <f t="shared" si="97"/>
        <v/>
      </c>
      <c r="BQ66" s="8" t="str">
        <f t="shared" si="98"/>
        <v/>
      </c>
      <c r="BR66" s="8" t="str">
        <f t="shared" si="99"/>
        <v/>
      </c>
      <c r="BS66" s="8" t="str">
        <f t="shared" si="100"/>
        <v/>
      </c>
      <c r="BT66" s="8" t="str">
        <f t="shared" si="101"/>
        <v/>
      </c>
      <c r="BU66" s="8" t="str">
        <f t="shared" si="102"/>
        <v/>
      </c>
      <c r="BV66" s="8" t="str">
        <f t="shared" si="103"/>
        <v/>
      </c>
      <c r="BW66" s="8" t="str">
        <f t="shared" si="104"/>
        <v/>
      </c>
      <c r="BX66" s="8" t="str">
        <f t="shared" si="105"/>
        <v/>
      </c>
      <c r="BY66" s="8" t="str">
        <f t="shared" si="106"/>
        <v/>
      </c>
      <c r="BZ66" s="8" t="str">
        <f t="shared" si="107"/>
        <v/>
      </c>
      <c r="CA66" s="8" t="str">
        <f t="shared" si="108"/>
        <v/>
      </c>
      <c r="CB66" s="8" t="str">
        <f t="shared" si="109"/>
        <v/>
      </c>
      <c r="CC66" s="8" t="str">
        <f t="shared" si="110"/>
        <v/>
      </c>
      <c r="CD66" s="8" t="str">
        <f t="shared" si="111"/>
        <v/>
      </c>
      <c r="CE66" s="8" t="str">
        <f t="shared" si="112"/>
        <v/>
      </c>
      <c r="CF66" s="8" t="str">
        <f t="shared" si="113"/>
        <v/>
      </c>
      <c r="CG66" s="8" t="str">
        <f t="shared" si="114"/>
        <v/>
      </c>
      <c r="CH66" s="8" t="str">
        <f t="shared" si="115"/>
        <v/>
      </c>
      <c r="CI66" s="8" t="str">
        <f t="shared" si="116"/>
        <v/>
      </c>
      <c r="CJ66" s="8" t="str">
        <f t="shared" si="117"/>
        <v>Dave Berman (1)</v>
      </c>
    </row>
    <row r="67" spans="6:88">
      <c r="F67" s="36"/>
      <c r="G67" s="8">
        <f t="shared" si="118"/>
        <v>7</v>
      </c>
      <c r="I67" s="8" t="str">
        <f t="shared" si="119"/>
        <v/>
      </c>
      <c r="J67" s="8" t="str">
        <f t="shared" si="120"/>
        <v/>
      </c>
      <c r="K67" s="8" t="str">
        <f t="shared" si="121"/>
        <v/>
      </c>
      <c r="L67" s="8" t="str">
        <f t="shared" si="122"/>
        <v/>
      </c>
      <c r="M67" s="8" t="str">
        <f t="shared" si="123"/>
        <v/>
      </c>
      <c r="N67" s="8" t="str">
        <f t="shared" si="124"/>
        <v/>
      </c>
      <c r="O67" s="8" t="str">
        <f t="shared" si="125"/>
        <v/>
      </c>
      <c r="P67" s="8" t="str">
        <f t="shared" si="126"/>
        <v/>
      </c>
      <c r="Q67" s="30" t="str">
        <f t="shared" si="127"/>
        <v/>
      </c>
      <c r="R67" s="8" t="str">
        <f t="shared" si="128"/>
        <v/>
      </c>
      <c r="S67" s="8" t="str">
        <f t="shared" si="129"/>
        <v/>
      </c>
      <c r="T67" s="8" t="str">
        <f t="shared" si="130"/>
        <v/>
      </c>
      <c r="U67" s="8" t="str">
        <f t="shared" si="131"/>
        <v/>
      </c>
      <c r="V67" s="8" t="str">
        <f t="shared" si="132"/>
        <v/>
      </c>
      <c r="W67" s="8" t="str">
        <f t="shared" si="133"/>
        <v/>
      </c>
      <c r="X67" s="8" t="str">
        <f t="shared" si="134"/>
        <v/>
      </c>
      <c r="Y67" s="8" t="str">
        <f t="shared" si="135"/>
        <v/>
      </c>
      <c r="Z67" s="8" t="str">
        <f t="shared" si="136"/>
        <v/>
      </c>
      <c r="AA67" s="8" t="str">
        <f t="shared" si="137"/>
        <v/>
      </c>
      <c r="AB67" s="8" t="str">
        <f t="shared" si="138"/>
        <v/>
      </c>
      <c r="AC67" s="8" t="str">
        <f t="shared" si="139"/>
        <v/>
      </c>
      <c r="AD67" s="8" t="str">
        <f t="shared" si="140"/>
        <v/>
      </c>
      <c r="AE67" s="8" t="str">
        <f t="shared" si="141"/>
        <v/>
      </c>
      <c r="AF67" s="8" t="str">
        <f t="shared" si="142"/>
        <v/>
      </c>
      <c r="AG67" s="8" t="str">
        <f t="shared" si="143"/>
        <v/>
      </c>
      <c r="AH67" s="8" t="str">
        <f t="shared" si="144"/>
        <v/>
      </c>
      <c r="AI67" s="8" t="str">
        <f t="shared" si="145"/>
        <v/>
      </c>
      <c r="AJ67" s="8" t="str">
        <f t="shared" si="146"/>
        <v/>
      </c>
      <c r="AK67" s="8" t="str">
        <f t="shared" si="147"/>
        <v/>
      </c>
      <c r="AL67" s="8" t="str">
        <f t="shared" si="148"/>
        <v/>
      </c>
      <c r="AM67" s="8" t="str">
        <f t="shared" si="149"/>
        <v/>
      </c>
      <c r="AN67" s="8" t="str">
        <f t="shared" si="150"/>
        <v/>
      </c>
      <c r="AO67" s="8" t="str">
        <f t="shared" si="151"/>
        <v/>
      </c>
      <c r="AP67" s="8" t="str">
        <f t="shared" si="152"/>
        <v/>
      </c>
      <c r="AQ67" s="8" t="str">
        <f t="shared" si="153"/>
        <v/>
      </c>
      <c r="AR67" s="8" t="str">
        <f t="shared" si="154"/>
        <v/>
      </c>
      <c r="AS67" s="8" t="str">
        <f t="shared" si="155"/>
        <v/>
      </c>
      <c r="AT67" s="8" t="str">
        <f t="shared" si="156"/>
        <v/>
      </c>
      <c r="AU67" s="8" t="str">
        <f t="shared" si="157"/>
        <v>Lewis Blackshaw</v>
      </c>
      <c r="AV67" s="8" t="str">
        <f t="shared" si="158"/>
        <v/>
      </c>
      <c r="AW67" s="8" t="str">
        <f t="shared" si="159"/>
        <v/>
      </c>
      <c r="AX67" s="8" t="str">
        <f t="shared" si="160"/>
        <v/>
      </c>
      <c r="AY67" s="8" t="str">
        <f t="shared" si="161"/>
        <v/>
      </c>
      <c r="AZ67" s="8" t="str">
        <f t="shared" si="162"/>
        <v/>
      </c>
      <c r="BA67" s="8" t="str">
        <f t="shared" si="163"/>
        <v/>
      </c>
      <c r="BB67" s="8" t="str">
        <f t="shared" si="164"/>
        <v/>
      </c>
      <c r="BC67" s="8" t="str">
        <f t="shared" si="165"/>
        <v/>
      </c>
      <c r="BD67" s="8" t="str">
        <f t="shared" si="166"/>
        <v/>
      </c>
      <c r="BE67" s="8" t="str">
        <f t="shared" si="167"/>
        <v/>
      </c>
      <c r="BF67" s="8" t="str">
        <f t="shared" si="168"/>
        <v/>
      </c>
      <c r="BG67" s="8" t="str">
        <f t="shared" si="169"/>
        <v/>
      </c>
      <c r="BH67" s="8" t="str">
        <f t="shared" si="170"/>
        <v/>
      </c>
      <c r="BI67" s="8" t="str">
        <f t="shared" si="171"/>
        <v/>
      </c>
      <c r="BJ67" s="8" t="str">
        <f t="shared" si="172"/>
        <v/>
      </c>
      <c r="BK67" s="8" t="str">
        <f t="shared" si="173"/>
        <v/>
      </c>
      <c r="BL67" s="8" t="str">
        <f t="shared" si="174"/>
        <v/>
      </c>
      <c r="BM67" s="8" t="str">
        <f t="shared" si="94"/>
        <v/>
      </c>
      <c r="BN67" s="8" t="str">
        <f t="shared" si="95"/>
        <v/>
      </c>
      <c r="BO67" s="8" t="str">
        <f t="shared" si="96"/>
        <v/>
      </c>
      <c r="BP67" s="8" t="str">
        <f t="shared" si="97"/>
        <v/>
      </c>
      <c r="BQ67" s="8" t="str">
        <f t="shared" si="98"/>
        <v/>
      </c>
      <c r="BR67" s="8" t="str">
        <f t="shared" si="99"/>
        <v/>
      </c>
      <c r="BS67" s="8" t="str">
        <f t="shared" si="100"/>
        <v/>
      </c>
      <c r="BT67" s="8" t="str">
        <f t="shared" si="101"/>
        <v/>
      </c>
      <c r="BU67" s="8" t="str">
        <f t="shared" si="102"/>
        <v/>
      </c>
      <c r="BV67" s="8" t="str">
        <f t="shared" si="103"/>
        <v/>
      </c>
      <c r="BW67" s="8" t="str">
        <f t="shared" si="104"/>
        <v/>
      </c>
      <c r="BX67" s="8" t="str">
        <f t="shared" si="105"/>
        <v/>
      </c>
      <c r="BY67" s="8" t="str">
        <f t="shared" si="106"/>
        <v/>
      </c>
      <c r="BZ67" s="8" t="str">
        <f t="shared" si="107"/>
        <v/>
      </c>
      <c r="CA67" s="8" t="str">
        <f t="shared" si="108"/>
        <v/>
      </c>
      <c r="CB67" s="8" t="str">
        <f t="shared" si="109"/>
        <v/>
      </c>
      <c r="CC67" s="8" t="str">
        <f t="shared" si="110"/>
        <v/>
      </c>
      <c r="CD67" s="8" t="str">
        <f t="shared" si="111"/>
        <v/>
      </c>
      <c r="CE67" s="8" t="str">
        <f t="shared" si="112"/>
        <v/>
      </c>
      <c r="CF67" s="8" t="str">
        <f t="shared" si="113"/>
        <v/>
      </c>
      <c r="CG67" s="8" t="str">
        <f t="shared" si="114"/>
        <v/>
      </c>
      <c r="CH67" s="8" t="str">
        <f t="shared" si="115"/>
        <v/>
      </c>
      <c r="CI67" s="8" t="str">
        <f t="shared" si="116"/>
        <v/>
      </c>
      <c r="CJ67" s="8" t="str">
        <f t="shared" si="117"/>
        <v/>
      </c>
    </row>
    <row r="68" spans="6:88">
      <c r="F68" s="36"/>
      <c r="G68" s="8">
        <f t="shared" si="118"/>
        <v>8</v>
      </c>
      <c r="I68" s="8" t="str">
        <f t="shared" si="119"/>
        <v/>
      </c>
      <c r="J68" s="8" t="str">
        <f t="shared" si="120"/>
        <v>Andy Booth</v>
      </c>
      <c r="K68" s="8" t="str">
        <f t="shared" si="121"/>
        <v/>
      </c>
      <c r="L68" s="8" t="str">
        <f t="shared" si="122"/>
        <v/>
      </c>
      <c r="M68" s="8" t="str">
        <f t="shared" si="123"/>
        <v/>
      </c>
      <c r="N68" s="8" t="str">
        <f t="shared" si="124"/>
        <v>Andy Booth</v>
      </c>
      <c r="O68" s="8" t="str">
        <f t="shared" si="125"/>
        <v/>
      </c>
      <c r="P68" s="8" t="str">
        <f t="shared" si="126"/>
        <v/>
      </c>
      <c r="Q68" s="30" t="str">
        <f t="shared" si="127"/>
        <v/>
      </c>
      <c r="R68" s="8" t="str">
        <f t="shared" si="128"/>
        <v>Andy Booth</v>
      </c>
      <c r="S68" s="8" t="str">
        <f t="shared" si="129"/>
        <v/>
      </c>
      <c r="T68" s="8" t="str">
        <f t="shared" si="130"/>
        <v/>
      </c>
      <c r="U68" s="8" t="str">
        <f t="shared" si="131"/>
        <v/>
      </c>
      <c r="V68" s="8" t="str">
        <f t="shared" si="132"/>
        <v>Andy Booth</v>
      </c>
      <c r="W68" s="8" t="str">
        <f t="shared" si="133"/>
        <v/>
      </c>
      <c r="X68" s="8" t="str">
        <f t="shared" si="134"/>
        <v/>
      </c>
      <c r="Y68" s="8" t="str">
        <f t="shared" si="135"/>
        <v/>
      </c>
      <c r="Z68" s="8" t="str">
        <f t="shared" si="136"/>
        <v>Andy Booth</v>
      </c>
      <c r="AA68" s="8" t="str">
        <f t="shared" si="137"/>
        <v/>
      </c>
      <c r="AB68" s="8" t="str">
        <f t="shared" si="138"/>
        <v/>
      </c>
      <c r="AC68" s="8" t="str">
        <f t="shared" si="139"/>
        <v/>
      </c>
      <c r="AD68" s="8" t="str">
        <f t="shared" si="140"/>
        <v/>
      </c>
      <c r="AE68" s="8" t="str">
        <f t="shared" si="141"/>
        <v/>
      </c>
      <c r="AF68" s="8" t="str">
        <f t="shared" si="142"/>
        <v/>
      </c>
      <c r="AG68" s="8" t="str">
        <f t="shared" si="143"/>
        <v/>
      </c>
      <c r="AH68" s="8" t="str">
        <f t="shared" si="144"/>
        <v/>
      </c>
      <c r="AI68" s="8" t="str">
        <f t="shared" si="145"/>
        <v/>
      </c>
      <c r="AJ68" s="8" t="str">
        <f t="shared" si="146"/>
        <v/>
      </c>
      <c r="AK68" s="8" t="str">
        <f t="shared" si="147"/>
        <v/>
      </c>
      <c r="AL68" s="8" t="str">
        <f t="shared" si="148"/>
        <v/>
      </c>
      <c r="AM68" s="8" t="str">
        <f t="shared" si="149"/>
        <v>Andy Booth</v>
      </c>
      <c r="AN68" s="8" t="str">
        <f t="shared" si="150"/>
        <v/>
      </c>
      <c r="AO68" s="8" t="str">
        <f t="shared" si="151"/>
        <v/>
      </c>
      <c r="AP68" s="8" t="str">
        <f t="shared" si="152"/>
        <v>Andy Booth</v>
      </c>
      <c r="AQ68" s="8" t="str">
        <f t="shared" si="153"/>
        <v/>
      </c>
      <c r="AR68" s="8" t="str">
        <f t="shared" si="154"/>
        <v/>
      </c>
      <c r="AS68" s="8" t="str">
        <f t="shared" si="155"/>
        <v/>
      </c>
      <c r="AT68" s="8" t="str">
        <f t="shared" si="156"/>
        <v>Andy Booth</v>
      </c>
      <c r="AU68" s="8" t="str">
        <f t="shared" si="157"/>
        <v/>
      </c>
      <c r="AV68" s="8" t="str">
        <f t="shared" si="158"/>
        <v/>
      </c>
      <c r="AW68" s="8" t="str">
        <f t="shared" si="159"/>
        <v/>
      </c>
      <c r="AX68" s="8" t="str">
        <f t="shared" si="160"/>
        <v/>
      </c>
      <c r="AY68" s="8" t="str">
        <f t="shared" si="161"/>
        <v/>
      </c>
      <c r="AZ68" s="8" t="str">
        <f t="shared" si="162"/>
        <v/>
      </c>
      <c r="BA68" s="8" t="str">
        <f t="shared" si="163"/>
        <v/>
      </c>
      <c r="BB68" s="8" t="str">
        <f t="shared" si="164"/>
        <v>Andy Booth</v>
      </c>
      <c r="BC68" s="8" t="str">
        <f t="shared" si="165"/>
        <v/>
      </c>
      <c r="BD68" s="8" t="str">
        <f t="shared" si="166"/>
        <v/>
      </c>
      <c r="BE68" s="8" t="str">
        <f t="shared" si="167"/>
        <v/>
      </c>
      <c r="BF68" s="8" t="str">
        <f t="shared" si="168"/>
        <v>Andy Booth</v>
      </c>
      <c r="BG68" s="8" t="str">
        <f t="shared" si="169"/>
        <v/>
      </c>
      <c r="BH68" s="8" t="str">
        <f t="shared" si="170"/>
        <v/>
      </c>
      <c r="BI68" s="8" t="str">
        <f t="shared" si="171"/>
        <v/>
      </c>
      <c r="BJ68" s="8" t="str">
        <f t="shared" si="172"/>
        <v>Andy Booth</v>
      </c>
      <c r="BK68" s="8" t="str">
        <f t="shared" si="173"/>
        <v/>
      </c>
      <c r="BL68" s="8" t="str">
        <f t="shared" si="174"/>
        <v/>
      </c>
      <c r="BM68" s="8" t="str">
        <f t="shared" si="94"/>
        <v/>
      </c>
      <c r="BN68" s="8" t="str">
        <f t="shared" si="95"/>
        <v/>
      </c>
      <c r="BO68" s="8" t="str">
        <f t="shared" si="96"/>
        <v/>
      </c>
      <c r="BP68" s="8" t="str">
        <f t="shared" si="97"/>
        <v/>
      </c>
      <c r="BQ68" s="8" t="str">
        <f t="shared" si="98"/>
        <v/>
      </c>
      <c r="BR68" s="8" t="str">
        <f t="shared" si="99"/>
        <v>Andy Booth</v>
      </c>
      <c r="BS68" s="8" t="str">
        <f t="shared" si="100"/>
        <v/>
      </c>
      <c r="BT68" s="8" t="str">
        <f t="shared" si="101"/>
        <v/>
      </c>
      <c r="BU68" s="8" t="str">
        <f t="shared" si="102"/>
        <v/>
      </c>
      <c r="BV68" s="8" t="str">
        <f t="shared" si="103"/>
        <v/>
      </c>
      <c r="BW68" s="8" t="str">
        <f t="shared" si="104"/>
        <v/>
      </c>
      <c r="BX68" s="8" t="str">
        <f t="shared" si="105"/>
        <v/>
      </c>
      <c r="BY68" s="8" t="str">
        <f t="shared" si="106"/>
        <v/>
      </c>
      <c r="BZ68" s="8" t="str">
        <f t="shared" si="107"/>
        <v/>
      </c>
      <c r="CA68" s="8" t="str">
        <f t="shared" si="108"/>
        <v/>
      </c>
      <c r="CB68" s="8" t="str">
        <f t="shared" si="109"/>
        <v/>
      </c>
      <c r="CC68" s="8" t="str">
        <f t="shared" si="110"/>
        <v/>
      </c>
      <c r="CD68" s="8" t="str">
        <f t="shared" si="111"/>
        <v/>
      </c>
      <c r="CE68" s="8" t="str">
        <f t="shared" si="112"/>
        <v/>
      </c>
      <c r="CF68" s="8" t="str">
        <f t="shared" si="113"/>
        <v/>
      </c>
      <c r="CG68" s="8" t="str">
        <f t="shared" si="114"/>
        <v/>
      </c>
      <c r="CH68" s="8" t="str">
        <f t="shared" si="115"/>
        <v/>
      </c>
      <c r="CI68" s="8" t="str">
        <f t="shared" si="116"/>
        <v/>
      </c>
      <c r="CJ68" s="8" t="str">
        <f t="shared" si="117"/>
        <v/>
      </c>
    </row>
    <row r="69" spans="6:88">
      <c r="F69" s="36"/>
      <c r="G69" s="8">
        <f t="shared" si="118"/>
        <v>9</v>
      </c>
      <c r="I69" s="8" t="str">
        <f t="shared" si="119"/>
        <v/>
      </c>
      <c r="J69" s="8" t="str">
        <f t="shared" si="120"/>
        <v/>
      </c>
      <c r="K69" s="8" t="str">
        <f t="shared" si="121"/>
        <v/>
      </c>
      <c r="L69" s="8" t="str">
        <f t="shared" si="122"/>
        <v/>
      </c>
      <c r="M69" s="8" t="str">
        <f t="shared" si="123"/>
        <v/>
      </c>
      <c r="N69" s="8" t="str">
        <f t="shared" si="124"/>
        <v/>
      </c>
      <c r="O69" s="8" t="str">
        <f t="shared" si="125"/>
        <v/>
      </c>
      <c r="P69" s="8" t="str">
        <f t="shared" si="126"/>
        <v/>
      </c>
      <c r="Q69" s="30" t="str">
        <f t="shared" si="127"/>
        <v/>
      </c>
      <c r="R69" s="8" t="str">
        <f t="shared" si="128"/>
        <v/>
      </c>
      <c r="S69" s="8" t="str">
        <f t="shared" si="129"/>
        <v/>
      </c>
      <c r="T69" s="8" t="str">
        <f t="shared" si="130"/>
        <v/>
      </c>
      <c r="U69" s="8" t="str">
        <f t="shared" si="131"/>
        <v>Lygon Bowen-west</v>
      </c>
      <c r="V69" s="8" t="str">
        <f t="shared" si="132"/>
        <v/>
      </c>
      <c r="W69" s="8" t="str">
        <f t="shared" si="133"/>
        <v/>
      </c>
      <c r="X69" s="8" t="str">
        <f t="shared" si="134"/>
        <v/>
      </c>
      <c r="Y69" s="8" t="str">
        <f t="shared" si="135"/>
        <v/>
      </c>
      <c r="Z69" s="8" t="str">
        <f t="shared" si="136"/>
        <v/>
      </c>
      <c r="AA69" s="8" t="str">
        <f t="shared" si="137"/>
        <v/>
      </c>
      <c r="AB69" s="8" t="str">
        <f t="shared" si="138"/>
        <v/>
      </c>
      <c r="AC69" s="8" t="str">
        <f t="shared" si="139"/>
        <v/>
      </c>
      <c r="AD69" s="8" t="str">
        <f t="shared" si="140"/>
        <v/>
      </c>
      <c r="AE69" s="8" t="str">
        <f t="shared" si="141"/>
        <v/>
      </c>
      <c r="AF69" s="8" t="str">
        <f t="shared" si="142"/>
        <v/>
      </c>
      <c r="AG69" s="8" t="str">
        <f t="shared" si="143"/>
        <v/>
      </c>
      <c r="AH69" s="8" t="str">
        <f t="shared" si="144"/>
        <v/>
      </c>
      <c r="AI69" s="8" t="str">
        <f t="shared" si="145"/>
        <v/>
      </c>
      <c r="AJ69" s="8" t="str">
        <f t="shared" si="146"/>
        <v/>
      </c>
      <c r="AK69" s="8" t="str">
        <f t="shared" si="147"/>
        <v/>
      </c>
      <c r="AL69" s="8" t="str">
        <f t="shared" si="148"/>
        <v/>
      </c>
      <c r="AM69" s="8" t="str">
        <f t="shared" si="149"/>
        <v/>
      </c>
      <c r="AN69" s="8" t="str">
        <f t="shared" si="150"/>
        <v/>
      </c>
      <c r="AO69" s="8" t="str">
        <f t="shared" si="151"/>
        <v/>
      </c>
      <c r="AP69" s="8" t="str">
        <f t="shared" si="152"/>
        <v/>
      </c>
      <c r="AQ69" s="8" t="str">
        <f t="shared" si="153"/>
        <v/>
      </c>
      <c r="AR69" s="8" t="str">
        <f t="shared" si="154"/>
        <v/>
      </c>
      <c r="AS69" s="8" t="str">
        <f t="shared" si="155"/>
        <v/>
      </c>
      <c r="AT69" s="8" t="str">
        <f t="shared" si="156"/>
        <v/>
      </c>
      <c r="AU69" s="8" t="str">
        <f t="shared" si="157"/>
        <v/>
      </c>
      <c r="AV69" s="8" t="str">
        <f t="shared" si="158"/>
        <v/>
      </c>
      <c r="AW69" s="8" t="str">
        <f t="shared" si="159"/>
        <v/>
      </c>
      <c r="AX69" s="8" t="str">
        <f t="shared" si="160"/>
        <v/>
      </c>
      <c r="AY69" s="8" t="str">
        <f t="shared" si="161"/>
        <v/>
      </c>
      <c r="AZ69" s="8" t="str">
        <f t="shared" si="162"/>
        <v/>
      </c>
      <c r="BA69" s="8" t="str">
        <f t="shared" si="163"/>
        <v/>
      </c>
      <c r="BB69" s="8" t="str">
        <f t="shared" si="164"/>
        <v/>
      </c>
      <c r="BC69" s="8" t="str">
        <f t="shared" si="165"/>
        <v/>
      </c>
      <c r="BD69" s="8" t="str">
        <f t="shared" si="166"/>
        <v/>
      </c>
      <c r="BE69" s="8" t="str">
        <f t="shared" si="167"/>
        <v/>
      </c>
      <c r="BF69" s="8" t="str">
        <f t="shared" si="168"/>
        <v/>
      </c>
      <c r="BG69" s="8" t="str">
        <f t="shared" si="169"/>
        <v/>
      </c>
      <c r="BH69" s="8" t="str">
        <f t="shared" si="170"/>
        <v/>
      </c>
      <c r="BI69" s="8" t="str">
        <f t="shared" si="171"/>
        <v/>
      </c>
      <c r="BJ69" s="8" t="str">
        <f t="shared" si="172"/>
        <v/>
      </c>
      <c r="BK69" s="8" t="str">
        <f t="shared" si="173"/>
        <v/>
      </c>
      <c r="BL69" s="8" t="str">
        <f t="shared" si="174"/>
        <v/>
      </c>
      <c r="BM69" s="8" t="str">
        <f t="shared" si="94"/>
        <v/>
      </c>
      <c r="BN69" s="8" t="str">
        <f t="shared" si="95"/>
        <v/>
      </c>
      <c r="BO69" s="8" t="str">
        <f t="shared" si="96"/>
        <v/>
      </c>
      <c r="BP69" s="8" t="str">
        <f t="shared" si="97"/>
        <v/>
      </c>
      <c r="BQ69" s="8" t="str">
        <f t="shared" si="98"/>
        <v/>
      </c>
      <c r="BR69" s="8" t="str">
        <f t="shared" si="99"/>
        <v/>
      </c>
      <c r="BS69" s="8" t="str">
        <f t="shared" si="100"/>
        <v/>
      </c>
      <c r="BT69" s="8" t="str">
        <f t="shared" si="101"/>
        <v/>
      </c>
      <c r="BU69" s="8" t="str">
        <f t="shared" si="102"/>
        <v/>
      </c>
      <c r="BV69" s="8" t="str">
        <f t="shared" si="103"/>
        <v/>
      </c>
      <c r="BW69" s="8" t="str">
        <f t="shared" si="104"/>
        <v/>
      </c>
      <c r="BX69" s="8" t="str">
        <f t="shared" si="105"/>
        <v/>
      </c>
      <c r="BY69" s="8" t="str">
        <f t="shared" si="106"/>
        <v/>
      </c>
      <c r="BZ69" s="8" t="str">
        <f t="shared" si="107"/>
        <v/>
      </c>
      <c r="CA69" s="8" t="str">
        <f t="shared" si="108"/>
        <v/>
      </c>
      <c r="CB69" s="8" t="str">
        <f t="shared" si="109"/>
        <v/>
      </c>
      <c r="CC69" s="8" t="str">
        <f t="shared" si="110"/>
        <v/>
      </c>
      <c r="CD69" s="8" t="str">
        <f t="shared" si="111"/>
        <v/>
      </c>
      <c r="CE69" s="8" t="str">
        <f t="shared" si="112"/>
        <v/>
      </c>
      <c r="CF69" s="8" t="str">
        <f t="shared" si="113"/>
        <v/>
      </c>
      <c r="CG69" s="8" t="str">
        <f t="shared" si="114"/>
        <v/>
      </c>
      <c r="CH69" s="8" t="str">
        <f t="shared" si="115"/>
        <v/>
      </c>
      <c r="CI69" s="8" t="str">
        <f t="shared" si="116"/>
        <v/>
      </c>
      <c r="CJ69" s="8" t="str">
        <f t="shared" si="117"/>
        <v/>
      </c>
    </row>
    <row r="70" spans="6:88">
      <c r="F70" s="36"/>
      <c r="G70" s="8">
        <f t="shared" si="118"/>
        <v>10</v>
      </c>
      <c r="I70" s="8" t="str">
        <f t="shared" si="119"/>
        <v/>
      </c>
      <c r="J70" s="8" t="str">
        <f t="shared" si="120"/>
        <v/>
      </c>
      <c r="K70" s="8" t="str">
        <f t="shared" si="121"/>
        <v/>
      </c>
      <c r="L70" s="8" t="str">
        <f t="shared" si="122"/>
        <v>Billy Camuso</v>
      </c>
      <c r="M70" s="8" t="str">
        <f t="shared" si="123"/>
        <v/>
      </c>
      <c r="N70" s="8" t="str">
        <f t="shared" si="124"/>
        <v/>
      </c>
      <c r="O70" s="8" t="str">
        <f t="shared" si="125"/>
        <v/>
      </c>
      <c r="P70" s="8" t="str">
        <f t="shared" si="126"/>
        <v>Billy Camuso</v>
      </c>
      <c r="Q70" s="30" t="str">
        <f t="shared" si="127"/>
        <v/>
      </c>
      <c r="R70" s="8" t="str">
        <f t="shared" si="128"/>
        <v/>
      </c>
      <c r="S70" s="8" t="str">
        <f t="shared" si="129"/>
        <v/>
      </c>
      <c r="T70" s="8" t="str">
        <f t="shared" si="130"/>
        <v>Billy Camuso</v>
      </c>
      <c r="U70" s="8" t="str">
        <f t="shared" si="131"/>
        <v/>
      </c>
      <c r="V70" s="8" t="str">
        <f t="shared" si="132"/>
        <v/>
      </c>
      <c r="W70" s="8" t="str">
        <f t="shared" si="133"/>
        <v/>
      </c>
      <c r="X70" s="8" t="str">
        <f t="shared" si="134"/>
        <v/>
      </c>
      <c r="Y70" s="8" t="str">
        <f t="shared" si="135"/>
        <v/>
      </c>
      <c r="Z70" s="8" t="str">
        <f t="shared" si="136"/>
        <v/>
      </c>
      <c r="AA70" s="8" t="str">
        <f t="shared" si="137"/>
        <v/>
      </c>
      <c r="AB70" s="8" t="str">
        <f t="shared" si="138"/>
        <v>Billy Camuso</v>
      </c>
      <c r="AC70" s="8" t="str">
        <f t="shared" si="139"/>
        <v/>
      </c>
      <c r="AD70" s="8" t="str">
        <f t="shared" si="140"/>
        <v/>
      </c>
      <c r="AE70" s="8" t="str">
        <f t="shared" si="141"/>
        <v/>
      </c>
      <c r="AF70" s="8" t="str">
        <f t="shared" si="142"/>
        <v>Billy Camuso</v>
      </c>
      <c r="AG70" s="8" t="str">
        <f t="shared" si="143"/>
        <v/>
      </c>
      <c r="AH70" s="8" t="str">
        <f t="shared" si="144"/>
        <v/>
      </c>
      <c r="AI70" s="8" t="str">
        <f t="shared" si="145"/>
        <v/>
      </c>
      <c r="AJ70" s="8" t="str">
        <f t="shared" si="146"/>
        <v/>
      </c>
      <c r="AK70" s="8" t="str">
        <f t="shared" si="147"/>
        <v/>
      </c>
      <c r="AL70" s="8" t="str">
        <f t="shared" si="148"/>
        <v/>
      </c>
      <c r="AM70" s="8" t="str">
        <f t="shared" si="149"/>
        <v/>
      </c>
      <c r="AN70" s="8" t="str">
        <f t="shared" si="150"/>
        <v>Billy Camuso</v>
      </c>
      <c r="AO70" s="8" t="str">
        <f t="shared" si="151"/>
        <v/>
      </c>
      <c r="AP70" s="8" t="str">
        <f t="shared" si="152"/>
        <v/>
      </c>
      <c r="AQ70" s="8" t="str">
        <f t="shared" si="153"/>
        <v/>
      </c>
      <c r="AR70" s="8" t="str">
        <f t="shared" si="154"/>
        <v/>
      </c>
      <c r="AS70" s="8" t="str">
        <f t="shared" si="155"/>
        <v/>
      </c>
      <c r="AT70" s="8" t="str">
        <f t="shared" si="156"/>
        <v/>
      </c>
      <c r="AU70" s="8" t="str">
        <f t="shared" si="157"/>
        <v/>
      </c>
      <c r="AV70" s="8" t="str">
        <f t="shared" si="158"/>
        <v/>
      </c>
      <c r="AW70" s="8" t="str">
        <f t="shared" si="159"/>
        <v/>
      </c>
      <c r="AX70" s="8" t="str">
        <f t="shared" si="160"/>
        <v/>
      </c>
      <c r="AY70" s="8" t="str">
        <f t="shared" si="161"/>
        <v/>
      </c>
      <c r="AZ70" s="8" t="str">
        <f t="shared" si="162"/>
        <v/>
      </c>
      <c r="BA70" s="8" t="str">
        <f t="shared" si="163"/>
        <v/>
      </c>
      <c r="BB70" s="8" t="str">
        <f t="shared" si="164"/>
        <v/>
      </c>
      <c r="BC70" s="8" t="str">
        <f t="shared" si="165"/>
        <v/>
      </c>
      <c r="BD70" s="8" t="str">
        <f t="shared" si="166"/>
        <v/>
      </c>
      <c r="BE70" s="8" t="str">
        <f t="shared" si="167"/>
        <v/>
      </c>
      <c r="BF70" s="8" t="str">
        <f t="shared" si="168"/>
        <v/>
      </c>
      <c r="BG70" s="8" t="str">
        <f t="shared" si="169"/>
        <v/>
      </c>
      <c r="BH70" s="8" t="str">
        <f t="shared" si="170"/>
        <v/>
      </c>
      <c r="BI70" s="8" t="str">
        <f t="shared" si="171"/>
        <v/>
      </c>
      <c r="BJ70" s="8" t="str">
        <f t="shared" si="172"/>
        <v/>
      </c>
      <c r="BK70" s="8" t="str">
        <f t="shared" si="173"/>
        <v/>
      </c>
      <c r="BL70" s="8" t="str">
        <f t="shared" si="174"/>
        <v>Billy Camuso (1)</v>
      </c>
      <c r="BM70" s="8" t="str">
        <f t="shared" si="94"/>
        <v/>
      </c>
      <c r="BN70" s="8" t="str">
        <f t="shared" si="95"/>
        <v/>
      </c>
      <c r="BO70" s="8" t="str">
        <f t="shared" si="96"/>
        <v/>
      </c>
      <c r="BP70" s="8" t="str">
        <f t="shared" si="97"/>
        <v/>
      </c>
      <c r="BQ70" s="8" t="str">
        <f t="shared" si="98"/>
        <v/>
      </c>
      <c r="BR70" s="8" t="str">
        <f t="shared" si="99"/>
        <v/>
      </c>
      <c r="BS70" s="8" t="str">
        <f t="shared" si="100"/>
        <v/>
      </c>
      <c r="BT70" s="8" t="str">
        <f t="shared" si="101"/>
        <v>Billy Camuso (1)</v>
      </c>
      <c r="BU70" s="8" t="str">
        <f t="shared" si="102"/>
        <v/>
      </c>
      <c r="BV70" s="8" t="str">
        <f t="shared" si="103"/>
        <v/>
      </c>
      <c r="BW70" s="8" t="str">
        <f t="shared" si="104"/>
        <v/>
      </c>
      <c r="BX70" s="8" t="str">
        <f t="shared" si="105"/>
        <v/>
      </c>
      <c r="BY70" s="8" t="str">
        <f t="shared" si="106"/>
        <v/>
      </c>
      <c r="BZ70" s="8" t="str">
        <f t="shared" si="107"/>
        <v/>
      </c>
      <c r="CA70" s="8" t="str">
        <f t="shared" si="108"/>
        <v/>
      </c>
      <c r="CB70" s="8" t="str">
        <f t="shared" si="109"/>
        <v/>
      </c>
      <c r="CC70" s="8" t="str">
        <f t="shared" si="110"/>
        <v/>
      </c>
      <c r="CD70" s="8" t="str">
        <f t="shared" si="111"/>
        <v/>
      </c>
      <c r="CE70" s="8" t="str">
        <f t="shared" si="112"/>
        <v/>
      </c>
      <c r="CF70" s="8" t="str">
        <f t="shared" si="113"/>
        <v/>
      </c>
      <c r="CG70" s="8" t="str">
        <f t="shared" si="114"/>
        <v/>
      </c>
      <c r="CH70" s="8" t="str">
        <f t="shared" si="115"/>
        <v/>
      </c>
      <c r="CI70" s="8" t="str">
        <f t="shared" si="116"/>
        <v/>
      </c>
      <c r="CJ70" s="8" t="str">
        <f t="shared" si="117"/>
        <v>Billy Camuso</v>
      </c>
    </row>
    <row r="71" spans="6:88">
      <c r="F71" s="36"/>
      <c r="G71" s="8">
        <f t="shared" si="118"/>
        <v>11</v>
      </c>
      <c r="I71" s="8" t="str">
        <f t="shared" si="119"/>
        <v/>
      </c>
      <c r="J71" s="8" t="str">
        <f t="shared" si="120"/>
        <v>David Copple</v>
      </c>
      <c r="K71" s="8" t="str">
        <f t="shared" si="121"/>
        <v/>
      </c>
      <c r="L71" s="8" t="str">
        <f t="shared" si="122"/>
        <v/>
      </c>
      <c r="M71" s="8" t="str">
        <f t="shared" si="123"/>
        <v/>
      </c>
      <c r="N71" s="8" t="str">
        <f t="shared" si="124"/>
        <v>David Copple</v>
      </c>
      <c r="O71" s="8" t="str">
        <f t="shared" si="125"/>
        <v/>
      </c>
      <c r="P71" s="8" t="str">
        <f t="shared" si="126"/>
        <v/>
      </c>
      <c r="Q71" s="30" t="str">
        <f t="shared" si="127"/>
        <v/>
      </c>
      <c r="R71" s="8" t="str">
        <f t="shared" si="128"/>
        <v>David Copple</v>
      </c>
      <c r="S71" s="8" t="str">
        <f t="shared" si="129"/>
        <v/>
      </c>
      <c r="T71" s="8" t="str">
        <f t="shared" si="130"/>
        <v/>
      </c>
      <c r="U71" s="8" t="str">
        <f t="shared" si="131"/>
        <v/>
      </c>
      <c r="V71" s="8" t="str">
        <f t="shared" si="132"/>
        <v>David Copple</v>
      </c>
      <c r="W71" s="8" t="str">
        <f t="shared" si="133"/>
        <v/>
      </c>
      <c r="X71" s="8" t="str">
        <f t="shared" si="134"/>
        <v/>
      </c>
      <c r="Y71" s="8" t="str">
        <f t="shared" si="135"/>
        <v/>
      </c>
      <c r="Z71" s="8" t="str">
        <f t="shared" si="136"/>
        <v/>
      </c>
      <c r="AA71" s="8" t="str">
        <f t="shared" si="137"/>
        <v/>
      </c>
      <c r="AB71" s="8" t="str">
        <f t="shared" si="138"/>
        <v/>
      </c>
      <c r="AC71" s="8" t="str">
        <f t="shared" si="139"/>
        <v/>
      </c>
      <c r="AD71" s="8" t="str">
        <f t="shared" si="140"/>
        <v>David Copple</v>
      </c>
      <c r="AE71" s="8" t="str">
        <f t="shared" si="141"/>
        <v/>
      </c>
      <c r="AF71" s="8" t="str">
        <f t="shared" si="142"/>
        <v/>
      </c>
      <c r="AG71" s="8" t="str">
        <f t="shared" si="143"/>
        <v/>
      </c>
      <c r="AH71" s="8" t="str">
        <f t="shared" si="144"/>
        <v/>
      </c>
      <c r="AI71" s="8" t="str">
        <f t="shared" si="145"/>
        <v/>
      </c>
      <c r="AJ71" s="8" t="str">
        <f t="shared" si="146"/>
        <v/>
      </c>
      <c r="AK71" s="8" t="str">
        <f t="shared" si="147"/>
        <v/>
      </c>
      <c r="AL71" s="8" t="str">
        <f t="shared" si="148"/>
        <v/>
      </c>
      <c r="AM71" s="8" t="str">
        <f t="shared" si="149"/>
        <v/>
      </c>
      <c r="AN71" s="8" t="str">
        <f t="shared" si="150"/>
        <v/>
      </c>
      <c r="AO71" s="8" t="str">
        <f t="shared" si="151"/>
        <v/>
      </c>
      <c r="AP71" s="8" t="str">
        <f t="shared" si="152"/>
        <v>David Copple</v>
      </c>
      <c r="AQ71" s="8" t="str">
        <f t="shared" si="153"/>
        <v/>
      </c>
      <c r="AR71" s="8" t="str">
        <f t="shared" si="154"/>
        <v/>
      </c>
      <c r="AS71" s="8" t="str">
        <f t="shared" si="155"/>
        <v/>
      </c>
      <c r="AT71" s="8" t="str">
        <f t="shared" si="156"/>
        <v>David Copple</v>
      </c>
      <c r="AU71" s="8" t="str">
        <f t="shared" si="157"/>
        <v/>
      </c>
      <c r="AV71" s="8" t="str">
        <f t="shared" si="158"/>
        <v/>
      </c>
      <c r="AW71" s="8" t="str">
        <f t="shared" si="159"/>
        <v/>
      </c>
      <c r="AX71" s="8" t="str">
        <f t="shared" si="160"/>
        <v>David Copple</v>
      </c>
      <c r="AY71" s="8" t="str">
        <f t="shared" si="161"/>
        <v/>
      </c>
      <c r="AZ71" s="8" t="str">
        <f t="shared" si="162"/>
        <v/>
      </c>
      <c r="BA71" s="8" t="str">
        <f t="shared" si="163"/>
        <v/>
      </c>
      <c r="BB71" s="8" t="str">
        <f t="shared" si="164"/>
        <v>David Copple</v>
      </c>
      <c r="BC71" s="8" t="str">
        <f t="shared" si="165"/>
        <v/>
      </c>
      <c r="BD71" s="8" t="str">
        <f t="shared" si="166"/>
        <v/>
      </c>
      <c r="BE71" s="8" t="str">
        <f t="shared" si="167"/>
        <v/>
      </c>
      <c r="BF71" s="8" t="str">
        <f t="shared" si="168"/>
        <v>David Copple</v>
      </c>
      <c r="BG71" s="8" t="str">
        <f t="shared" si="169"/>
        <v/>
      </c>
      <c r="BH71" s="8" t="str">
        <f t="shared" si="170"/>
        <v/>
      </c>
      <c r="BI71" s="8" t="str">
        <f t="shared" si="171"/>
        <v/>
      </c>
      <c r="BJ71" s="8" t="str">
        <f t="shared" si="172"/>
        <v>David Copple</v>
      </c>
      <c r="BK71" s="8" t="str">
        <f t="shared" si="173"/>
        <v/>
      </c>
      <c r="BL71" s="8" t="str">
        <f t="shared" si="174"/>
        <v/>
      </c>
      <c r="BM71" s="8" t="str">
        <f t="shared" si="94"/>
        <v/>
      </c>
      <c r="BN71" s="8" t="str">
        <f t="shared" si="95"/>
        <v/>
      </c>
      <c r="BO71" s="8" t="str">
        <f t="shared" si="96"/>
        <v/>
      </c>
      <c r="BP71" s="8" t="str">
        <f t="shared" si="97"/>
        <v/>
      </c>
      <c r="BQ71" s="8" t="str">
        <f t="shared" si="98"/>
        <v/>
      </c>
      <c r="BR71" s="8" t="str">
        <f t="shared" si="99"/>
        <v>David Copple</v>
      </c>
      <c r="BS71" s="8" t="str">
        <f t="shared" si="100"/>
        <v/>
      </c>
      <c r="BT71" s="8" t="str">
        <f t="shared" si="101"/>
        <v/>
      </c>
      <c r="BU71" s="8" t="str">
        <f t="shared" si="102"/>
        <v/>
      </c>
      <c r="BV71" s="8" t="str">
        <f t="shared" si="103"/>
        <v/>
      </c>
      <c r="BW71" s="8" t="str">
        <f t="shared" si="104"/>
        <v/>
      </c>
      <c r="BX71" s="8" t="str">
        <f t="shared" si="105"/>
        <v/>
      </c>
      <c r="BY71" s="8" t="str">
        <f t="shared" si="106"/>
        <v/>
      </c>
      <c r="BZ71" s="8" t="str">
        <f t="shared" si="107"/>
        <v/>
      </c>
      <c r="CA71" s="8" t="str">
        <f t="shared" si="108"/>
        <v/>
      </c>
      <c r="CB71" s="8" t="str">
        <f t="shared" si="109"/>
        <v/>
      </c>
      <c r="CC71" s="8" t="str">
        <f t="shared" si="110"/>
        <v/>
      </c>
      <c r="CD71" s="8" t="str">
        <f t="shared" si="111"/>
        <v>David Copple</v>
      </c>
      <c r="CE71" s="8" t="str">
        <f t="shared" si="112"/>
        <v/>
      </c>
      <c r="CF71" s="8" t="str">
        <f t="shared" si="113"/>
        <v/>
      </c>
      <c r="CG71" s="8" t="str">
        <f t="shared" si="114"/>
        <v/>
      </c>
      <c r="CH71" s="8" t="str">
        <f t="shared" si="115"/>
        <v>David Copple</v>
      </c>
      <c r="CI71" s="8" t="str">
        <f t="shared" si="116"/>
        <v/>
      </c>
      <c r="CJ71" s="8" t="str">
        <f t="shared" si="117"/>
        <v/>
      </c>
    </row>
    <row r="72" spans="6:88">
      <c r="F72" s="36"/>
      <c r="G72" s="8">
        <f t="shared" si="118"/>
        <v>12</v>
      </c>
      <c r="I72" s="8" t="str">
        <f t="shared" si="119"/>
        <v/>
      </c>
      <c r="J72" s="8" t="str">
        <f t="shared" si="120"/>
        <v/>
      </c>
      <c r="K72" s="8" t="str">
        <f t="shared" si="121"/>
        <v/>
      </c>
      <c r="L72" s="8" t="str">
        <f t="shared" si="122"/>
        <v/>
      </c>
      <c r="M72" s="8" t="str">
        <f t="shared" si="123"/>
        <v/>
      </c>
      <c r="N72" s="8" t="str">
        <f t="shared" si="124"/>
        <v/>
      </c>
      <c r="O72" s="8" t="str">
        <f t="shared" si="125"/>
        <v>Eddie Dale</v>
      </c>
      <c r="P72" s="8" t="str">
        <f t="shared" si="126"/>
        <v/>
      </c>
      <c r="Q72" s="30" t="str">
        <f t="shared" si="127"/>
        <v/>
      </c>
      <c r="R72" s="8" t="str">
        <f t="shared" si="128"/>
        <v/>
      </c>
      <c r="S72" s="8" t="str">
        <f t="shared" si="129"/>
        <v>Eddie Dale</v>
      </c>
      <c r="T72" s="8" t="str">
        <f t="shared" si="130"/>
        <v/>
      </c>
      <c r="U72" s="8" t="str">
        <f t="shared" si="131"/>
        <v/>
      </c>
      <c r="V72" s="8" t="str">
        <f t="shared" si="132"/>
        <v/>
      </c>
      <c r="W72" s="8" t="str">
        <f t="shared" si="133"/>
        <v>Eddie Dale</v>
      </c>
      <c r="X72" s="8" t="str">
        <f t="shared" si="134"/>
        <v/>
      </c>
      <c r="Y72" s="8" t="str">
        <f t="shared" si="135"/>
        <v/>
      </c>
      <c r="Z72" s="8" t="str">
        <f t="shared" si="136"/>
        <v/>
      </c>
      <c r="AA72" s="8" t="str">
        <f t="shared" si="137"/>
        <v>Eddie Dale</v>
      </c>
      <c r="AB72" s="8" t="str">
        <f t="shared" si="138"/>
        <v/>
      </c>
      <c r="AC72" s="8" t="str">
        <f t="shared" si="139"/>
        <v/>
      </c>
      <c r="AD72" s="8" t="str">
        <f t="shared" si="140"/>
        <v/>
      </c>
      <c r="AE72" s="8" t="str">
        <f t="shared" si="141"/>
        <v>Eddie Dale</v>
      </c>
      <c r="AF72" s="8" t="str">
        <f t="shared" si="142"/>
        <v/>
      </c>
      <c r="AG72" s="8" t="str">
        <f t="shared" si="143"/>
        <v/>
      </c>
      <c r="AH72" s="8" t="str">
        <f t="shared" si="144"/>
        <v/>
      </c>
      <c r="AI72" s="8" t="str">
        <f t="shared" si="145"/>
        <v/>
      </c>
      <c r="AJ72" s="8" t="str">
        <f t="shared" si="146"/>
        <v/>
      </c>
      <c r="AK72" s="8" t="str">
        <f t="shared" si="147"/>
        <v/>
      </c>
      <c r="AL72" s="8" t="str">
        <f t="shared" si="148"/>
        <v/>
      </c>
      <c r="AM72" s="8" t="str">
        <f t="shared" si="149"/>
        <v/>
      </c>
      <c r="AN72" s="8" t="str">
        <f t="shared" si="150"/>
        <v/>
      </c>
      <c r="AO72" s="8" t="str">
        <f t="shared" si="151"/>
        <v/>
      </c>
      <c r="AP72" s="8" t="str">
        <f t="shared" si="152"/>
        <v/>
      </c>
      <c r="AQ72" s="8" t="str">
        <f t="shared" si="153"/>
        <v/>
      </c>
      <c r="AR72" s="8" t="str">
        <f t="shared" si="154"/>
        <v/>
      </c>
      <c r="AS72" s="8" t="str">
        <f t="shared" si="155"/>
        <v/>
      </c>
      <c r="AT72" s="8" t="str">
        <f t="shared" si="156"/>
        <v/>
      </c>
      <c r="AU72" s="8" t="str">
        <f t="shared" si="157"/>
        <v/>
      </c>
      <c r="AV72" s="8" t="str">
        <f t="shared" si="158"/>
        <v/>
      </c>
      <c r="AW72" s="8" t="str">
        <f t="shared" si="159"/>
        <v/>
      </c>
      <c r="AX72" s="8" t="str">
        <f t="shared" si="160"/>
        <v/>
      </c>
      <c r="AY72" s="8" t="str">
        <f t="shared" si="161"/>
        <v/>
      </c>
      <c r="AZ72" s="8" t="str">
        <f t="shared" si="162"/>
        <v/>
      </c>
      <c r="BA72" s="8" t="str">
        <f t="shared" si="163"/>
        <v/>
      </c>
      <c r="BB72" s="8" t="str">
        <f t="shared" si="164"/>
        <v/>
      </c>
      <c r="BC72" s="8" t="str">
        <f t="shared" si="165"/>
        <v/>
      </c>
      <c r="BD72" s="8" t="str">
        <f t="shared" si="166"/>
        <v/>
      </c>
      <c r="BE72" s="8" t="str">
        <f t="shared" si="167"/>
        <v/>
      </c>
      <c r="BF72" s="8" t="str">
        <f t="shared" si="168"/>
        <v/>
      </c>
      <c r="BG72" s="8" t="str">
        <f t="shared" si="169"/>
        <v/>
      </c>
      <c r="BH72" s="8" t="str">
        <f t="shared" si="170"/>
        <v/>
      </c>
      <c r="BI72" s="8" t="str">
        <f t="shared" si="171"/>
        <v/>
      </c>
      <c r="BJ72" s="8" t="str">
        <f t="shared" si="172"/>
        <v/>
      </c>
      <c r="BK72" s="8" t="str">
        <f t="shared" si="173"/>
        <v/>
      </c>
      <c r="BL72" s="8" t="str">
        <f t="shared" si="174"/>
        <v/>
      </c>
      <c r="BM72" s="8" t="str">
        <f t="shared" si="94"/>
        <v/>
      </c>
      <c r="BN72" s="8" t="str">
        <f t="shared" si="95"/>
        <v/>
      </c>
      <c r="BO72" s="8" t="str">
        <f t="shared" si="96"/>
        <v/>
      </c>
      <c r="BP72" s="8" t="str">
        <f t="shared" si="97"/>
        <v/>
      </c>
      <c r="BQ72" s="8" t="str">
        <f t="shared" si="98"/>
        <v/>
      </c>
      <c r="BR72" s="8" t="str">
        <f t="shared" si="99"/>
        <v/>
      </c>
      <c r="BS72" s="8" t="str">
        <f t="shared" si="100"/>
        <v/>
      </c>
      <c r="BT72" s="8" t="str">
        <f t="shared" si="101"/>
        <v/>
      </c>
      <c r="BU72" s="8" t="str">
        <f t="shared" si="102"/>
        <v/>
      </c>
      <c r="BV72" s="8" t="str">
        <f t="shared" si="103"/>
        <v/>
      </c>
      <c r="BW72" s="8" t="str">
        <f t="shared" si="104"/>
        <v/>
      </c>
      <c r="BX72" s="8" t="str">
        <f t="shared" si="105"/>
        <v/>
      </c>
      <c r="BY72" s="8" t="str">
        <f t="shared" si="106"/>
        <v/>
      </c>
      <c r="BZ72" s="8" t="str">
        <f t="shared" si="107"/>
        <v/>
      </c>
      <c r="CA72" s="8" t="str">
        <f t="shared" si="108"/>
        <v/>
      </c>
      <c r="CB72" s="8" t="str">
        <f t="shared" si="109"/>
        <v/>
      </c>
      <c r="CC72" s="8" t="str">
        <f t="shared" si="110"/>
        <v/>
      </c>
      <c r="CD72" s="8" t="str">
        <f t="shared" si="111"/>
        <v/>
      </c>
      <c r="CE72" s="8" t="str">
        <f t="shared" si="112"/>
        <v/>
      </c>
      <c r="CF72" s="8" t="str">
        <f t="shared" si="113"/>
        <v/>
      </c>
      <c r="CG72" s="8" t="str">
        <f t="shared" si="114"/>
        <v/>
      </c>
      <c r="CH72" s="8" t="str">
        <f t="shared" si="115"/>
        <v/>
      </c>
      <c r="CI72" s="8" t="str">
        <f t="shared" si="116"/>
        <v/>
      </c>
      <c r="CJ72" s="8" t="str">
        <f t="shared" si="117"/>
        <v/>
      </c>
    </row>
    <row r="73" spans="6:88">
      <c r="F73" s="36"/>
      <c r="G73" s="8">
        <f t="shared" si="118"/>
        <v>13</v>
      </c>
      <c r="I73" s="8" t="str">
        <f t="shared" si="119"/>
        <v/>
      </c>
      <c r="J73" s="8" t="str">
        <f t="shared" si="120"/>
        <v/>
      </c>
      <c r="K73" s="8" t="str">
        <f t="shared" si="121"/>
        <v/>
      </c>
      <c r="L73" s="8" t="str">
        <f t="shared" si="122"/>
        <v/>
      </c>
      <c r="M73" s="8" t="str">
        <f t="shared" si="123"/>
        <v/>
      </c>
      <c r="N73" s="8" t="str">
        <f t="shared" si="124"/>
        <v/>
      </c>
      <c r="O73" s="8" t="str">
        <f t="shared" si="125"/>
        <v/>
      </c>
      <c r="P73" s="8" t="str">
        <f t="shared" si="126"/>
        <v/>
      </c>
      <c r="Q73" s="30" t="str">
        <f t="shared" si="127"/>
        <v/>
      </c>
      <c r="R73" s="8" t="str">
        <f t="shared" si="128"/>
        <v/>
      </c>
      <c r="S73" s="8" t="str">
        <f t="shared" si="129"/>
        <v>Will Duval (1)</v>
      </c>
      <c r="T73" s="8" t="str">
        <f t="shared" si="130"/>
        <v/>
      </c>
      <c r="U73" s="8" t="str">
        <f t="shared" si="131"/>
        <v/>
      </c>
      <c r="V73" s="8" t="str">
        <f t="shared" si="132"/>
        <v/>
      </c>
      <c r="W73" s="8" t="str">
        <f t="shared" si="133"/>
        <v/>
      </c>
      <c r="X73" s="8" t="str">
        <f t="shared" si="134"/>
        <v/>
      </c>
      <c r="Y73" s="8" t="str">
        <f t="shared" si="135"/>
        <v/>
      </c>
      <c r="Z73" s="8" t="str">
        <f t="shared" si="136"/>
        <v/>
      </c>
      <c r="AA73" s="8" t="str">
        <f t="shared" si="137"/>
        <v/>
      </c>
      <c r="AB73" s="8" t="str">
        <f t="shared" si="138"/>
        <v/>
      </c>
      <c r="AC73" s="8" t="str">
        <f t="shared" si="139"/>
        <v/>
      </c>
      <c r="AD73" s="8" t="str">
        <f t="shared" si="140"/>
        <v/>
      </c>
      <c r="AE73" s="8" t="str">
        <f t="shared" si="141"/>
        <v/>
      </c>
      <c r="AF73" s="8" t="str">
        <f t="shared" si="142"/>
        <v/>
      </c>
      <c r="AG73" s="8" t="str">
        <f t="shared" si="143"/>
        <v/>
      </c>
      <c r="AH73" s="8" t="str">
        <f t="shared" si="144"/>
        <v/>
      </c>
      <c r="AI73" s="8" t="str">
        <f t="shared" si="145"/>
        <v/>
      </c>
      <c r="AJ73" s="8" t="str">
        <f t="shared" si="146"/>
        <v/>
      </c>
      <c r="AK73" s="8" t="str">
        <f t="shared" si="147"/>
        <v/>
      </c>
      <c r="AL73" s="8" t="str">
        <f t="shared" si="148"/>
        <v/>
      </c>
      <c r="AM73" s="8" t="str">
        <f t="shared" si="149"/>
        <v/>
      </c>
      <c r="AN73" s="8" t="str">
        <f t="shared" si="150"/>
        <v/>
      </c>
      <c r="AO73" s="8" t="str">
        <f t="shared" si="151"/>
        <v/>
      </c>
      <c r="AP73" s="8" t="str">
        <f t="shared" si="152"/>
        <v/>
      </c>
      <c r="AQ73" s="8" t="str">
        <f t="shared" si="153"/>
        <v/>
      </c>
      <c r="AR73" s="8" t="str">
        <f t="shared" si="154"/>
        <v/>
      </c>
      <c r="AS73" s="8" t="str">
        <f t="shared" si="155"/>
        <v/>
      </c>
      <c r="AT73" s="8" t="str">
        <f t="shared" si="156"/>
        <v/>
      </c>
      <c r="AU73" s="8" t="str">
        <f t="shared" si="157"/>
        <v/>
      </c>
      <c r="AV73" s="8" t="str">
        <f t="shared" si="158"/>
        <v/>
      </c>
      <c r="AW73" s="8" t="str">
        <f t="shared" si="159"/>
        <v/>
      </c>
      <c r="AX73" s="8" t="str">
        <f t="shared" si="160"/>
        <v/>
      </c>
      <c r="AY73" s="8" t="str">
        <f t="shared" si="161"/>
        <v/>
      </c>
      <c r="AZ73" s="8" t="str">
        <f t="shared" si="162"/>
        <v/>
      </c>
      <c r="BA73" s="8" t="str">
        <f t="shared" si="163"/>
        <v/>
      </c>
      <c r="BB73" s="8" t="str">
        <f t="shared" si="164"/>
        <v/>
      </c>
      <c r="BC73" s="8" t="str">
        <f t="shared" si="165"/>
        <v/>
      </c>
      <c r="BD73" s="8" t="str">
        <f t="shared" si="166"/>
        <v/>
      </c>
      <c r="BE73" s="8" t="str">
        <f t="shared" si="167"/>
        <v/>
      </c>
      <c r="BF73" s="8" t="str">
        <f t="shared" si="168"/>
        <v/>
      </c>
      <c r="BG73" s="8" t="str">
        <f t="shared" si="169"/>
        <v/>
      </c>
      <c r="BH73" s="8" t="str">
        <f t="shared" si="170"/>
        <v/>
      </c>
      <c r="BI73" s="8" t="str">
        <f t="shared" si="171"/>
        <v/>
      </c>
      <c r="BJ73" s="8" t="str">
        <f t="shared" si="172"/>
        <v/>
      </c>
      <c r="BK73" s="8" t="str">
        <f t="shared" si="173"/>
        <v/>
      </c>
      <c r="BL73" s="8" t="str">
        <f t="shared" si="174"/>
        <v/>
      </c>
      <c r="BM73" s="8" t="str">
        <f t="shared" si="94"/>
        <v/>
      </c>
      <c r="BN73" s="8" t="str">
        <f t="shared" si="95"/>
        <v/>
      </c>
      <c r="BO73" s="8" t="str">
        <f t="shared" si="96"/>
        <v/>
      </c>
      <c r="BP73" s="8" t="str">
        <f t="shared" si="97"/>
        <v/>
      </c>
      <c r="BQ73" s="8" t="str">
        <f t="shared" si="98"/>
        <v/>
      </c>
      <c r="BR73" s="8" t="str">
        <f t="shared" si="99"/>
        <v/>
      </c>
      <c r="BS73" s="8" t="str">
        <f t="shared" si="100"/>
        <v/>
      </c>
      <c r="BT73" s="8" t="str">
        <f t="shared" si="101"/>
        <v/>
      </c>
      <c r="BU73" s="8" t="str">
        <f t="shared" si="102"/>
        <v/>
      </c>
      <c r="BV73" s="8" t="str">
        <f t="shared" si="103"/>
        <v/>
      </c>
      <c r="BW73" s="8" t="str">
        <f t="shared" si="104"/>
        <v/>
      </c>
      <c r="BX73" s="8" t="str">
        <f t="shared" si="105"/>
        <v/>
      </c>
      <c r="BY73" s="8" t="str">
        <f t="shared" si="106"/>
        <v/>
      </c>
      <c r="BZ73" s="8" t="str">
        <f t="shared" si="107"/>
        <v/>
      </c>
      <c r="CA73" s="8" t="str">
        <f t="shared" si="108"/>
        <v/>
      </c>
      <c r="CB73" s="8" t="str">
        <f t="shared" si="109"/>
        <v/>
      </c>
      <c r="CC73" s="8" t="str">
        <f t="shared" si="110"/>
        <v/>
      </c>
      <c r="CD73" s="8" t="str">
        <f t="shared" si="111"/>
        <v/>
      </c>
      <c r="CE73" s="8" t="str">
        <f t="shared" si="112"/>
        <v/>
      </c>
      <c r="CF73" s="8" t="str">
        <f t="shared" si="113"/>
        <v/>
      </c>
      <c r="CG73" s="8" t="str">
        <f t="shared" si="114"/>
        <v/>
      </c>
      <c r="CH73" s="8" t="str">
        <f t="shared" si="115"/>
        <v/>
      </c>
      <c r="CI73" s="8" t="str">
        <f t="shared" si="116"/>
        <v/>
      </c>
      <c r="CJ73" s="8" t="str">
        <f t="shared" si="117"/>
        <v/>
      </c>
    </row>
    <row r="74" spans="6:88">
      <c r="F74" s="36"/>
      <c r="G74" s="8">
        <f t="shared" si="118"/>
        <v>14</v>
      </c>
      <c r="I74" s="8" t="str">
        <f t="shared" si="119"/>
        <v/>
      </c>
      <c r="J74" s="8" t="str">
        <f t="shared" si="120"/>
        <v/>
      </c>
      <c r="K74" s="8" t="str">
        <f t="shared" si="121"/>
        <v/>
      </c>
      <c r="L74" s="8" t="str">
        <f t="shared" si="122"/>
        <v/>
      </c>
      <c r="M74" s="8" t="str">
        <f t="shared" si="123"/>
        <v/>
      </c>
      <c r="N74" s="8" t="str">
        <f t="shared" si="124"/>
        <v/>
      </c>
      <c r="O74" s="8" t="str">
        <f t="shared" si="125"/>
        <v/>
      </c>
      <c r="P74" s="8" t="str">
        <f t="shared" si="126"/>
        <v/>
      </c>
      <c r="Q74" s="30" t="str">
        <f t="shared" si="127"/>
        <v/>
      </c>
      <c r="R74" s="8" t="str">
        <f t="shared" si="128"/>
        <v/>
      </c>
      <c r="S74" s="8" t="str">
        <f t="shared" si="129"/>
        <v>Eugene Fung</v>
      </c>
      <c r="T74" s="8" t="str">
        <f t="shared" si="130"/>
        <v/>
      </c>
      <c r="U74" s="8" t="str">
        <f t="shared" si="131"/>
        <v/>
      </c>
      <c r="V74" s="8" t="str">
        <f t="shared" si="132"/>
        <v/>
      </c>
      <c r="W74" s="8" t="str">
        <f t="shared" si="133"/>
        <v/>
      </c>
      <c r="X74" s="8" t="str">
        <f t="shared" si="134"/>
        <v/>
      </c>
      <c r="Y74" s="8" t="str">
        <f t="shared" si="135"/>
        <v/>
      </c>
      <c r="Z74" s="8" t="str">
        <f t="shared" si="136"/>
        <v/>
      </c>
      <c r="AA74" s="8" t="str">
        <f t="shared" si="137"/>
        <v/>
      </c>
      <c r="AB74" s="8" t="str">
        <f t="shared" si="138"/>
        <v/>
      </c>
      <c r="AC74" s="8" t="str">
        <f t="shared" si="139"/>
        <v/>
      </c>
      <c r="AD74" s="8" t="str">
        <f t="shared" si="140"/>
        <v/>
      </c>
      <c r="AE74" s="8" t="str">
        <f t="shared" si="141"/>
        <v/>
      </c>
      <c r="AF74" s="8" t="str">
        <f t="shared" si="142"/>
        <v/>
      </c>
      <c r="AG74" s="8" t="str">
        <f t="shared" si="143"/>
        <v/>
      </c>
      <c r="AH74" s="8" t="str">
        <f t="shared" si="144"/>
        <v/>
      </c>
      <c r="AI74" s="8" t="str">
        <f t="shared" si="145"/>
        <v/>
      </c>
      <c r="AJ74" s="8" t="str">
        <f t="shared" si="146"/>
        <v/>
      </c>
      <c r="AK74" s="8" t="str">
        <f t="shared" si="147"/>
        <v/>
      </c>
      <c r="AL74" s="8" t="str">
        <f t="shared" si="148"/>
        <v/>
      </c>
      <c r="AM74" s="8" t="str">
        <f t="shared" si="149"/>
        <v/>
      </c>
      <c r="AN74" s="8" t="str">
        <f t="shared" si="150"/>
        <v/>
      </c>
      <c r="AO74" s="8" t="str">
        <f t="shared" si="151"/>
        <v/>
      </c>
      <c r="AP74" s="8" t="str">
        <f t="shared" si="152"/>
        <v/>
      </c>
      <c r="AQ74" s="8" t="str">
        <f t="shared" si="153"/>
        <v/>
      </c>
      <c r="AR74" s="8" t="str">
        <f t="shared" si="154"/>
        <v/>
      </c>
      <c r="AS74" s="8" t="str">
        <f t="shared" si="155"/>
        <v/>
      </c>
      <c r="AT74" s="8" t="str">
        <f t="shared" si="156"/>
        <v/>
      </c>
      <c r="AU74" s="8" t="str">
        <f t="shared" si="157"/>
        <v/>
      </c>
      <c r="AV74" s="8" t="str">
        <f t="shared" si="158"/>
        <v/>
      </c>
      <c r="AW74" s="8" t="str">
        <f t="shared" si="159"/>
        <v/>
      </c>
      <c r="AX74" s="8" t="str">
        <f t="shared" si="160"/>
        <v/>
      </c>
      <c r="AY74" s="8" t="str">
        <f t="shared" si="161"/>
        <v/>
      </c>
      <c r="AZ74" s="8" t="str">
        <f t="shared" si="162"/>
        <v/>
      </c>
      <c r="BA74" s="8" t="str">
        <f t="shared" si="163"/>
        <v/>
      </c>
      <c r="BB74" s="8" t="str">
        <f t="shared" si="164"/>
        <v/>
      </c>
      <c r="BC74" s="8" t="str">
        <f t="shared" si="165"/>
        <v/>
      </c>
      <c r="BD74" s="8" t="str">
        <f t="shared" si="166"/>
        <v/>
      </c>
      <c r="BE74" s="8" t="str">
        <f t="shared" si="167"/>
        <v/>
      </c>
      <c r="BF74" s="8" t="str">
        <f t="shared" si="168"/>
        <v/>
      </c>
      <c r="BG74" s="8" t="str">
        <f t="shared" si="169"/>
        <v/>
      </c>
      <c r="BH74" s="8" t="str">
        <f t="shared" si="170"/>
        <v/>
      </c>
      <c r="BI74" s="8" t="str">
        <f t="shared" si="171"/>
        <v/>
      </c>
      <c r="BJ74" s="8" t="str">
        <f t="shared" si="172"/>
        <v/>
      </c>
      <c r="BK74" s="8" t="str">
        <f t="shared" si="173"/>
        <v/>
      </c>
      <c r="BL74" s="8" t="str">
        <f t="shared" si="174"/>
        <v/>
      </c>
      <c r="BM74" s="8" t="str">
        <f t="shared" si="94"/>
        <v/>
      </c>
      <c r="BN74" s="8" t="str">
        <f t="shared" si="95"/>
        <v/>
      </c>
      <c r="BO74" s="8" t="str">
        <f t="shared" si="96"/>
        <v/>
      </c>
      <c r="BP74" s="8" t="str">
        <f t="shared" si="97"/>
        <v/>
      </c>
      <c r="BQ74" s="8" t="str">
        <f t="shared" si="98"/>
        <v/>
      </c>
      <c r="BR74" s="8" t="str">
        <f t="shared" si="99"/>
        <v/>
      </c>
      <c r="BS74" s="8" t="str">
        <f t="shared" si="100"/>
        <v/>
      </c>
      <c r="BT74" s="8" t="str">
        <f t="shared" si="101"/>
        <v/>
      </c>
      <c r="BU74" s="8" t="str">
        <f t="shared" si="102"/>
        <v/>
      </c>
      <c r="BV74" s="8" t="str">
        <f t="shared" si="103"/>
        <v/>
      </c>
      <c r="BW74" s="8" t="str">
        <f t="shared" si="104"/>
        <v/>
      </c>
      <c r="BX74" s="8" t="str">
        <f t="shared" si="105"/>
        <v/>
      </c>
      <c r="BY74" s="8" t="str">
        <f t="shared" si="106"/>
        <v/>
      </c>
      <c r="BZ74" s="8" t="str">
        <f t="shared" si="107"/>
        <v/>
      </c>
      <c r="CA74" s="8" t="str">
        <f t="shared" si="108"/>
        <v/>
      </c>
      <c r="CB74" s="8" t="str">
        <f t="shared" si="109"/>
        <v/>
      </c>
      <c r="CC74" s="8" t="str">
        <f t="shared" si="110"/>
        <v/>
      </c>
      <c r="CD74" s="8" t="str">
        <f t="shared" si="111"/>
        <v/>
      </c>
      <c r="CE74" s="8" t="str">
        <f t="shared" si="112"/>
        <v/>
      </c>
      <c r="CF74" s="8" t="str">
        <f t="shared" si="113"/>
        <v/>
      </c>
      <c r="CG74" s="8" t="str">
        <f t="shared" si="114"/>
        <v/>
      </c>
      <c r="CH74" s="8" t="str">
        <f t="shared" si="115"/>
        <v/>
      </c>
      <c r="CI74" s="8" t="str">
        <f t="shared" si="116"/>
        <v/>
      </c>
      <c r="CJ74" s="8" t="str">
        <f t="shared" si="117"/>
        <v/>
      </c>
    </row>
    <row r="75" spans="6:88">
      <c r="F75" s="36"/>
      <c r="G75" s="8">
        <f t="shared" si="118"/>
        <v>15</v>
      </c>
      <c r="I75" s="8" t="str">
        <f t="shared" si="119"/>
        <v/>
      </c>
      <c r="J75" s="8" t="str">
        <f t="shared" si="120"/>
        <v/>
      </c>
      <c r="K75" s="8" t="str">
        <f t="shared" si="121"/>
        <v/>
      </c>
      <c r="L75" s="8" t="str">
        <f t="shared" si="122"/>
        <v/>
      </c>
      <c r="M75" s="8" t="str">
        <f t="shared" si="123"/>
        <v/>
      </c>
      <c r="N75" s="8" t="str">
        <f t="shared" si="124"/>
        <v/>
      </c>
      <c r="O75" s="8" t="str">
        <f t="shared" si="125"/>
        <v/>
      </c>
      <c r="P75" s="8" t="str">
        <f t="shared" si="126"/>
        <v/>
      </c>
      <c r="Q75" s="30" t="str">
        <f t="shared" si="127"/>
        <v/>
      </c>
      <c r="R75" s="8" t="str">
        <f t="shared" si="128"/>
        <v/>
      </c>
      <c r="S75" s="8" t="str">
        <f t="shared" si="129"/>
        <v/>
      </c>
      <c r="T75" s="8" t="str">
        <f t="shared" si="130"/>
        <v/>
      </c>
      <c r="U75" s="8" t="str">
        <f t="shared" si="131"/>
        <v/>
      </c>
      <c r="V75" s="8" t="str">
        <f t="shared" si="132"/>
        <v/>
      </c>
      <c r="W75" s="8" t="str">
        <f t="shared" si="133"/>
        <v/>
      </c>
      <c r="X75" s="8" t="str">
        <f t="shared" si="134"/>
        <v/>
      </c>
      <c r="Y75" s="8" t="str">
        <f t="shared" si="135"/>
        <v/>
      </c>
      <c r="Z75" s="8" t="str">
        <f t="shared" si="136"/>
        <v/>
      </c>
      <c r="AA75" s="8" t="str">
        <f t="shared" si="137"/>
        <v/>
      </c>
      <c r="AB75" s="8" t="str">
        <f t="shared" si="138"/>
        <v/>
      </c>
      <c r="AC75" s="8" t="str">
        <f t="shared" si="139"/>
        <v/>
      </c>
      <c r="AD75" s="8" t="str">
        <f t="shared" si="140"/>
        <v/>
      </c>
      <c r="AE75" s="8" t="str">
        <f t="shared" si="141"/>
        <v/>
      </c>
      <c r="AF75" s="8" t="str">
        <f t="shared" si="142"/>
        <v/>
      </c>
      <c r="AG75" s="8" t="str">
        <f t="shared" si="143"/>
        <v/>
      </c>
      <c r="AH75" s="8" t="str">
        <f t="shared" si="144"/>
        <v/>
      </c>
      <c r="AI75" s="8" t="str">
        <f t="shared" si="145"/>
        <v/>
      </c>
      <c r="AJ75" s="8" t="str">
        <f t="shared" si="146"/>
        <v/>
      </c>
      <c r="AK75" s="8" t="str">
        <f t="shared" si="147"/>
        <v/>
      </c>
      <c r="AL75" s="8" t="str">
        <f t="shared" si="148"/>
        <v/>
      </c>
      <c r="AM75" s="8" t="str">
        <f t="shared" si="149"/>
        <v/>
      </c>
      <c r="AN75" s="8" t="str">
        <f t="shared" si="150"/>
        <v/>
      </c>
      <c r="AO75" s="8" t="str">
        <f t="shared" si="151"/>
        <v/>
      </c>
      <c r="AP75" s="8" t="str">
        <f t="shared" si="152"/>
        <v/>
      </c>
      <c r="AQ75" s="8" t="str">
        <f t="shared" si="153"/>
        <v/>
      </c>
      <c r="AR75" s="8" t="str">
        <f t="shared" si="154"/>
        <v/>
      </c>
      <c r="AS75" s="8" t="str">
        <f t="shared" si="155"/>
        <v/>
      </c>
      <c r="AT75" s="8" t="str">
        <f t="shared" si="156"/>
        <v/>
      </c>
      <c r="AU75" s="8" t="str">
        <f t="shared" si="157"/>
        <v/>
      </c>
      <c r="AV75" s="8" t="str">
        <f t="shared" si="158"/>
        <v/>
      </c>
      <c r="AW75" s="8" t="str">
        <f t="shared" si="159"/>
        <v/>
      </c>
      <c r="AX75" s="8" t="str">
        <f t="shared" si="160"/>
        <v>Sam Guest (1)</v>
      </c>
      <c r="AY75" s="8" t="str">
        <f t="shared" si="161"/>
        <v/>
      </c>
      <c r="AZ75" s="8" t="str">
        <f t="shared" si="162"/>
        <v/>
      </c>
      <c r="BA75" s="8" t="str">
        <f t="shared" si="163"/>
        <v/>
      </c>
      <c r="BB75" s="8" t="str">
        <f t="shared" si="164"/>
        <v/>
      </c>
      <c r="BC75" s="8" t="str">
        <f t="shared" si="165"/>
        <v/>
      </c>
      <c r="BD75" s="8" t="str">
        <f t="shared" si="166"/>
        <v/>
      </c>
      <c r="BE75" s="8" t="str">
        <f t="shared" si="167"/>
        <v/>
      </c>
      <c r="BF75" s="8" t="str">
        <f t="shared" si="168"/>
        <v>Sam Guest</v>
      </c>
      <c r="BG75" s="8" t="str">
        <f t="shared" si="169"/>
        <v/>
      </c>
      <c r="BH75" s="8" t="str">
        <f t="shared" si="170"/>
        <v/>
      </c>
      <c r="BI75" s="8" t="str">
        <f t="shared" si="171"/>
        <v/>
      </c>
      <c r="BJ75" s="8" t="str">
        <f t="shared" si="172"/>
        <v/>
      </c>
      <c r="BK75" s="8" t="str">
        <f t="shared" si="173"/>
        <v/>
      </c>
      <c r="BL75" s="8" t="str">
        <f t="shared" si="174"/>
        <v/>
      </c>
      <c r="BM75" s="8" t="str">
        <f t="shared" si="94"/>
        <v/>
      </c>
      <c r="BN75" s="8" t="str">
        <f t="shared" si="95"/>
        <v/>
      </c>
      <c r="BO75" s="8" t="str">
        <f t="shared" si="96"/>
        <v/>
      </c>
      <c r="BP75" s="8" t="str">
        <f t="shared" si="97"/>
        <v/>
      </c>
      <c r="BQ75" s="8" t="str">
        <f t="shared" si="98"/>
        <v/>
      </c>
      <c r="BR75" s="8" t="str">
        <f t="shared" si="99"/>
        <v/>
      </c>
      <c r="BS75" s="8" t="str">
        <f t="shared" si="100"/>
        <v/>
      </c>
      <c r="BT75" s="8" t="str">
        <f t="shared" si="101"/>
        <v/>
      </c>
      <c r="BU75" s="8" t="str">
        <f t="shared" si="102"/>
        <v/>
      </c>
      <c r="BV75" s="8" t="str">
        <f t="shared" si="103"/>
        <v/>
      </c>
      <c r="BW75" s="8" t="str">
        <f t="shared" si="104"/>
        <v/>
      </c>
      <c r="BX75" s="8" t="str">
        <f t="shared" si="105"/>
        <v/>
      </c>
      <c r="BY75" s="8" t="str">
        <f t="shared" si="106"/>
        <v/>
      </c>
      <c r="BZ75" s="8" t="str">
        <f t="shared" si="107"/>
        <v/>
      </c>
      <c r="CA75" s="8" t="str">
        <f t="shared" si="108"/>
        <v/>
      </c>
      <c r="CB75" s="8" t="str">
        <f t="shared" si="109"/>
        <v/>
      </c>
      <c r="CC75" s="8" t="str">
        <f t="shared" si="110"/>
        <v/>
      </c>
      <c r="CD75" s="8" t="str">
        <f t="shared" si="111"/>
        <v/>
      </c>
      <c r="CE75" s="8" t="str">
        <f t="shared" si="112"/>
        <v/>
      </c>
      <c r="CF75" s="8" t="str">
        <f t="shared" si="113"/>
        <v/>
      </c>
      <c r="CG75" s="8" t="str">
        <f t="shared" si="114"/>
        <v/>
      </c>
      <c r="CH75" s="8" t="str">
        <f t="shared" si="115"/>
        <v>Sam Guest</v>
      </c>
      <c r="CI75" s="8" t="str">
        <f t="shared" si="116"/>
        <v/>
      </c>
      <c r="CJ75" s="8" t="str">
        <f t="shared" si="117"/>
        <v/>
      </c>
    </row>
    <row r="76" spans="6:88">
      <c r="F76" s="36"/>
      <c r="G76" s="8">
        <f t="shared" si="118"/>
        <v>16</v>
      </c>
      <c r="I76" s="8" t="str">
        <f t="shared" si="119"/>
        <v/>
      </c>
      <c r="J76" s="8" t="str">
        <f t="shared" si="120"/>
        <v/>
      </c>
      <c r="K76" s="8" t="str">
        <f t="shared" si="121"/>
        <v/>
      </c>
      <c r="L76" s="8" t="str">
        <f t="shared" si="122"/>
        <v/>
      </c>
      <c r="M76" s="8" t="str">
        <f t="shared" si="123"/>
        <v/>
      </c>
      <c r="N76" s="8" t="str">
        <f t="shared" si="124"/>
        <v/>
      </c>
      <c r="O76" s="8" t="str">
        <f t="shared" si="125"/>
        <v/>
      </c>
      <c r="P76" s="8" t="str">
        <f t="shared" si="126"/>
        <v/>
      </c>
      <c r="Q76" s="30" t="str">
        <f t="shared" si="127"/>
        <v/>
      </c>
      <c r="R76" s="8" t="str">
        <f t="shared" si="128"/>
        <v/>
      </c>
      <c r="S76" s="8" t="str">
        <f t="shared" si="129"/>
        <v/>
      </c>
      <c r="T76" s="8" t="str">
        <f t="shared" si="130"/>
        <v/>
      </c>
      <c r="U76" s="8" t="str">
        <f t="shared" si="131"/>
        <v/>
      </c>
      <c r="V76" s="8" t="str">
        <f t="shared" si="132"/>
        <v/>
      </c>
      <c r="W76" s="8" t="str">
        <f t="shared" si="133"/>
        <v/>
      </c>
      <c r="X76" s="8" t="str">
        <f t="shared" si="134"/>
        <v/>
      </c>
      <c r="Y76" s="8" t="str">
        <f t="shared" si="135"/>
        <v/>
      </c>
      <c r="Z76" s="8" t="str">
        <f t="shared" si="136"/>
        <v/>
      </c>
      <c r="AA76" s="8" t="str">
        <f t="shared" si="137"/>
        <v>Jacob Hall (1)</v>
      </c>
      <c r="AB76" s="8" t="str">
        <f t="shared" si="138"/>
        <v/>
      </c>
      <c r="AC76" s="8" t="str">
        <f t="shared" si="139"/>
        <v/>
      </c>
      <c r="AD76" s="8" t="str">
        <f t="shared" si="140"/>
        <v/>
      </c>
      <c r="AE76" s="8" t="str">
        <f t="shared" si="141"/>
        <v/>
      </c>
      <c r="AF76" s="8" t="str">
        <f t="shared" si="142"/>
        <v/>
      </c>
      <c r="AG76" s="8" t="str">
        <f t="shared" si="143"/>
        <v/>
      </c>
      <c r="AH76" s="8" t="str">
        <f t="shared" si="144"/>
        <v/>
      </c>
      <c r="AI76" s="8" t="str">
        <f t="shared" si="145"/>
        <v/>
      </c>
      <c r="AJ76" s="8" t="str">
        <f t="shared" si="146"/>
        <v/>
      </c>
      <c r="AK76" s="8" t="str">
        <f t="shared" si="147"/>
        <v/>
      </c>
      <c r="AL76" s="8" t="str">
        <f t="shared" si="148"/>
        <v/>
      </c>
      <c r="AM76" s="8" t="str">
        <f t="shared" si="149"/>
        <v>Jacob Hall</v>
      </c>
      <c r="AN76" s="8" t="str">
        <f t="shared" si="150"/>
        <v/>
      </c>
      <c r="AO76" s="8" t="str">
        <f t="shared" si="151"/>
        <v/>
      </c>
      <c r="AP76" s="8" t="str">
        <f t="shared" si="152"/>
        <v/>
      </c>
      <c r="AQ76" s="8" t="str">
        <f t="shared" si="153"/>
        <v/>
      </c>
      <c r="AR76" s="8" t="str">
        <f t="shared" si="154"/>
        <v/>
      </c>
      <c r="AS76" s="8" t="str">
        <f t="shared" si="155"/>
        <v/>
      </c>
      <c r="AT76" s="8" t="str">
        <f t="shared" si="156"/>
        <v/>
      </c>
      <c r="AU76" s="8" t="str">
        <f t="shared" si="157"/>
        <v/>
      </c>
      <c r="AV76" s="8" t="str">
        <f t="shared" si="158"/>
        <v/>
      </c>
      <c r="AW76" s="8" t="str">
        <f t="shared" si="159"/>
        <v/>
      </c>
      <c r="AX76" s="8" t="str">
        <f t="shared" si="160"/>
        <v/>
      </c>
      <c r="AY76" s="8" t="str">
        <f t="shared" si="161"/>
        <v>Jacob Hall</v>
      </c>
      <c r="AZ76" s="8" t="str">
        <f t="shared" si="162"/>
        <v/>
      </c>
      <c r="BA76" s="8" t="str">
        <f t="shared" si="163"/>
        <v/>
      </c>
      <c r="BB76" s="8" t="str">
        <f t="shared" si="164"/>
        <v/>
      </c>
      <c r="BC76" s="8" t="str">
        <f t="shared" si="165"/>
        <v>Jacob Hall</v>
      </c>
      <c r="BD76" s="8" t="str">
        <f t="shared" si="166"/>
        <v/>
      </c>
      <c r="BE76" s="8" t="str">
        <f t="shared" si="167"/>
        <v/>
      </c>
      <c r="BF76" s="8" t="str">
        <f t="shared" si="168"/>
        <v/>
      </c>
      <c r="BG76" s="8" t="str">
        <f t="shared" si="169"/>
        <v>Jacob Hall</v>
      </c>
      <c r="BH76" s="8" t="str">
        <f t="shared" si="170"/>
        <v/>
      </c>
      <c r="BI76" s="8" t="str">
        <f t="shared" si="171"/>
        <v/>
      </c>
      <c r="BJ76" s="8" t="str">
        <f t="shared" si="172"/>
        <v/>
      </c>
      <c r="BK76" s="8" t="str">
        <f t="shared" si="173"/>
        <v/>
      </c>
      <c r="BL76" s="8" t="str">
        <f t="shared" si="174"/>
        <v/>
      </c>
      <c r="BM76" s="8" t="str">
        <f t="shared" si="94"/>
        <v/>
      </c>
      <c r="BN76" s="8" t="str">
        <f t="shared" si="95"/>
        <v/>
      </c>
      <c r="BO76" s="8" t="str">
        <f t="shared" si="96"/>
        <v/>
      </c>
      <c r="BP76" s="8" t="str">
        <f t="shared" si="97"/>
        <v/>
      </c>
      <c r="BQ76" s="8" t="str">
        <f t="shared" si="98"/>
        <v/>
      </c>
      <c r="BR76" s="8" t="str">
        <f t="shared" si="99"/>
        <v/>
      </c>
      <c r="BS76" s="8" t="str">
        <f t="shared" si="100"/>
        <v/>
      </c>
      <c r="BT76" s="8" t="str">
        <f t="shared" si="101"/>
        <v/>
      </c>
      <c r="BU76" s="8" t="str">
        <f t="shared" si="102"/>
        <v/>
      </c>
      <c r="BV76" s="8" t="str">
        <f t="shared" si="103"/>
        <v/>
      </c>
      <c r="BW76" s="8" t="str">
        <f t="shared" si="104"/>
        <v/>
      </c>
      <c r="BX76" s="8" t="str">
        <f t="shared" si="105"/>
        <v/>
      </c>
      <c r="BY76" s="8" t="str">
        <f t="shared" si="106"/>
        <v/>
      </c>
      <c r="BZ76" s="8" t="str">
        <f t="shared" si="107"/>
        <v/>
      </c>
      <c r="CA76" s="8" t="str">
        <f t="shared" si="108"/>
        <v/>
      </c>
      <c r="CB76" s="8" t="str">
        <f t="shared" si="109"/>
        <v/>
      </c>
      <c r="CC76" s="8" t="str">
        <f t="shared" si="110"/>
        <v/>
      </c>
      <c r="CD76" s="8" t="str">
        <f t="shared" si="111"/>
        <v/>
      </c>
      <c r="CE76" s="8" t="str">
        <f t="shared" si="112"/>
        <v/>
      </c>
      <c r="CF76" s="8" t="str">
        <f t="shared" si="113"/>
        <v/>
      </c>
      <c r="CG76" s="8" t="str">
        <f t="shared" si="114"/>
        <v/>
      </c>
      <c r="CH76" s="8" t="str">
        <f t="shared" si="115"/>
        <v/>
      </c>
      <c r="CI76" s="8" t="str">
        <f t="shared" si="116"/>
        <v/>
      </c>
      <c r="CJ76" s="8" t="str">
        <f t="shared" si="117"/>
        <v/>
      </c>
    </row>
    <row r="77" spans="6:88">
      <c r="F77" s="36"/>
      <c r="G77" s="8">
        <f t="shared" si="118"/>
        <v>17</v>
      </c>
      <c r="I77" s="8" t="str">
        <f t="shared" si="119"/>
        <v/>
      </c>
      <c r="J77" s="8" t="str">
        <f t="shared" si="120"/>
        <v/>
      </c>
      <c r="K77" s="8" t="str">
        <f t="shared" si="121"/>
        <v/>
      </c>
      <c r="L77" s="8" t="str">
        <f t="shared" si="122"/>
        <v/>
      </c>
      <c r="M77" s="8" t="str">
        <f t="shared" si="123"/>
        <v/>
      </c>
      <c r="N77" s="8" t="str">
        <f t="shared" si="124"/>
        <v/>
      </c>
      <c r="O77" s="8" t="str">
        <f t="shared" si="125"/>
        <v/>
      </c>
      <c r="P77" s="8" t="str">
        <f t="shared" si="126"/>
        <v/>
      </c>
      <c r="Q77" s="30" t="str">
        <f t="shared" si="127"/>
        <v/>
      </c>
      <c r="R77" s="8" t="str">
        <f t="shared" si="128"/>
        <v/>
      </c>
      <c r="S77" s="8" t="str">
        <f t="shared" si="129"/>
        <v/>
      </c>
      <c r="T77" s="8" t="str">
        <f t="shared" si="130"/>
        <v/>
      </c>
      <c r="U77" s="8" t="str">
        <f t="shared" si="131"/>
        <v/>
      </c>
      <c r="V77" s="8" t="str">
        <f t="shared" si="132"/>
        <v/>
      </c>
      <c r="W77" s="8" t="str">
        <f t="shared" si="133"/>
        <v/>
      </c>
      <c r="X77" s="8" t="str">
        <f t="shared" si="134"/>
        <v/>
      </c>
      <c r="Y77" s="8" t="str">
        <f t="shared" si="135"/>
        <v/>
      </c>
      <c r="Z77" s="8" t="str">
        <f t="shared" si="136"/>
        <v/>
      </c>
      <c r="AA77" s="8" t="str">
        <f t="shared" si="137"/>
        <v/>
      </c>
      <c r="AB77" s="8" t="str">
        <f t="shared" si="138"/>
        <v/>
      </c>
      <c r="AC77" s="8" t="str">
        <f t="shared" si="139"/>
        <v/>
      </c>
      <c r="AD77" s="8" t="str">
        <f t="shared" si="140"/>
        <v/>
      </c>
      <c r="AE77" s="8" t="str">
        <f t="shared" si="141"/>
        <v/>
      </c>
      <c r="AF77" s="8" t="str">
        <f t="shared" si="142"/>
        <v/>
      </c>
      <c r="AG77" s="8" t="str">
        <f t="shared" si="143"/>
        <v/>
      </c>
      <c r="AH77" s="8" t="str">
        <f t="shared" si="144"/>
        <v/>
      </c>
      <c r="AI77" s="8" t="str">
        <f t="shared" si="145"/>
        <v/>
      </c>
      <c r="AJ77" s="8" t="str">
        <f t="shared" si="146"/>
        <v/>
      </c>
      <c r="AK77" s="8" t="str">
        <f t="shared" si="147"/>
        <v/>
      </c>
      <c r="AL77" s="8" t="str">
        <f t="shared" si="148"/>
        <v/>
      </c>
      <c r="AM77" s="8" t="str">
        <f t="shared" si="149"/>
        <v/>
      </c>
      <c r="AN77" s="8" t="str">
        <f t="shared" si="150"/>
        <v/>
      </c>
      <c r="AO77" s="8" t="str">
        <f t="shared" si="151"/>
        <v/>
      </c>
      <c r="AP77" s="8" t="str">
        <f t="shared" si="152"/>
        <v/>
      </c>
      <c r="AQ77" s="8" t="str">
        <f t="shared" si="153"/>
        <v/>
      </c>
      <c r="AR77" s="8" t="str">
        <f t="shared" si="154"/>
        <v/>
      </c>
      <c r="AS77" s="8" t="str">
        <f t="shared" si="155"/>
        <v/>
      </c>
      <c r="AT77" s="8" t="str">
        <f t="shared" si="156"/>
        <v/>
      </c>
      <c r="AU77" s="8" t="str">
        <f t="shared" si="157"/>
        <v/>
      </c>
      <c r="AV77" s="8" t="str">
        <f t="shared" si="158"/>
        <v/>
      </c>
      <c r="AW77" s="8" t="str">
        <f t="shared" si="159"/>
        <v/>
      </c>
      <c r="AX77" s="8" t="str">
        <f t="shared" si="160"/>
        <v/>
      </c>
      <c r="AY77" s="8" t="str">
        <f t="shared" si="161"/>
        <v/>
      </c>
      <c r="AZ77" s="8" t="str">
        <f t="shared" si="162"/>
        <v/>
      </c>
      <c r="BA77" s="8" t="str">
        <f t="shared" si="163"/>
        <v/>
      </c>
      <c r="BB77" s="8" t="str">
        <f t="shared" si="164"/>
        <v/>
      </c>
      <c r="BC77" s="8" t="str">
        <f t="shared" si="165"/>
        <v/>
      </c>
      <c r="BD77" s="8" t="str">
        <f t="shared" si="166"/>
        <v/>
      </c>
      <c r="BE77" s="8" t="str">
        <f t="shared" si="167"/>
        <v/>
      </c>
      <c r="BF77" s="8" t="str">
        <f t="shared" si="168"/>
        <v/>
      </c>
      <c r="BG77" s="8" t="str">
        <f t="shared" si="169"/>
        <v/>
      </c>
      <c r="BH77" s="8" t="str">
        <f t="shared" si="170"/>
        <v/>
      </c>
      <c r="BI77" s="8" t="str">
        <f t="shared" si="171"/>
        <v/>
      </c>
      <c r="BJ77" s="8" t="str">
        <f t="shared" si="172"/>
        <v/>
      </c>
      <c r="BK77" s="8" t="str">
        <f t="shared" si="173"/>
        <v/>
      </c>
      <c r="BL77" s="8" t="str">
        <f t="shared" si="174"/>
        <v/>
      </c>
      <c r="BM77" s="8" t="str">
        <f t="shared" si="94"/>
        <v/>
      </c>
      <c r="BN77" s="8" t="str">
        <f t="shared" si="95"/>
        <v/>
      </c>
      <c r="BO77" s="8" t="str">
        <f t="shared" si="96"/>
        <v/>
      </c>
      <c r="BP77" s="8" t="str">
        <f t="shared" si="97"/>
        <v/>
      </c>
      <c r="BQ77" s="8" t="str">
        <f t="shared" si="98"/>
        <v/>
      </c>
      <c r="BR77" s="8" t="str">
        <f t="shared" si="99"/>
        <v/>
      </c>
      <c r="BS77" s="8" t="str">
        <f t="shared" si="100"/>
        <v/>
      </c>
      <c r="BT77" s="8" t="str">
        <f t="shared" si="101"/>
        <v>Sam Hallows</v>
      </c>
      <c r="BU77" s="8" t="str">
        <f t="shared" si="102"/>
        <v/>
      </c>
      <c r="BV77" s="8" t="str">
        <f t="shared" si="103"/>
        <v/>
      </c>
      <c r="BW77" s="8" t="str">
        <f t="shared" si="104"/>
        <v/>
      </c>
      <c r="BX77" s="8" t="str">
        <f t="shared" si="105"/>
        <v/>
      </c>
      <c r="BY77" s="8" t="str">
        <f t="shared" si="106"/>
        <v/>
      </c>
      <c r="BZ77" s="8" t="str">
        <f t="shared" si="107"/>
        <v/>
      </c>
      <c r="CA77" s="8" t="str">
        <f t="shared" si="108"/>
        <v/>
      </c>
      <c r="CB77" s="8" t="str">
        <f t="shared" si="109"/>
        <v/>
      </c>
      <c r="CC77" s="8" t="str">
        <f t="shared" si="110"/>
        <v/>
      </c>
      <c r="CD77" s="8" t="str">
        <f t="shared" si="111"/>
        <v/>
      </c>
      <c r="CE77" s="8" t="str">
        <f t="shared" si="112"/>
        <v/>
      </c>
      <c r="CF77" s="8" t="str">
        <f t="shared" si="113"/>
        <v>Sam Hallows</v>
      </c>
      <c r="CG77" s="8" t="str">
        <f t="shared" si="114"/>
        <v/>
      </c>
      <c r="CH77" s="8" t="str">
        <f t="shared" si="115"/>
        <v/>
      </c>
      <c r="CI77" s="8" t="str">
        <f t="shared" si="116"/>
        <v/>
      </c>
      <c r="CJ77" s="8" t="str">
        <f t="shared" si="117"/>
        <v>Sam Hallows</v>
      </c>
    </row>
    <row r="78" spans="6:88">
      <c r="F78" s="36"/>
      <c r="G78" s="8">
        <f t="shared" si="118"/>
        <v>18</v>
      </c>
      <c r="I78" s="8" t="str">
        <f t="shared" si="119"/>
        <v/>
      </c>
      <c r="J78" s="8" t="str">
        <f t="shared" si="120"/>
        <v/>
      </c>
      <c r="K78" s="8" t="str">
        <f t="shared" si="121"/>
        <v/>
      </c>
      <c r="L78" s="8" t="str">
        <f t="shared" si="122"/>
        <v/>
      </c>
      <c r="M78" s="8" t="str">
        <f t="shared" si="123"/>
        <v/>
      </c>
      <c r="N78" s="8" t="str">
        <f t="shared" si="124"/>
        <v/>
      </c>
      <c r="O78" s="8" t="str">
        <f t="shared" si="125"/>
        <v/>
      </c>
      <c r="P78" s="8" t="str">
        <f t="shared" si="126"/>
        <v/>
      </c>
      <c r="Q78" s="30" t="str">
        <f t="shared" si="127"/>
        <v/>
      </c>
      <c r="R78" s="8" t="str">
        <f t="shared" si="128"/>
        <v/>
      </c>
      <c r="S78" s="8" t="str">
        <f t="shared" si="129"/>
        <v/>
      </c>
      <c r="T78" s="8" t="str">
        <f t="shared" si="130"/>
        <v/>
      </c>
      <c r="U78" s="8" t="str">
        <f t="shared" si="131"/>
        <v/>
      </c>
      <c r="V78" s="8" t="str">
        <f t="shared" si="132"/>
        <v/>
      </c>
      <c r="W78" s="8" t="str">
        <f t="shared" si="133"/>
        <v/>
      </c>
      <c r="X78" s="8" t="str">
        <f t="shared" si="134"/>
        <v/>
      </c>
      <c r="Y78" s="8" t="str">
        <f t="shared" si="135"/>
        <v/>
      </c>
      <c r="Z78" s="8" t="str">
        <f t="shared" si="136"/>
        <v/>
      </c>
      <c r="AA78" s="8" t="str">
        <f t="shared" si="137"/>
        <v/>
      </c>
      <c r="AB78" s="8" t="str">
        <f t="shared" si="138"/>
        <v/>
      </c>
      <c r="AC78" s="8" t="str">
        <f t="shared" si="139"/>
        <v/>
      </c>
      <c r="AD78" s="8" t="str">
        <f t="shared" si="140"/>
        <v/>
      </c>
      <c r="AE78" s="8" t="str">
        <f t="shared" si="141"/>
        <v/>
      </c>
      <c r="AF78" s="8" t="str">
        <f t="shared" si="142"/>
        <v/>
      </c>
      <c r="AG78" s="8" t="str">
        <f t="shared" si="143"/>
        <v/>
      </c>
      <c r="AH78" s="8" t="str">
        <f t="shared" si="144"/>
        <v/>
      </c>
      <c r="AI78" s="8" t="str">
        <f t="shared" si="145"/>
        <v/>
      </c>
      <c r="AJ78" s="8" t="str">
        <f t="shared" si="146"/>
        <v/>
      </c>
      <c r="AK78" s="8" t="str">
        <f t="shared" si="147"/>
        <v/>
      </c>
      <c r="AL78" s="8" t="str">
        <f t="shared" si="148"/>
        <v/>
      </c>
      <c r="AM78" s="8" t="str">
        <f t="shared" si="149"/>
        <v/>
      </c>
      <c r="AN78" s="8" t="str">
        <f t="shared" si="150"/>
        <v/>
      </c>
      <c r="AO78" s="8" t="str">
        <f t="shared" si="151"/>
        <v/>
      </c>
      <c r="AP78" s="8" t="str">
        <f t="shared" si="152"/>
        <v/>
      </c>
      <c r="AQ78" s="8" t="str">
        <f t="shared" si="153"/>
        <v/>
      </c>
      <c r="AR78" s="8" t="str">
        <f t="shared" si="154"/>
        <v/>
      </c>
      <c r="AS78" s="8" t="str">
        <f t="shared" si="155"/>
        <v/>
      </c>
      <c r="AT78" s="8" t="str">
        <f t="shared" si="156"/>
        <v/>
      </c>
      <c r="AU78" s="8" t="str">
        <f t="shared" si="157"/>
        <v/>
      </c>
      <c r="AV78" s="8" t="str">
        <f t="shared" si="158"/>
        <v/>
      </c>
      <c r="AW78" s="8" t="str">
        <f t="shared" si="159"/>
        <v/>
      </c>
      <c r="AX78" s="8" t="str">
        <f t="shared" si="160"/>
        <v/>
      </c>
      <c r="AY78" s="8" t="str">
        <f t="shared" si="161"/>
        <v/>
      </c>
      <c r="AZ78" s="8" t="str">
        <f t="shared" si="162"/>
        <v/>
      </c>
      <c r="BA78" s="8" t="str">
        <f t="shared" si="163"/>
        <v/>
      </c>
      <c r="BB78" s="8" t="str">
        <f t="shared" si="164"/>
        <v/>
      </c>
      <c r="BC78" s="8" t="str">
        <f t="shared" si="165"/>
        <v/>
      </c>
      <c r="BD78" s="8" t="str">
        <f t="shared" si="166"/>
        <v/>
      </c>
      <c r="BE78" s="8" t="str">
        <f t="shared" si="167"/>
        <v/>
      </c>
      <c r="BF78" s="8" t="str">
        <f t="shared" si="168"/>
        <v/>
      </c>
      <c r="BG78" s="8" t="str">
        <f t="shared" si="169"/>
        <v/>
      </c>
      <c r="BH78" s="8" t="str">
        <f t="shared" si="170"/>
        <v/>
      </c>
      <c r="BI78" s="8" t="str">
        <f t="shared" si="171"/>
        <v/>
      </c>
      <c r="BJ78" s="8" t="str">
        <f t="shared" si="172"/>
        <v/>
      </c>
      <c r="BK78" s="8" t="str">
        <f t="shared" si="173"/>
        <v/>
      </c>
      <c r="BL78" s="8" t="str">
        <f t="shared" si="174"/>
        <v/>
      </c>
      <c r="BM78" s="8" t="str">
        <f t="shared" si="94"/>
        <v/>
      </c>
      <c r="BN78" s="8" t="str">
        <f t="shared" si="95"/>
        <v/>
      </c>
      <c r="BO78" s="8" t="str">
        <f t="shared" si="96"/>
        <v/>
      </c>
      <c r="BP78" s="8" t="str">
        <f t="shared" si="97"/>
        <v/>
      </c>
      <c r="BQ78" s="8" t="str">
        <f t="shared" si="98"/>
        <v/>
      </c>
      <c r="BR78" s="8" t="str">
        <f t="shared" si="99"/>
        <v/>
      </c>
      <c r="BS78" s="8" t="str">
        <f t="shared" si="100"/>
        <v/>
      </c>
      <c r="BT78" s="8" t="str">
        <f t="shared" si="101"/>
        <v/>
      </c>
      <c r="BU78" s="8" t="str">
        <f t="shared" si="102"/>
        <v/>
      </c>
      <c r="BV78" s="8" t="str">
        <f t="shared" si="103"/>
        <v/>
      </c>
      <c r="BW78" s="8" t="str">
        <f t="shared" si="104"/>
        <v/>
      </c>
      <c r="BX78" s="8" t="str">
        <f t="shared" si="105"/>
        <v/>
      </c>
      <c r="BY78" s="8" t="str">
        <f t="shared" si="106"/>
        <v/>
      </c>
      <c r="BZ78" s="8" t="str">
        <f t="shared" si="107"/>
        <v/>
      </c>
      <c r="CA78" s="8" t="str">
        <f t="shared" si="108"/>
        <v/>
      </c>
      <c r="CB78" s="8" t="str">
        <f t="shared" si="109"/>
        <v/>
      </c>
      <c r="CC78" s="8" t="str">
        <f t="shared" si="110"/>
        <v/>
      </c>
      <c r="CD78" s="8" t="str">
        <f t="shared" si="111"/>
        <v/>
      </c>
      <c r="CE78" s="8" t="str">
        <f t="shared" si="112"/>
        <v/>
      </c>
      <c r="CF78" s="8" t="str">
        <f t="shared" si="113"/>
        <v/>
      </c>
      <c r="CG78" s="8" t="str">
        <f t="shared" si="114"/>
        <v/>
      </c>
      <c r="CH78" s="8" t="str">
        <f t="shared" si="115"/>
        <v/>
      </c>
      <c r="CI78" s="8" t="str">
        <f t="shared" si="116"/>
        <v>David Hudson</v>
      </c>
      <c r="CJ78" s="8" t="str">
        <f t="shared" si="117"/>
        <v/>
      </c>
    </row>
    <row r="79" spans="6:88">
      <c r="F79" s="36"/>
      <c r="G79" s="8">
        <f t="shared" si="118"/>
        <v>19</v>
      </c>
      <c r="I79" s="8" t="str">
        <f t="shared" si="119"/>
        <v/>
      </c>
      <c r="J79" s="8" t="str">
        <f t="shared" si="120"/>
        <v/>
      </c>
      <c r="K79" s="8" t="str">
        <f t="shared" si="121"/>
        <v/>
      </c>
      <c r="L79" s="8" t="str">
        <f t="shared" si="122"/>
        <v/>
      </c>
      <c r="M79" s="8" t="str">
        <f t="shared" si="123"/>
        <v/>
      </c>
      <c r="N79" s="8" t="str">
        <f t="shared" si="124"/>
        <v/>
      </c>
      <c r="O79" s="8" t="str">
        <f t="shared" si="125"/>
        <v>Ben Iremonger (2)</v>
      </c>
      <c r="P79" s="8" t="str">
        <f t="shared" si="126"/>
        <v/>
      </c>
      <c r="Q79" s="30" t="str">
        <f t="shared" si="127"/>
        <v/>
      </c>
      <c r="R79" s="8" t="str">
        <f t="shared" si="128"/>
        <v/>
      </c>
      <c r="S79" s="8" t="str">
        <f t="shared" si="129"/>
        <v>Ben Iremonger</v>
      </c>
      <c r="T79" s="8" t="str">
        <f t="shared" si="130"/>
        <v/>
      </c>
      <c r="U79" s="8" t="str">
        <f t="shared" si="131"/>
        <v/>
      </c>
      <c r="V79" s="8" t="str">
        <f t="shared" si="132"/>
        <v/>
      </c>
      <c r="W79" s="8" t="str">
        <f t="shared" si="133"/>
        <v>Ben Iremonger (1)</v>
      </c>
      <c r="X79" s="8" t="str">
        <f t="shared" si="134"/>
        <v/>
      </c>
      <c r="Y79" s="8" t="str">
        <f t="shared" si="135"/>
        <v/>
      </c>
      <c r="Z79" s="8" t="str">
        <f t="shared" si="136"/>
        <v/>
      </c>
      <c r="AA79" s="8" t="str">
        <f t="shared" si="137"/>
        <v>Ben Iremonger</v>
      </c>
      <c r="AB79" s="8" t="str">
        <f t="shared" si="138"/>
        <v/>
      </c>
      <c r="AC79" s="8" t="str">
        <f t="shared" si="139"/>
        <v/>
      </c>
      <c r="AD79" s="8" t="str">
        <f t="shared" si="140"/>
        <v/>
      </c>
      <c r="AE79" s="8" t="str">
        <f t="shared" si="141"/>
        <v/>
      </c>
      <c r="AF79" s="8" t="str">
        <f t="shared" si="142"/>
        <v/>
      </c>
      <c r="AG79" s="8" t="str">
        <f t="shared" si="143"/>
        <v/>
      </c>
      <c r="AH79" s="8" t="str">
        <f t="shared" si="144"/>
        <v/>
      </c>
      <c r="AI79" s="8" t="str">
        <f t="shared" si="145"/>
        <v/>
      </c>
      <c r="AJ79" s="8" t="str">
        <f t="shared" si="146"/>
        <v/>
      </c>
      <c r="AK79" s="8" t="str">
        <f t="shared" si="147"/>
        <v/>
      </c>
      <c r="AL79" s="8" t="str">
        <f t="shared" si="148"/>
        <v/>
      </c>
      <c r="AM79" s="8" t="str">
        <f t="shared" si="149"/>
        <v/>
      </c>
      <c r="AN79" s="8" t="str">
        <f t="shared" si="150"/>
        <v/>
      </c>
      <c r="AO79" s="8" t="str">
        <f t="shared" si="151"/>
        <v/>
      </c>
      <c r="AP79" s="8" t="str">
        <f t="shared" si="152"/>
        <v/>
      </c>
      <c r="AQ79" s="8" t="str">
        <f t="shared" si="153"/>
        <v/>
      </c>
      <c r="AR79" s="8" t="str">
        <f t="shared" si="154"/>
        <v/>
      </c>
      <c r="AS79" s="8" t="str">
        <f t="shared" si="155"/>
        <v/>
      </c>
      <c r="AT79" s="8" t="str">
        <f t="shared" si="156"/>
        <v/>
      </c>
      <c r="AU79" s="8" t="str">
        <f t="shared" si="157"/>
        <v>Ben Iremonger</v>
      </c>
      <c r="AV79" s="8" t="str">
        <f t="shared" si="158"/>
        <v/>
      </c>
      <c r="AW79" s="8" t="str">
        <f t="shared" si="159"/>
        <v/>
      </c>
      <c r="AX79" s="8" t="str">
        <f t="shared" si="160"/>
        <v/>
      </c>
      <c r="AY79" s="8" t="str">
        <f t="shared" si="161"/>
        <v/>
      </c>
      <c r="AZ79" s="8" t="str">
        <f t="shared" si="162"/>
        <v/>
      </c>
      <c r="BA79" s="8" t="str">
        <f t="shared" si="163"/>
        <v/>
      </c>
      <c r="BB79" s="8" t="str">
        <f t="shared" si="164"/>
        <v/>
      </c>
      <c r="BC79" s="8" t="str">
        <f t="shared" si="165"/>
        <v>Ben Iremonger (4)</v>
      </c>
      <c r="BD79" s="8" t="str">
        <f t="shared" si="166"/>
        <v/>
      </c>
      <c r="BE79" s="8" t="str">
        <f t="shared" si="167"/>
        <v/>
      </c>
      <c r="BF79" s="8" t="str">
        <f t="shared" si="168"/>
        <v/>
      </c>
      <c r="BG79" s="8" t="str">
        <f t="shared" si="169"/>
        <v>Ben Iremonger (1)</v>
      </c>
      <c r="BH79" s="8" t="str">
        <f t="shared" si="170"/>
        <v/>
      </c>
      <c r="BI79" s="8" t="str">
        <f t="shared" si="171"/>
        <v/>
      </c>
      <c r="BJ79" s="8" t="str">
        <f t="shared" si="172"/>
        <v/>
      </c>
      <c r="BK79" s="8" t="str">
        <f t="shared" si="173"/>
        <v/>
      </c>
      <c r="BL79" s="8" t="str">
        <f t="shared" si="174"/>
        <v/>
      </c>
      <c r="BM79" s="8" t="str">
        <f t="shared" si="94"/>
        <v/>
      </c>
      <c r="BN79" s="8" t="str">
        <f t="shared" si="95"/>
        <v/>
      </c>
      <c r="BO79" s="8" t="str">
        <f t="shared" si="96"/>
        <v/>
      </c>
      <c r="BP79" s="8" t="str">
        <f t="shared" si="97"/>
        <v/>
      </c>
      <c r="BQ79" s="8" t="str">
        <f t="shared" si="98"/>
        <v/>
      </c>
      <c r="BR79" s="8" t="str">
        <f t="shared" si="99"/>
        <v/>
      </c>
      <c r="BS79" s="8" t="str">
        <f t="shared" si="100"/>
        <v/>
      </c>
      <c r="BT79" s="8" t="str">
        <f t="shared" si="101"/>
        <v/>
      </c>
      <c r="BU79" s="8" t="str">
        <f t="shared" si="102"/>
        <v/>
      </c>
      <c r="BV79" s="8" t="str">
        <f t="shared" si="103"/>
        <v/>
      </c>
      <c r="BW79" s="8" t="str">
        <f t="shared" si="104"/>
        <v/>
      </c>
      <c r="BX79" s="8" t="str">
        <f t="shared" si="105"/>
        <v/>
      </c>
      <c r="BY79" s="8" t="str">
        <f t="shared" si="106"/>
        <v/>
      </c>
      <c r="BZ79" s="8" t="str">
        <f t="shared" si="107"/>
        <v/>
      </c>
      <c r="CA79" s="8" t="str">
        <f t="shared" si="108"/>
        <v/>
      </c>
      <c r="CB79" s="8" t="str">
        <f t="shared" si="109"/>
        <v/>
      </c>
      <c r="CC79" s="8" t="str">
        <f t="shared" si="110"/>
        <v/>
      </c>
      <c r="CD79" s="8" t="str">
        <f t="shared" si="111"/>
        <v/>
      </c>
      <c r="CE79" s="8" t="str">
        <f t="shared" si="112"/>
        <v/>
      </c>
      <c r="CF79" s="8" t="str">
        <f t="shared" si="113"/>
        <v/>
      </c>
      <c r="CG79" s="8" t="str">
        <f t="shared" si="114"/>
        <v/>
      </c>
      <c r="CH79" s="8" t="str">
        <f t="shared" si="115"/>
        <v/>
      </c>
      <c r="CI79" s="8" t="str">
        <f t="shared" si="116"/>
        <v/>
      </c>
      <c r="CJ79" s="8" t="str">
        <f t="shared" si="117"/>
        <v/>
      </c>
    </row>
    <row r="80" spans="6:88">
      <c r="F80" s="36"/>
      <c r="G80" s="8">
        <f t="shared" si="118"/>
        <v>20</v>
      </c>
      <c r="I80" s="8" t="str">
        <f t="shared" si="119"/>
        <v/>
      </c>
      <c r="J80" s="8" t="str">
        <f t="shared" si="120"/>
        <v/>
      </c>
      <c r="K80" s="8" t="str">
        <f t="shared" si="121"/>
        <v/>
      </c>
      <c r="L80" s="8" t="str">
        <f t="shared" si="122"/>
        <v>Luke Johnstone (1)</v>
      </c>
      <c r="M80" s="8" t="str">
        <f t="shared" si="123"/>
        <v/>
      </c>
      <c r="N80" s="8" t="str">
        <f t="shared" si="124"/>
        <v/>
      </c>
      <c r="O80" s="8" t="str">
        <f t="shared" si="125"/>
        <v/>
      </c>
      <c r="P80" s="8" t="str">
        <f t="shared" si="126"/>
        <v/>
      </c>
      <c r="Q80" s="30" t="str">
        <f t="shared" si="127"/>
        <v/>
      </c>
      <c r="R80" s="8" t="str">
        <f t="shared" si="128"/>
        <v/>
      </c>
      <c r="S80" s="8" t="str">
        <f t="shared" si="129"/>
        <v/>
      </c>
      <c r="T80" s="8" t="str">
        <f t="shared" si="130"/>
        <v/>
      </c>
      <c r="U80" s="8" t="str">
        <f t="shared" si="131"/>
        <v/>
      </c>
      <c r="V80" s="8" t="str">
        <f t="shared" si="132"/>
        <v/>
      </c>
      <c r="W80" s="8" t="str">
        <f t="shared" si="133"/>
        <v/>
      </c>
      <c r="X80" s="8" t="str">
        <f t="shared" si="134"/>
        <v>Luke Johnstone (2)</v>
      </c>
      <c r="Y80" s="8" t="str">
        <f t="shared" si="135"/>
        <v/>
      </c>
      <c r="Z80" s="8" t="str">
        <f t="shared" si="136"/>
        <v/>
      </c>
      <c r="AA80" s="8" t="str">
        <f t="shared" si="137"/>
        <v/>
      </c>
      <c r="AB80" s="8" t="str">
        <f t="shared" si="138"/>
        <v/>
      </c>
      <c r="AC80" s="8" t="str">
        <f t="shared" si="139"/>
        <v/>
      </c>
      <c r="AD80" s="8" t="str">
        <f t="shared" si="140"/>
        <v/>
      </c>
      <c r="AE80" s="8" t="str">
        <f t="shared" si="141"/>
        <v/>
      </c>
      <c r="AF80" s="8" t="str">
        <f t="shared" si="142"/>
        <v/>
      </c>
      <c r="AG80" s="8" t="str">
        <f t="shared" si="143"/>
        <v/>
      </c>
      <c r="AH80" s="8" t="str">
        <f t="shared" si="144"/>
        <v/>
      </c>
      <c r="AI80" s="8" t="str">
        <f t="shared" si="145"/>
        <v/>
      </c>
      <c r="AJ80" s="8" t="str">
        <f t="shared" si="146"/>
        <v/>
      </c>
      <c r="AK80" s="8" t="str">
        <f t="shared" si="147"/>
        <v/>
      </c>
      <c r="AL80" s="8" t="str">
        <f t="shared" si="148"/>
        <v/>
      </c>
      <c r="AM80" s="8" t="str">
        <f t="shared" si="149"/>
        <v/>
      </c>
      <c r="AN80" s="8" t="str">
        <f t="shared" si="150"/>
        <v/>
      </c>
      <c r="AO80" s="8" t="str">
        <f t="shared" si="151"/>
        <v/>
      </c>
      <c r="AP80" s="8" t="str">
        <f t="shared" si="152"/>
        <v/>
      </c>
      <c r="AQ80" s="8" t="str">
        <f t="shared" si="153"/>
        <v/>
      </c>
      <c r="AR80" s="8" t="str">
        <f t="shared" si="154"/>
        <v/>
      </c>
      <c r="AS80" s="8" t="str">
        <f t="shared" si="155"/>
        <v/>
      </c>
      <c r="AT80" s="8" t="str">
        <f t="shared" si="156"/>
        <v/>
      </c>
      <c r="AU80" s="8" t="str">
        <f t="shared" si="157"/>
        <v/>
      </c>
      <c r="AV80" s="8" t="str">
        <f t="shared" si="158"/>
        <v/>
      </c>
      <c r="AW80" s="8" t="str">
        <f t="shared" si="159"/>
        <v/>
      </c>
      <c r="AX80" s="8" t="str">
        <f t="shared" si="160"/>
        <v/>
      </c>
      <c r="AY80" s="8" t="str">
        <f t="shared" si="161"/>
        <v/>
      </c>
      <c r="AZ80" s="8" t="str">
        <f t="shared" si="162"/>
        <v/>
      </c>
      <c r="BA80" s="8" t="str">
        <f t="shared" si="163"/>
        <v/>
      </c>
      <c r="BB80" s="8" t="str">
        <f t="shared" si="164"/>
        <v/>
      </c>
      <c r="BC80" s="8" t="str">
        <f t="shared" si="165"/>
        <v/>
      </c>
      <c r="BD80" s="8" t="str">
        <f t="shared" si="166"/>
        <v/>
      </c>
      <c r="BE80" s="8" t="str">
        <f t="shared" si="167"/>
        <v/>
      </c>
      <c r="BF80" s="8" t="str">
        <f t="shared" si="168"/>
        <v/>
      </c>
      <c r="BG80" s="8" t="str">
        <f t="shared" si="169"/>
        <v/>
      </c>
      <c r="BH80" s="8" t="str">
        <f t="shared" si="170"/>
        <v/>
      </c>
      <c r="BI80" s="8" t="str">
        <f t="shared" si="171"/>
        <v/>
      </c>
      <c r="BJ80" s="8" t="str">
        <f t="shared" si="172"/>
        <v/>
      </c>
      <c r="BK80" s="8" t="str">
        <f t="shared" si="173"/>
        <v/>
      </c>
      <c r="BL80" s="8" t="str">
        <f t="shared" si="174"/>
        <v/>
      </c>
      <c r="BM80" s="8" t="str">
        <f t="shared" si="94"/>
        <v/>
      </c>
      <c r="BN80" s="8" t="str">
        <f t="shared" si="95"/>
        <v/>
      </c>
      <c r="BO80" s="8" t="str">
        <f t="shared" si="96"/>
        <v/>
      </c>
      <c r="BP80" s="8" t="str">
        <f t="shared" si="97"/>
        <v/>
      </c>
      <c r="BQ80" s="8" t="str">
        <f t="shared" si="98"/>
        <v/>
      </c>
      <c r="BR80" s="8" t="str">
        <f t="shared" si="99"/>
        <v/>
      </c>
      <c r="BS80" s="8" t="str">
        <f t="shared" si="100"/>
        <v/>
      </c>
      <c r="BT80" s="8" t="str">
        <f t="shared" si="101"/>
        <v/>
      </c>
      <c r="BU80" s="8" t="str">
        <f t="shared" si="102"/>
        <v/>
      </c>
      <c r="BV80" s="8" t="str">
        <f t="shared" si="103"/>
        <v/>
      </c>
      <c r="BW80" s="8" t="str">
        <f t="shared" si="104"/>
        <v/>
      </c>
      <c r="BX80" s="8" t="str">
        <f t="shared" si="105"/>
        <v/>
      </c>
      <c r="BY80" s="8" t="str">
        <f t="shared" si="106"/>
        <v/>
      </c>
      <c r="BZ80" s="8" t="str">
        <f t="shared" si="107"/>
        <v/>
      </c>
      <c r="CA80" s="8" t="str">
        <f t="shared" si="108"/>
        <v/>
      </c>
      <c r="CB80" s="8" t="str">
        <f t="shared" si="109"/>
        <v/>
      </c>
      <c r="CC80" s="8" t="str">
        <f t="shared" si="110"/>
        <v/>
      </c>
      <c r="CD80" s="8" t="str">
        <f t="shared" si="111"/>
        <v/>
      </c>
      <c r="CE80" s="8" t="str">
        <f t="shared" si="112"/>
        <v/>
      </c>
      <c r="CF80" s="8" t="str">
        <f t="shared" si="113"/>
        <v/>
      </c>
      <c r="CG80" s="8" t="str">
        <f t="shared" si="114"/>
        <v/>
      </c>
      <c r="CH80" s="8" t="str">
        <f t="shared" si="115"/>
        <v/>
      </c>
      <c r="CI80" s="8" t="str">
        <f t="shared" si="116"/>
        <v/>
      </c>
      <c r="CJ80" s="8" t="str">
        <f t="shared" si="117"/>
        <v>Luke Johnstone</v>
      </c>
    </row>
    <row r="81" spans="6:88">
      <c r="F81" s="36"/>
      <c r="G81" s="8">
        <f t="shared" si="118"/>
        <v>21</v>
      </c>
      <c r="I81" s="8" t="str">
        <f t="shared" si="119"/>
        <v/>
      </c>
      <c r="J81" s="8" t="str">
        <f t="shared" si="120"/>
        <v/>
      </c>
      <c r="K81" s="8" t="str">
        <f t="shared" si="121"/>
        <v>Myles Johnstone (1)</v>
      </c>
      <c r="L81" s="8" t="str">
        <f t="shared" si="122"/>
        <v/>
      </c>
      <c r="M81" s="8" t="str">
        <f t="shared" si="123"/>
        <v/>
      </c>
      <c r="N81" s="8" t="str">
        <f t="shared" si="124"/>
        <v/>
      </c>
      <c r="O81" s="8" t="str">
        <f t="shared" si="125"/>
        <v>Myles Johnstone</v>
      </c>
      <c r="P81" s="8" t="str">
        <f t="shared" si="126"/>
        <v/>
      </c>
      <c r="Q81" s="30" t="str">
        <f t="shared" si="127"/>
        <v/>
      </c>
      <c r="R81" s="8" t="str">
        <f t="shared" si="128"/>
        <v/>
      </c>
      <c r="S81" s="8" t="str">
        <f t="shared" si="129"/>
        <v>Myles Johnstone</v>
      </c>
      <c r="T81" s="8" t="str">
        <f t="shared" si="130"/>
        <v/>
      </c>
      <c r="U81" s="8" t="str">
        <f t="shared" si="131"/>
        <v/>
      </c>
      <c r="V81" s="8" t="str">
        <f t="shared" si="132"/>
        <v/>
      </c>
      <c r="W81" s="8" t="str">
        <f t="shared" si="133"/>
        <v>Myles Johnstone (1)</v>
      </c>
      <c r="X81" s="8" t="str">
        <f t="shared" si="134"/>
        <v/>
      </c>
      <c r="Y81" s="8" t="str">
        <f t="shared" si="135"/>
        <v/>
      </c>
      <c r="Z81" s="8" t="str">
        <f t="shared" si="136"/>
        <v/>
      </c>
      <c r="AA81" s="8" t="str">
        <f t="shared" si="137"/>
        <v>Myles Johnstone (1)</v>
      </c>
      <c r="AB81" s="8" t="str">
        <f t="shared" si="138"/>
        <v/>
      </c>
      <c r="AC81" s="8" t="str">
        <f t="shared" si="139"/>
        <v/>
      </c>
      <c r="AD81" s="8" t="str">
        <f t="shared" si="140"/>
        <v/>
      </c>
      <c r="AE81" s="8" t="str">
        <f t="shared" si="141"/>
        <v>Myles Johnstone</v>
      </c>
      <c r="AF81" s="8" t="str">
        <f t="shared" si="142"/>
        <v/>
      </c>
      <c r="AG81" s="8" t="str">
        <f t="shared" si="143"/>
        <v/>
      </c>
      <c r="AH81" s="8" t="str">
        <f t="shared" si="144"/>
        <v/>
      </c>
      <c r="AI81" s="8" t="str">
        <f t="shared" si="145"/>
        <v/>
      </c>
      <c r="AJ81" s="8" t="str">
        <f t="shared" si="146"/>
        <v/>
      </c>
      <c r="AK81" s="8" t="str">
        <f t="shared" si="147"/>
        <v/>
      </c>
      <c r="AL81" s="8" t="str">
        <f t="shared" si="148"/>
        <v/>
      </c>
      <c r="AM81" s="8" t="str">
        <f t="shared" si="149"/>
        <v>Myles Johnstone (1)</v>
      </c>
      <c r="AN81" s="8" t="str">
        <f t="shared" si="150"/>
        <v/>
      </c>
      <c r="AO81" s="8" t="str">
        <f t="shared" si="151"/>
        <v/>
      </c>
      <c r="AP81" s="8" t="str">
        <f t="shared" si="152"/>
        <v/>
      </c>
      <c r="AQ81" s="8" t="str">
        <f t="shared" si="153"/>
        <v/>
      </c>
      <c r="AR81" s="8" t="str">
        <f t="shared" si="154"/>
        <v>Myles Johnstone</v>
      </c>
      <c r="AS81" s="8" t="str">
        <f t="shared" si="155"/>
        <v/>
      </c>
      <c r="AT81" s="8" t="str">
        <f t="shared" si="156"/>
        <v/>
      </c>
      <c r="AU81" s="8" t="str">
        <f t="shared" si="157"/>
        <v/>
      </c>
      <c r="AV81" s="8" t="str">
        <f t="shared" si="158"/>
        <v>Myles Johnstone</v>
      </c>
      <c r="AW81" s="8" t="str">
        <f t="shared" si="159"/>
        <v/>
      </c>
      <c r="AX81" s="8" t="str">
        <f t="shared" si="160"/>
        <v/>
      </c>
      <c r="AY81" s="8" t="str">
        <f t="shared" si="161"/>
        <v/>
      </c>
      <c r="AZ81" s="8" t="str">
        <f t="shared" si="162"/>
        <v>Myles Johnstone</v>
      </c>
      <c r="BA81" s="8" t="str">
        <f t="shared" si="163"/>
        <v/>
      </c>
      <c r="BB81" s="8" t="str">
        <f t="shared" si="164"/>
        <v/>
      </c>
      <c r="BC81" s="8" t="str">
        <f t="shared" si="165"/>
        <v/>
      </c>
      <c r="BD81" s="8" t="str">
        <f t="shared" si="166"/>
        <v>Myles Johnstone (1)</v>
      </c>
      <c r="BE81" s="8" t="str">
        <f t="shared" si="167"/>
        <v/>
      </c>
      <c r="BF81" s="8" t="str">
        <f t="shared" si="168"/>
        <v/>
      </c>
      <c r="BG81" s="8" t="str">
        <f t="shared" si="169"/>
        <v/>
      </c>
      <c r="BH81" s="8" t="str">
        <f t="shared" si="170"/>
        <v>Myles Johnstone (1)</v>
      </c>
      <c r="BI81" s="8" t="str">
        <f t="shared" si="171"/>
        <v/>
      </c>
      <c r="BJ81" s="8" t="str">
        <f t="shared" si="172"/>
        <v/>
      </c>
      <c r="BK81" s="8" t="str">
        <f t="shared" si="173"/>
        <v/>
      </c>
      <c r="BL81" s="8" t="str">
        <f t="shared" si="174"/>
        <v>Myles Johnstone</v>
      </c>
      <c r="BM81" s="8" t="str">
        <f t="shared" si="94"/>
        <v/>
      </c>
      <c r="BN81" s="8" t="str">
        <f t="shared" si="95"/>
        <v/>
      </c>
      <c r="BO81" s="8" t="str">
        <f t="shared" si="96"/>
        <v/>
      </c>
      <c r="BP81" s="8" t="str">
        <f t="shared" si="97"/>
        <v/>
      </c>
      <c r="BQ81" s="8" t="str">
        <f t="shared" si="98"/>
        <v/>
      </c>
      <c r="BR81" s="8" t="str">
        <f t="shared" si="99"/>
        <v/>
      </c>
      <c r="BS81" s="8" t="str">
        <f t="shared" si="100"/>
        <v/>
      </c>
      <c r="BT81" s="8" t="str">
        <f t="shared" si="101"/>
        <v/>
      </c>
      <c r="BU81" s="8" t="str">
        <f t="shared" si="102"/>
        <v/>
      </c>
      <c r="BV81" s="8" t="str">
        <f t="shared" si="103"/>
        <v/>
      </c>
      <c r="BW81" s="8" t="str">
        <f t="shared" si="104"/>
        <v/>
      </c>
      <c r="BX81" s="8" t="str">
        <f t="shared" si="105"/>
        <v/>
      </c>
      <c r="BY81" s="8" t="str">
        <f t="shared" si="106"/>
        <v/>
      </c>
      <c r="BZ81" s="8" t="str">
        <f t="shared" si="107"/>
        <v/>
      </c>
      <c r="CA81" s="8" t="str">
        <f t="shared" si="108"/>
        <v/>
      </c>
      <c r="CB81" s="8" t="str">
        <f t="shared" si="109"/>
        <v/>
      </c>
      <c r="CC81" s="8" t="str">
        <f t="shared" si="110"/>
        <v/>
      </c>
      <c r="CD81" s="8" t="str">
        <f t="shared" si="111"/>
        <v/>
      </c>
      <c r="CE81" s="8" t="str">
        <f t="shared" si="112"/>
        <v>Myles Johnstone</v>
      </c>
      <c r="CF81" s="8" t="str">
        <f t="shared" si="113"/>
        <v/>
      </c>
      <c r="CG81" s="8" t="str">
        <f t="shared" si="114"/>
        <v/>
      </c>
      <c r="CH81" s="8" t="str">
        <f t="shared" si="115"/>
        <v/>
      </c>
      <c r="CI81" s="8" t="str">
        <f t="shared" si="116"/>
        <v>Myles Johnstone (1)</v>
      </c>
      <c r="CJ81" s="8" t="str">
        <f t="shared" si="117"/>
        <v/>
      </c>
    </row>
    <row r="82" spans="6:88">
      <c r="F82" s="36"/>
      <c r="G82" s="8">
        <f t="shared" si="118"/>
        <v>22</v>
      </c>
      <c r="I82" s="8" t="str">
        <f t="shared" si="119"/>
        <v/>
      </c>
      <c r="J82" s="8" t="str">
        <f t="shared" si="120"/>
        <v/>
      </c>
      <c r="K82" s="8" t="str">
        <f t="shared" si="121"/>
        <v/>
      </c>
      <c r="L82" s="8" t="str">
        <f t="shared" si="122"/>
        <v/>
      </c>
      <c r="M82" s="8" t="str">
        <f t="shared" si="123"/>
        <v/>
      </c>
      <c r="N82" s="8" t="str">
        <f t="shared" si="124"/>
        <v/>
      </c>
      <c r="O82" s="8" t="str">
        <f t="shared" si="125"/>
        <v/>
      </c>
      <c r="P82" s="8" t="str">
        <f t="shared" si="126"/>
        <v/>
      </c>
      <c r="Q82" s="30" t="str">
        <f t="shared" si="127"/>
        <v/>
      </c>
      <c r="R82" s="8" t="str">
        <f t="shared" si="128"/>
        <v/>
      </c>
      <c r="S82" s="8" t="str">
        <f t="shared" si="129"/>
        <v/>
      </c>
      <c r="T82" s="8" t="str">
        <f t="shared" si="130"/>
        <v/>
      </c>
      <c r="U82" s="8" t="str">
        <f t="shared" si="131"/>
        <v/>
      </c>
      <c r="V82" s="8" t="str">
        <f t="shared" si="132"/>
        <v/>
      </c>
      <c r="W82" s="8" t="str">
        <f t="shared" si="133"/>
        <v/>
      </c>
      <c r="X82" s="8" t="str">
        <f t="shared" si="134"/>
        <v/>
      </c>
      <c r="Y82" s="8" t="str">
        <f t="shared" si="135"/>
        <v/>
      </c>
      <c r="Z82" s="8" t="str">
        <f t="shared" si="136"/>
        <v/>
      </c>
      <c r="AA82" s="8" t="str">
        <f t="shared" si="137"/>
        <v/>
      </c>
      <c r="AB82" s="8" t="str">
        <f t="shared" si="138"/>
        <v/>
      </c>
      <c r="AC82" s="8" t="str">
        <f t="shared" si="139"/>
        <v/>
      </c>
      <c r="AD82" s="8" t="str">
        <f t="shared" si="140"/>
        <v/>
      </c>
      <c r="AE82" s="8" t="str">
        <f t="shared" si="141"/>
        <v/>
      </c>
      <c r="AF82" s="8" t="str">
        <f t="shared" si="142"/>
        <v/>
      </c>
      <c r="AG82" s="8" t="str">
        <f t="shared" si="143"/>
        <v/>
      </c>
      <c r="AH82" s="8" t="str">
        <f t="shared" si="144"/>
        <v/>
      </c>
      <c r="AI82" s="8" t="str">
        <f t="shared" si="145"/>
        <v/>
      </c>
      <c r="AJ82" s="8" t="str">
        <f t="shared" si="146"/>
        <v/>
      </c>
      <c r="AK82" s="8" t="str">
        <f t="shared" si="147"/>
        <v/>
      </c>
      <c r="AL82" s="8" t="str">
        <f t="shared" si="148"/>
        <v>Will Lucas</v>
      </c>
      <c r="AM82" s="8" t="str">
        <f t="shared" si="149"/>
        <v/>
      </c>
      <c r="AN82" s="8" t="str">
        <f t="shared" si="150"/>
        <v/>
      </c>
      <c r="AO82" s="8" t="str">
        <f t="shared" si="151"/>
        <v/>
      </c>
      <c r="AP82" s="8" t="str">
        <f t="shared" si="152"/>
        <v/>
      </c>
      <c r="AQ82" s="8" t="str">
        <f t="shared" si="153"/>
        <v/>
      </c>
      <c r="AR82" s="8" t="str">
        <f t="shared" si="154"/>
        <v/>
      </c>
      <c r="AS82" s="8" t="str">
        <f t="shared" si="155"/>
        <v/>
      </c>
      <c r="AT82" s="8" t="str">
        <f t="shared" si="156"/>
        <v/>
      </c>
      <c r="AU82" s="8" t="str">
        <f t="shared" si="157"/>
        <v/>
      </c>
      <c r="AV82" s="8" t="str">
        <f t="shared" si="158"/>
        <v/>
      </c>
      <c r="AW82" s="8" t="str">
        <f t="shared" si="159"/>
        <v/>
      </c>
      <c r="AX82" s="8" t="str">
        <f t="shared" si="160"/>
        <v/>
      </c>
      <c r="AY82" s="8" t="str">
        <f t="shared" si="161"/>
        <v/>
      </c>
      <c r="AZ82" s="8" t="str">
        <f t="shared" si="162"/>
        <v/>
      </c>
      <c r="BA82" s="8" t="str">
        <f t="shared" si="163"/>
        <v/>
      </c>
      <c r="BB82" s="8" t="str">
        <f t="shared" si="164"/>
        <v/>
      </c>
      <c r="BC82" s="8" t="str">
        <f t="shared" si="165"/>
        <v/>
      </c>
      <c r="BD82" s="8" t="str">
        <f t="shared" si="166"/>
        <v/>
      </c>
      <c r="BE82" s="8" t="str">
        <f t="shared" si="167"/>
        <v/>
      </c>
      <c r="BF82" s="8" t="str">
        <f t="shared" si="168"/>
        <v/>
      </c>
      <c r="BG82" s="8" t="str">
        <f t="shared" si="169"/>
        <v/>
      </c>
      <c r="BH82" s="8" t="str">
        <f t="shared" si="170"/>
        <v/>
      </c>
      <c r="BI82" s="8" t="str">
        <f t="shared" si="171"/>
        <v/>
      </c>
      <c r="BJ82" s="8" t="str">
        <f t="shared" si="172"/>
        <v/>
      </c>
      <c r="BK82" s="8" t="str">
        <f t="shared" si="173"/>
        <v/>
      </c>
      <c r="BL82" s="8" t="str">
        <f t="shared" si="174"/>
        <v/>
      </c>
      <c r="BM82" s="8" t="str">
        <f t="shared" si="94"/>
        <v/>
      </c>
      <c r="BN82" s="8" t="str">
        <f t="shared" si="95"/>
        <v/>
      </c>
      <c r="BO82" s="8" t="str">
        <f t="shared" si="96"/>
        <v/>
      </c>
      <c r="BP82" s="8" t="str">
        <f t="shared" si="97"/>
        <v/>
      </c>
      <c r="BQ82" s="8" t="str">
        <f t="shared" si="98"/>
        <v/>
      </c>
      <c r="BR82" s="8" t="str">
        <f t="shared" si="99"/>
        <v/>
      </c>
      <c r="BS82" s="8" t="str">
        <f t="shared" si="100"/>
        <v/>
      </c>
      <c r="BT82" s="8" t="str">
        <f t="shared" si="101"/>
        <v/>
      </c>
      <c r="BU82" s="8" t="str">
        <f t="shared" si="102"/>
        <v/>
      </c>
      <c r="BV82" s="8" t="str">
        <f t="shared" si="103"/>
        <v/>
      </c>
      <c r="BW82" s="8" t="str">
        <f t="shared" si="104"/>
        <v/>
      </c>
      <c r="BX82" s="8" t="str">
        <f t="shared" si="105"/>
        <v/>
      </c>
      <c r="BY82" s="8" t="str">
        <f t="shared" si="106"/>
        <v/>
      </c>
      <c r="BZ82" s="8" t="str">
        <f t="shared" si="107"/>
        <v/>
      </c>
      <c r="CA82" s="8" t="str">
        <f t="shared" si="108"/>
        <v/>
      </c>
      <c r="CB82" s="8" t="str">
        <f t="shared" si="109"/>
        <v/>
      </c>
      <c r="CC82" s="8" t="str">
        <f t="shared" si="110"/>
        <v/>
      </c>
      <c r="CD82" s="8" t="str">
        <f t="shared" si="111"/>
        <v>Will Lucas</v>
      </c>
      <c r="CE82" s="8" t="str">
        <f t="shared" si="112"/>
        <v/>
      </c>
      <c r="CF82" s="8" t="str">
        <f t="shared" si="113"/>
        <v/>
      </c>
      <c r="CG82" s="8" t="str">
        <f t="shared" si="114"/>
        <v/>
      </c>
      <c r="CH82" s="8" t="str">
        <f t="shared" si="115"/>
        <v>Will Lucas</v>
      </c>
      <c r="CI82" s="8" t="str">
        <f t="shared" si="116"/>
        <v/>
      </c>
      <c r="CJ82" s="8" t="str">
        <f t="shared" si="117"/>
        <v/>
      </c>
    </row>
    <row r="83" spans="6:88">
      <c r="F83" s="36"/>
      <c r="G83" s="8">
        <f t="shared" si="118"/>
        <v>23</v>
      </c>
      <c r="I83" s="8" t="str">
        <f t="shared" si="119"/>
        <v/>
      </c>
      <c r="J83" s="8" t="str">
        <f t="shared" si="120"/>
        <v/>
      </c>
      <c r="K83" s="8" t="str">
        <f t="shared" si="121"/>
        <v/>
      </c>
      <c r="L83" s="8" t="str">
        <f t="shared" si="122"/>
        <v/>
      </c>
      <c r="M83" s="8" t="str">
        <f t="shared" si="123"/>
        <v/>
      </c>
      <c r="N83" s="8" t="str">
        <f t="shared" si="124"/>
        <v/>
      </c>
      <c r="O83" s="8" t="str">
        <f t="shared" si="125"/>
        <v/>
      </c>
      <c r="P83" s="8" t="str">
        <f t="shared" si="126"/>
        <v/>
      </c>
      <c r="Q83" s="30" t="str">
        <f t="shared" si="127"/>
        <v/>
      </c>
      <c r="R83" s="8" t="str">
        <f t="shared" si="128"/>
        <v/>
      </c>
      <c r="S83" s="8" t="str">
        <f t="shared" si="129"/>
        <v/>
      </c>
      <c r="T83" s="8" t="str">
        <f t="shared" si="130"/>
        <v/>
      </c>
      <c r="U83" s="8" t="str">
        <f t="shared" si="131"/>
        <v/>
      </c>
      <c r="V83" s="8" t="str">
        <f t="shared" si="132"/>
        <v/>
      </c>
      <c r="W83" s="8" t="str">
        <f t="shared" si="133"/>
        <v/>
      </c>
      <c r="X83" s="8" t="str">
        <f t="shared" si="134"/>
        <v/>
      </c>
      <c r="Y83" s="8" t="str">
        <f t="shared" si="135"/>
        <v/>
      </c>
      <c r="Z83" s="8" t="str">
        <f t="shared" si="136"/>
        <v/>
      </c>
      <c r="AA83" s="8" t="str">
        <f t="shared" si="137"/>
        <v/>
      </c>
      <c r="AB83" s="8" t="str">
        <f t="shared" si="138"/>
        <v/>
      </c>
      <c r="AC83" s="8" t="str">
        <f t="shared" si="139"/>
        <v/>
      </c>
      <c r="AD83" s="8" t="str">
        <f t="shared" si="140"/>
        <v/>
      </c>
      <c r="AE83" s="8" t="str">
        <f t="shared" si="141"/>
        <v/>
      </c>
      <c r="AF83" s="8" t="str">
        <f t="shared" si="142"/>
        <v/>
      </c>
      <c r="AG83" s="8" t="str">
        <f t="shared" si="143"/>
        <v/>
      </c>
      <c r="AH83" s="8" t="str">
        <f t="shared" si="144"/>
        <v/>
      </c>
      <c r="AI83" s="8" t="str">
        <f t="shared" si="145"/>
        <v/>
      </c>
      <c r="AJ83" s="8" t="str">
        <f t="shared" si="146"/>
        <v/>
      </c>
      <c r="AK83" s="8" t="str">
        <f t="shared" si="147"/>
        <v/>
      </c>
      <c r="AL83" s="8" t="str">
        <f t="shared" si="148"/>
        <v/>
      </c>
      <c r="AM83" s="8" t="str">
        <f t="shared" si="149"/>
        <v/>
      </c>
      <c r="AN83" s="8" t="str">
        <f t="shared" si="150"/>
        <v/>
      </c>
      <c r="AO83" s="8" t="str">
        <f t="shared" si="151"/>
        <v/>
      </c>
      <c r="AP83" s="8" t="str">
        <f t="shared" si="152"/>
        <v/>
      </c>
      <c r="AQ83" s="8" t="str">
        <f t="shared" si="153"/>
        <v/>
      </c>
      <c r="AR83" s="8" t="str">
        <f t="shared" si="154"/>
        <v/>
      </c>
      <c r="AS83" s="8" t="str">
        <f t="shared" si="155"/>
        <v/>
      </c>
      <c r="AT83" s="8" t="str">
        <f t="shared" si="156"/>
        <v/>
      </c>
      <c r="AU83" s="8" t="str">
        <f t="shared" si="157"/>
        <v/>
      </c>
      <c r="AV83" s="8" t="str">
        <f t="shared" si="158"/>
        <v/>
      </c>
      <c r="AW83" s="8" t="str">
        <f t="shared" si="159"/>
        <v/>
      </c>
      <c r="AX83" s="8" t="str">
        <f t="shared" si="160"/>
        <v/>
      </c>
      <c r="AY83" s="8" t="str">
        <f t="shared" si="161"/>
        <v/>
      </c>
      <c r="AZ83" s="8" t="str">
        <f t="shared" si="162"/>
        <v/>
      </c>
      <c r="BA83" s="8" t="str">
        <f t="shared" si="163"/>
        <v/>
      </c>
      <c r="BB83" s="8" t="str">
        <f t="shared" si="164"/>
        <v/>
      </c>
      <c r="BC83" s="8" t="str">
        <f t="shared" si="165"/>
        <v/>
      </c>
      <c r="BD83" s="8" t="str">
        <f t="shared" si="166"/>
        <v/>
      </c>
      <c r="BE83" s="8" t="str">
        <f t="shared" si="167"/>
        <v/>
      </c>
      <c r="BF83" s="8" t="str">
        <f t="shared" si="168"/>
        <v/>
      </c>
      <c r="BG83" s="8" t="str">
        <f t="shared" si="169"/>
        <v/>
      </c>
      <c r="BH83" s="8" t="str">
        <f t="shared" si="170"/>
        <v/>
      </c>
      <c r="BI83" s="8" t="str">
        <f t="shared" si="171"/>
        <v/>
      </c>
      <c r="BJ83" s="8" t="str">
        <f t="shared" si="172"/>
        <v/>
      </c>
      <c r="BK83" s="8" t="str">
        <f t="shared" si="173"/>
        <v/>
      </c>
      <c r="BL83" s="8" t="str">
        <f t="shared" si="174"/>
        <v/>
      </c>
      <c r="BM83" s="8" t="str">
        <f t="shared" si="94"/>
        <v/>
      </c>
      <c r="BN83" s="8" t="str">
        <f t="shared" si="95"/>
        <v/>
      </c>
      <c r="BO83" s="8" t="str">
        <f t="shared" si="96"/>
        <v/>
      </c>
      <c r="BP83" s="8" t="str">
        <f t="shared" si="97"/>
        <v/>
      </c>
      <c r="BQ83" s="8" t="str">
        <f t="shared" si="98"/>
        <v/>
      </c>
      <c r="BR83" s="8" t="str">
        <f t="shared" si="99"/>
        <v/>
      </c>
      <c r="BS83" s="8" t="str">
        <f t="shared" si="100"/>
        <v>Kieran Kershaw</v>
      </c>
      <c r="BT83" s="8" t="str">
        <f t="shared" si="101"/>
        <v/>
      </c>
      <c r="BU83" s="8" t="str">
        <f t="shared" si="102"/>
        <v/>
      </c>
      <c r="BV83" s="8" t="str">
        <f t="shared" si="103"/>
        <v/>
      </c>
      <c r="BW83" s="8" t="str">
        <f t="shared" si="104"/>
        <v/>
      </c>
      <c r="BX83" s="8" t="str">
        <f t="shared" si="105"/>
        <v/>
      </c>
      <c r="BY83" s="8" t="str">
        <f t="shared" si="106"/>
        <v/>
      </c>
      <c r="BZ83" s="8" t="str">
        <f t="shared" si="107"/>
        <v/>
      </c>
      <c r="CA83" s="8" t="str">
        <f t="shared" si="108"/>
        <v/>
      </c>
      <c r="CB83" s="8" t="str">
        <f t="shared" si="109"/>
        <v/>
      </c>
      <c r="CC83" s="8" t="str">
        <f t="shared" si="110"/>
        <v/>
      </c>
      <c r="CD83" s="8" t="str">
        <f t="shared" si="111"/>
        <v/>
      </c>
      <c r="CE83" s="8" t="str">
        <f t="shared" si="112"/>
        <v/>
      </c>
      <c r="CF83" s="8" t="str">
        <f t="shared" si="113"/>
        <v/>
      </c>
      <c r="CG83" s="8" t="str">
        <f t="shared" si="114"/>
        <v/>
      </c>
      <c r="CH83" s="8" t="str">
        <f t="shared" si="115"/>
        <v/>
      </c>
      <c r="CI83" s="8" t="str">
        <f t="shared" si="116"/>
        <v/>
      </c>
      <c r="CJ83" s="8" t="str">
        <f t="shared" si="117"/>
        <v/>
      </c>
    </row>
    <row r="84" spans="6:88">
      <c r="F84" s="36"/>
      <c r="G84" s="8">
        <f t="shared" si="118"/>
        <v>24</v>
      </c>
      <c r="I84" s="8" t="str">
        <f t="shared" si="119"/>
        <v/>
      </c>
      <c r="J84" s="8" t="str">
        <f t="shared" si="120"/>
        <v/>
      </c>
      <c r="K84" s="8" t="str">
        <f t="shared" si="121"/>
        <v/>
      </c>
      <c r="L84" s="8" t="str">
        <f t="shared" si="122"/>
        <v/>
      </c>
      <c r="M84" s="8" t="str">
        <f t="shared" si="123"/>
        <v/>
      </c>
      <c r="N84" s="8" t="str">
        <f t="shared" si="124"/>
        <v/>
      </c>
      <c r="O84" s="8" t="str">
        <f t="shared" si="125"/>
        <v/>
      </c>
      <c r="P84" s="8" t="str">
        <f t="shared" si="126"/>
        <v/>
      </c>
      <c r="Q84" s="30" t="str">
        <f t="shared" si="127"/>
        <v/>
      </c>
      <c r="R84" s="8" t="str">
        <f t="shared" si="128"/>
        <v/>
      </c>
      <c r="S84" s="8" t="str">
        <f t="shared" si="129"/>
        <v/>
      </c>
      <c r="T84" s="8" t="str">
        <f t="shared" si="130"/>
        <v/>
      </c>
      <c r="U84" s="8" t="str">
        <f t="shared" si="131"/>
        <v/>
      </c>
      <c r="V84" s="8" t="str">
        <f t="shared" si="132"/>
        <v>Charlie Merry</v>
      </c>
      <c r="W84" s="8" t="str">
        <f t="shared" si="133"/>
        <v/>
      </c>
      <c r="X84" s="8" t="str">
        <f t="shared" si="134"/>
        <v/>
      </c>
      <c r="Y84" s="8" t="str">
        <f t="shared" si="135"/>
        <v/>
      </c>
      <c r="Z84" s="8" t="str">
        <f t="shared" si="136"/>
        <v/>
      </c>
      <c r="AA84" s="8" t="str">
        <f t="shared" si="137"/>
        <v/>
      </c>
      <c r="AB84" s="8" t="str">
        <f t="shared" si="138"/>
        <v/>
      </c>
      <c r="AC84" s="8" t="str">
        <f t="shared" si="139"/>
        <v/>
      </c>
      <c r="AD84" s="8" t="str">
        <f t="shared" si="140"/>
        <v/>
      </c>
      <c r="AE84" s="8" t="str">
        <f t="shared" si="141"/>
        <v/>
      </c>
      <c r="AF84" s="8" t="str">
        <f t="shared" si="142"/>
        <v/>
      </c>
      <c r="AG84" s="8" t="str">
        <f t="shared" si="143"/>
        <v/>
      </c>
      <c r="AH84" s="8" t="str">
        <f t="shared" si="144"/>
        <v/>
      </c>
      <c r="AI84" s="8" t="str">
        <f t="shared" si="145"/>
        <v/>
      </c>
      <c r="AJ84" s="8" t="str">
        <f t="shared" si="146"/>
        <v/>
      </c>
      <c r="AK84" s="8" t="str">
        <f t="shared" si="147"/>
        <v/>
      </c>
      <c r="AL84" s="8" t="str">
        <f t="shared" si="148"/>
        <v/>
      </c>
      <c r="AM84" s="8" t="str">
        <f t="shared" si="149"/>
        <v/>
      </c>
      <c r="AN84" s="8" t="str">
        <f t="shared" si="150"/>
        <v/>
      </c>
      <c r="AO84" s="8" t="str">
        <f t="shared" si="151"/>
        <v/>
      </c>
      <c r="AP84" s="8" t="str">
        <f t="shared" si="152"/>
        <v/>
      </c>
      <c r="AQ84" s="8" t="str">
        <f t="shared" si="153"/>
        <v/>
      </c>
      <c r="AR84" s="8" t="str">
        <f t="shared" si="154"/>
        <v/>
      </c>
      <c r="AS84" s="8" t="str">
        <f t="shared" si="155"/>
        <v/>
      </c>
      <c r="AT84" s="8" t="str">
        <f t="shared" si="156"/>
        <v/>
      </c>
      <c r="AU84" s="8" t="str">
        <f t="shared" si="157"/>
        <v/>
      </c>
      <c r="AV84" s="8" t="str">
        <f t="shared" si="158"/>
        <v/>
      </c>
      <c r="AW84" s="8" t="str">
        <f t="shared" si="159"/>
        <v/>
      </c>
      <c r="AX84" s="8" t="str">
        <f t="shared" si="160"/>
        <v/>
      </c>
      <c r="AY84" s="8" t="str">
        <f t="shared" si="161"/>
        <v/>
      </c>
      <c r="AZ84" s="8" t="str">
        <f t="shared" si="162"/>
        <v/>
      </c>
      <c r="BA84" s="8" t="str">
        <f t="shared" si="163"/>
        <v/>
      </c>
      <c r="BB84" s="8" t="str">
        <f t="shared" si="164"/>
        <v/>
      </c>
      <c r="BC84" s="8" t="str">
        <f t="shared" si="165"/>
        <v/>
      </c>
      <c r="BD84" s="8" t="str">
        <f t="shared" si="166"/>
        <v/>
      </c>
      <c r="BE84" s="8" t="str">
        <f t="shared" si="167"/>
        <v/>
      </c>
      <c r="BF84" s="8" t="str">
        <f t="shared" si="168"/>
        <v/>
      </c>
      <c r="BG84" s="8" t="str">
        <f t="shared" si="169"/>
        <v/>
      </c>
      <c r="BH84" s="8" t="str">
        <f t="shared" si="170"/>
        <v/>
      </c>
      <c r="BI84" s="8" t="str">
        <f t="shared" si="171"/>
        <v/>
      </c>
      <c r="BJ84" s="8" t="str">
        <f t="shared" si="172"/>
        <v/>
      </c>
      <c r="BK84" s="8" t="str">
        <f t="shared" si="173"/>
        <v/>
      </c>
      <c r="BL84" s="8" t="str">
        <f t="shared" si="174"/>
        <v/>
      </c>
      <c r="BM84" s="8" t="str">
        <f t="shared" si="94"/>
        <v/>
      </c>
      <c r="BN84" s="8" t="str">
        <f t="shared" si="95"/>
        <v/>
      </c>
      <c r="BO84" s="8" t="str">
        <f t="shared" si="96"/>
        <v/>
      </c>
      <c r="BP84" s="8" t="str">
        <f t="shared" si="97"/>
        <v/>
      </c>
      <c r="BQ84" s="8" t="str">
        <f t="shared" si="98"/>
        <v/>
      </c>
      <c r="BR84" s="8" t="str">
        <f t="shared" si="99"/>
        <v/>
      </c>
      <c r="BS84" s="8" t="str">
        <f t="shared" si="100"/>
        <v/>
      </c>
      <c r="BT84" s="8" t="str">
        <f t="shared" si="101"/>
        <v/>
      </c>
      <c r="BU84" s="8" t="str">
        <f t="shared" si="102"/>
        <v/>
      </c>
      <c r="BV84" s="8" t="str">
        <f t="shared" si="103"/>
        <v/>
      </c>
      <c r="BW84" s="8" t="str">
        <f t="shared" si="104"/>
        <v/>
      </c>
      <c r="BX84" s="8" t="str">
        <f t="shared" si="105"/>
        <v/>
      </c>
      <c r="BY84" s="8" t="str">
        <f t="shared" si="106"/>
        <v/>
      </c>
      <c r="BZ84" s="8" t="str">
        <f t="shared" si="107"/>
        <v/>
      </c>
      <c r="CA84" s="8" t="str">
        <f t="shared" si="108"/>
        <v/>
      </c>
      <c r="CB84" s="8" t="str">
        <f t="shared" si="109"/>
        <v/>
      </c>
      <c r="CC84" s="8" t="str">
        <f t="shared" si="110"/>
        <v/>
      </c>
      <c r="CD84" s="8" t="str">
        <f t="shared" si="111"/>
        <v/>
      </c>
      <c r="CE84" s="8" t="str">
        <f t="shared" si="112"/>
        <v/>
      </c>
      <c r="CF84" s="8" t="str">
        <f t="shared" si="113"/>
        <v/>
      </c>
      <c r="CG84" s="8" t="str">
        <f t="shared" si="114"/>
        <v/>
      </c>
      <c r="CH84" s="8" t="str">
        <f t="shared" si="115"/>
        <v/>
      </c>
      <c r="CI84" s="8" t="str">
        <f t="shared" si="116"/>
        <v/>
      </c>
      <c r="CJ84" s="8" t="str">
        <f t="shared" si="117"/>
        <v/>
      </c>
    </row>
    <row r="85" spans="6:88">
      <c r="F85" s="36"/>
      <c r="G85" s="8">
        <f t="shared" si="118"/>
        <v>25</v>
      </c>
      <c r="I85" s="8" t="str">
        <f t="shared" si="119"/>
        <v/>
      </c>
      <c r="J85" s="8" t="str">
        <f t="shared" si="120"/>
        <v/>
      </c>
      <c r="K85" s="8" t="str">
        <f t="shared" si="121"/>
        <v/>
      </c>
      <c r="L85" s="8" t="str">
        <f t="shared" si="122"/>
        <v/>
      </c>
      <c r="M85" s="8" t="str">
        <f t="shared" si="123"/>
        <v/>
      </c>
      <c r="N85" s="8" t="str">
        <f t="shared" si="124"/>
        <v/>
      </c>
      <c r="O85" s="8" t="str">
        <f t="shared" si="125"/>
        <v/>
      </c>
      <c r="P85" s="8" t="str">
        <f t="shared" si="126"/>
        <v/>
      </c>
      <c r="Q85" s="30" t="str">
        <f t="shared" si="127"/>
        <v/>
      </c>
      <c r="R85" s="8" t="str">
        <f t="shared" si="128"/>
        <v/>
      </c>
      <c r="S85" s="8" t="str">
        <f t="shared" si="129"/>
        <v/>
      </c>
      <c r="T85" s="8" t="str">
        <f t="shared" si="130"/>
        <v/>
      </c>
      <c r="U85" s="8" t="str">
        <f t="shared" si="131"/>
        <v/>
      </c>
      <c r="V85" s="8" t="str">
        <f t="shared" si="132"/>
        <v/>
      </c>
      <c r="W85" s="8" t="str">
        <f t="shared" si="133"/>
        <v/>
      </c>
      <c r="X85" s="8" t="str">
        <f t="shared" si="134"/>
        <v/>
      </c>
      <c r="Y85" s="8" t="str">
        <f t="shared" si="135"/>
        <v/>
      </c>
      <c r="Z85" s="8" t="str">
        <f t="shared" si="136"/>
        <v>Conor Mills</v>
      </c>
      <c r="AA85" s="8" t="str">
        <f t="shared" si="137"/>
        <v/>
      </c>
      <c r="AB85" s="8" t="str">
        <f t="shared" si="138"/>
        <v/>
      </c>
      <c r="AC85" s="8" t="str">
        <f t="shared" si="139"/>
        <v/>
      </c>
      <c r="AD85" s="8" t="str">
        <f t="shared" si="140"/>
        <v/>
      </c>
      <c r="AE85" s="8" t="str">
        <f t="shared" si="141"/>
        <v/>
      </c>
      <c r="AF85" s="8" t="str">
        <f t="shared" si="142"/>
        <v/>
      </c>
      <c r="AG85" s="8" t="str">
        <f t="shared" si="143"/>
        <v/>
      </c>
      <c r="AH85" s="8" t="str">
        <f t="shared" si="144"/>
        <v/>
      </c>
      <c r="AI85" s="8" t="str">
        <f t="shared" si="145"/>
        <v/>
      </c>
      <c r="AJ85" s="8" t="str">
        <f t="shared" si="146"/>
        <v/>
      </c>
      <c r="AK85" s="8" t="str">
        <f t="shared" si="147"/>
        <v/>
      </c>
      <c r="AL85" s="8" t="str">
        <f t="shared" si="148"/>
        <v>Conor Mills</v>
      </c>
      <c r="AM85" s="8" t="str">
        <f t="shared" si="149"/>
        <v/>
      </c>
      <c r="AN85" s="8" t="str">
        <f t="shared" si="150"/>
        <v/>
      </c>
      <c r="AO85" s="8" t="str">
        <f t="shared" si="151"/>
        <v/>
      </c>
      <c r="AP85" s="8" t="str">
        <f t="shared" si="152"/>
        <v>Conor Mills</v>
      </c>
      <c r="AQ85" s="8" t="str">
        <f t="shared" si="153"/>
        <v/>
      </c>
      <c r="AR85" s="8" t="str">
        <f t="shared" si="154"/>
        <v/>
      </c>
      <c r="AS85" s="8" t="str">
        <f t="shared" si="155"/>
        <v/>
      </c>
      <c r="AT85" s="8" t="str">
        <f t="shared" si="156"/>
        <v/>
      </c>
      <c r="AU85" s="8" t="str">
        <f t="shared" si="157"/>
        <v/>
      </c>
      <c r="AV85" s="8" t="str">
        <f t="shared" si="158"/>
        <v/>
      </c>
      <c r="AW85" s="8" t="str">
        <f t="shared" si="159"/>
        <v/>
      </c>
      <c r="AX85" s="8" t="str">
        <f t="shared" si="160"/>
        <v/>
      </c>
      <c r="AY85" s="8" t="str">
        <f t="shared" si="161"/>
        <v/>
      </c>
      <c r="AZ85" s="8" t="str">
        <f t="shared" si="162"/>
        <v/>
      </c>
      <c r="BA85" s="8" t="str">
        <f t="shared" si="163"/>
        <v/>
      </c>
      <c r="BB85" s="8" t="str">
        <f t="shared" si="164"/>
        <v>Conor Mills</v>
      </c>
      <c r="BC85" s="8" t="str">
        <f t="shared" si="165"/>
        <v/>
      </c>
      <c r="BD85" s="8" t="str">
        <f t="shared" si="166"/>
        <v/>
      </c>
      <c r="BE85" s="8" t="str">
        <f t="shared" si="167"/>
        <v/>
      </c>
      <c r="BF85" s="8" t="str">
        <f t="shared" si="168"/>
        <v/>
      </c>
      <c r="BG85" s="8" t="str">
        <f t="shared" si="169"/>
        <v/>
      </c>
      <c r="BH85" s="8" t="str">
        <f t="shared" si="170"/>
        <v/>
      </c>
      <c r="BI85" s="8" t="str">
        <f t="shared" si="171"/>
        <v/>
      </c>
      <c r="BJ85" s="8" t="str">
        <f t="shared" si="172"/>
        <v/>
      </c>
      <c r="BK85" s="8" t="str">
        <f t="shared" si="173"/>
        <v/>
      </c>
      <c r="BL85" s="8" t="str">
        <f t="shared" si="174"/>
        <v/>
      </c>
      <c r="BM85" s="8" t="str">
        <f t="shared" si="94"/>
        <v/>
      </c>
      <c r="BN85" s="8" t="str">
        <f t="shared" si="95"/>
        <v/>
      </c>
      <c r="BO85" s="8" t="str">
        <f t="shared" si="96"/>
        <v/>
      </c>
      <c r="BP85" s="8" t="str">
        <f t="shared" si="97"/>
        <v/>
      </c>
      <c r="BQ85" s="8" t="str">
        <f t="shared" si="98"/>
        <v/>
      </c>
      <c r="BR85" s="8" t="str">
        <f t="shared" si="99"/>
        <v>Conor Mills</v>
      </c>
      <c r="BS85" s="8" t="str">
        <f t="shared" si="100"/>
        <v/>
      </c>
      <c r="BT85" s="8" t="str">
        <f t="shared" si="101"/>
        <v/>
      </c>
      <c r="BU85" s="8" t="str">
        <f t="shared" si="102"/>
        <v/>
      </c>
      <c r="BV85" s="8" t="str">
        <f t="shared" si="103"/>
        <v/>
      </c>
      <c r="BW85" s="8" t="str">
        <f t="shared" si="104"/>
        <v/>
      </c>
      <c r="BX85" s="8" t="str">
        <f t="shared" si="105"/>
        <v/>
      </c>
      <c r="BY85" s="8" t="str">
        <f t="shared" si="106"/>
        <v/>
      </c>
      <c r="BZ85" s="8" t="str">
        <f t="shared" si="107"/>
        <v/>
      </c>
      <c r="CA85" s="8" t="str">
        <f t="shared" si="108"/>
        <v/>
      </c>
      <c r="CB85" s="8" t="str">
        <f t="shared" si="109"/>
        <v/>
      </c>
      <c r="CC85" s="8" t="str">
        <f t="shared" si="110"/>
        <v/>
      </c>
      <c r="CD85" s="8" t="str">
        <f t="shared" si="111"/>
        <v>Conor Mills</v>
      </c>
      <c r="CE85" s="8" t="str">
        <f t="shared" si="112"/>
        <v/>
      </c>
      <c r="CF85" s="8" t="str">
        <f t="shared" si="113"/>
        <v/>
      </c>
      <c r="CG85" s="8" t="str">
        <f t="shared" si="114"/>
        <v/>
      </c>
      <c r="CH85" s="8" t="str">
        <f t="shared" si="115"/>
        <v>Conor Mills</v>
      </c>
      <c r="CI85" s="8" t="str">
        <f t="shared" si="116"/>
        <v/>
      </c>
      <c r="CJ85" s="8" t="str">
        <f t="shared" si="117"/>
        <v/>
      </c>
    </row>
    <row r="86" spans="6:88">
      <c r="F86" s="36"/>
      <c r="G86" s="8">
        <f t="shared" si="118"/>
        <v>26</v>
      </c>
      <c r="I86" s="8" t="str">
        <f t="shared" si="119"/>
        <v/>
      </c>
      <c r="J86" s="8" t="str">
        <f t="shared" si="120"/>
        <v/>
      </c>
      <c r="K86" s="8" t="str">
        <f t="shared" si="121"/>
        <v/>
      </c>
      <c r="L86" s="8" t="str">
        <f t="shared" si="122"/>
        <v/>
      </c>
      <c r="M86" s="8" t="str">
        <f t="shared" si="123"/>
        <v/>
      </c>
      <c r="N86" s="8" t="str">
        <f t="shared" si="124"/>
        <v/>
      </c>
      <c r="O86" s="8" t="str">
        <f t="shared" si="125"/>
        <v/>
      </c>
      <c r="P86" s="8" t="str">
        <f t="shared" si="126"/>
        <v>Matt Payne (5)</v>
      </c>
      <c r="Q86" s="30" t="str">
        <f t="shared" si="127"/>
        <v/>
      </c>
      <c r="R86" s="8" t="str">
        <f t="shared" si="128"/>
        <v/>
      </c>
      <c r="S86" s="8" t="str">
        <f t="shared" si="129"/>
        <v/>
      </c>
      <c r="T86" s="8" t="str">
        <f t="shared" si="130"/>
        <v>Matt Payne (1)</v>
      </c>
      <c r="U86" s="8" t="str">
        <f t="shared" si="131"/>
        <v/>
      </c>
      <c r="V86" s="8" t="str">
        <f t="shared" si="132"/>
        <v/>
      </c>
      <c r="W86" s="8" t="str">
        <f t="shared" si="133"/>
        <v/>
      </c>
      <c r="X86" s="8" t="str">
        <f t="shared" si="134"/>
        <v>Matt Payne (3)</v>
      </c>
      <c r="Y86" s="8" t="str">
        <f t="shared" si="135"/>
        <v/>
      </c>
      <c r="Z86" s="8" t="str">
        <f t="shared" si="136"/>
        <v/>
      </c>
      <c r="AA86" s="8" t="str">
        <f t="shared" si="137"/>
        <v/>
      </c>
      <c r="AB86" s="8" t="str">
        <f t="shared" si="138"/>
        <v/>
      </c>
      <c r="AC86" s="8" t="str">
        <f t="shared" si="139"/>
        <v/>
      </c>
      <c r="AD86" s="8" t="str">
        <f t="shared" si="140"/>
        <v/>
      </c>
      <c r="AE86" s="8" t="str">
        <f t="shared" si="141"/>
        <v/>
      </c>
      <c r="AF86" s="8" t="str">
        <f t="shared" si="142"/>
        <v>Matt Payne (1)</v>
      </c>
      <c r="AG86" s="8" t="str">
        <f t="shared" si="143"/>
        <v/>
      </c>
      <c r="AH86" s="8" t="str">
        <f t="shared" si="144"/>
        <v/>
      </c>
      <c r="AI86" s="8" t="str">
        <f t="shared" si="145"/>
        <v/>
      </c>
      <c r="AJ86" s="8" t="str">
        <f t="shared" si="146"/>
        <v/>
      </c>
      <c r="AK86" s="8" t="str">
        <f t="shared" si="147"/>
        <v/>
      </c>
      <c r="AL86" s="8" t="str">
        <f t="shared" si="148"/>
        <v/>
      </c>
      <c r="AM86" s="8" t="str">
        <f t="shared" si="149"/>
        <v/>
      </c>
      <c r="AN86" s="8" t="str">
        <f t="shared" si="150"/>
        <v>Matt Payne (2)</v>
      </c>
      <c r="AO86" s="8" t="str">
        <f t="shared" si="151"/>
        <v/>
      </c>
      <c r="AP86" s="8" t="str">
        <f t="shared" si="152"/>
        <v/>
      </c>
      <c r="AQ86" s="8" t="str">
        <f t="shared" si="153"/>
        <v/>
      </c>
      <c r="AR86" s="8" t="str">
        <f t="shared" si="154"/>
        <v>Matt Payne (5)</v>
      </c>
      <c r="AS86" s="8" t="str">
        <f t="shared" si="155"/>
        <v/>
      </c>
      <c r="AT86" s="8" t="str">
        <f t="shared" si="156"/>
        <v/>
      </c>
      <c r="AU86" s="8" t="str">
        <f t="shared" si="157"/>
        <v/>
      </c>
      <c r="AV86" s="8" t="str">
        <f t="shared" si="158"/>
        <v>Matt Payne (1)</v>
      </c>
      <c r="AW86" s="8" t="str">
        <f t="shared" si="159"/>
        <v/>
      </c>
      <c r="AX86" s="8" t="str">
        <f t="shared" si="160"/>
        <v/>
      </c>
      <c r="AY86" s="8" t="str">
        <f t="shared" si="161"/>
        <v/>
      </c>
      <c r="AZ86" s="8" t="str">
        <f t="shared" si="162"/>
        <v>Matt Payne (2)</v>
      </c>
      <c r="BA86" s="8" t="str">
        <f t="shared" si="163"/>
        <v/>
      </c>
      <c r="BB86" s="8" t="str">
        <f t="shared" si="164"/>
        <v/>
      </c>
      <c r="BC86" s="8" t="str">
        <f t="shared" si="165"/>
        <v/>
      </c>
      <c r="BD86" s="8" t="str">
        <f t="shared" si="166"/>
        <v/>
      </c>
      <c r="BE86" s="8" t="str">
        <f t="shared" si="167"/>
        <v/>
      </c>
      <c r="BF86" s="8" t="str">
        <f t="shared" si="168"/>
        <v/>
      </c>
      <c r="BG86" s="8" t="str">
        <f t="shared" si="169"/>
        <v/>
      </c>
      <c r="BH86" s="8" t="str">
        <f t="shared" si="170"/>
        <v>Matt Payne</v>
      </c>
      <c r="BI86" s="8" t="str">
        <f t="shared" si="171"/>
        <v/>
      </c>
      <c r="BJ86" s="8" t="str">
        <f t="shared" si="172"/>
        <v/>
      </c>
      <c r="BK86" s="8" t="str">
        <f t="shared" si="173"/>
        <v/>
      </c>
      <c r="BL86" s="8" t="str">
        <f t="shared" si="174"/>
        <v>Matt Payne (2)</v>
      </c>
      <c r="BM86" s="8" t="str">
        <f t="shared" si="94"/>
        <v/>
      </c>
      <c r="BN86" s="8" t="str">
        <f t="shared" si="95"/>
        <v/>
      </c>
      <c r="BO86" s="8" t="str">
        <f t="shared" si="96"/>
        <v/>
      </c>
      <c r="BP86" s="8" t="str">
        <f t="shared" si="97"/>
        <v/>
      </c>
      <c r="BQ86" s="8" t="str">
        <f t="shared" si="98"/>
        <v/>
      </c>
      <c r="BR86" s="8" t="str">
        <f t="shared" si="99"/>
        <v/>
      </c>
      <c r="BS86" s="8" t="str">
        <f t="shared" si="100"/>
        <v/>
      </c>
      <c r="BT86" s="8" t="str">
        <f t="shared" si="101"/>
        <v/>
      </c>
      <c r="BU86" s="8" t="str">
        <f t="shared" si="102"/>
        <v/>
      </c>
      <c r="BV86" s="8" t="str">
        <f t="shared" si="103"/>
        <v/>
      </c>
      <c r="BW86" s="8" t="str">
        <f t="shared" si="104"/>
        <v/>
      </c>
      <c r="BX86" s="8" t="str">
        <f t="shared" si="105"/>
        <v/>
      </c>
      <c r="BY86" s="8" t="str">
        <f t="shared" si="106"/>
        <v/>
      </c>
      <c r="BZ86" s="8" t="str">
        <f t="shared" si="107"/>
        <v/>
      </c>
      <c r="CA86" s="8" t="str">
        <f t="shared" si="108"/>
        <v/>
      </c>
      <c r="CB86" s="8" t="str">
        <f t="shared" si="109"/>
        <v/>
      </c>
      <c r="CC86" s="8" t="str">
        <f t="shared" si="110"/>
        <v/>
      </c>
      <c r="CD86" s="8" t="str">
        <f t="shared" si="111"/>
        <v/>
      </c>
      <c r="CE86" s="8" t="str">
        <f t="shared" si="112"/>
        <v/>
      </c>
      <c r="CF86" s="8" t="str">
        <f t="shared" si="113"/>
        <v>Matt Payne (1)</v>
      </c>
      <c r="CG86" s="8" t="str">
        <f t="shared" si="114"/>
        <v/>
      </c>
      <c r="CH86" s="8" t="str">
        <f t="shared" si="115"/>
        <v/>
      </c>
      <c r="CI86" s="8" t="str">
        <f t="shared" si="116"/>
        <v/>
      </c>
      <c r="CJ86" s="8" t="str">
        <f t="shared" si="117"/>
        <v>Matt Payne</v>
      </c>
    </row>
    <row r="87" spans="6:88">
      <c r="F87" s="36"/>
      <c r="G87" s="8">
        <f t="shared" si="118"/>
        <v>27</v>
      </c>
      <c r="I87" s="8" t="str">
        <f t="shared" si="119"/>
        <v/>
      </c>
      <c r="J87" s="8" t="str">
        <f t="shared" si="120"/>
        <v/>
      </c>
      <c r="K87" s="8" t="str">
        <f t="shared" si="121"/>
        <v>Richard Pearse</v>
      </c>
      <c r="L87" s="8" t="str">
        <f t="shared" si="122"/>
        <v/>
      </c>
      <c r="M87" s="8" t="str">
        <f t="shared" si="123"/>
        <v/>
      </c>
      <c r="N87" s="8" t="str">
        <f t="shared" si="124"/>
        <v/>
      </c>
      <c r="O87" s="8" t="str">
        <f t="shared" si="125"/>
        <v>Richard Pearse (2)</v>
      </c>
      <c r="P87" s="8" t="str">
        <f t="shared" si="126"/>
        <v/>
      </c>
      <c r="Q87" s="30" t="str">
        <f t="shared" si="127"/>
        <v/>
      </c>
      <c r="R87" s="8" t="str">
        <f t="shared" si="128"/>
        <v/>
      </c>
      <c r="S87" s="8" t="str">
        <f t="shared" si="129"/>
        <v/>
      </c>
      <c r="T87" s="8" t="str">
        <f t="shared" si="130"/>
        <v/>
      </c>
      <c r="U87" s="8" t="str">
        <f t="shared" si="131"/>
        <v/>
      </c>
      <c r="V87" s="8" t="str">
        <f t="shared" si="132"/>
        <v/>
      </c>
      <c r="W87" s="8" t="str">
        <f t="shared" si="133"/>
        <v/>
      </c>
      <c r="X87" s="8" t="str">
        <f t="shared" si="134"/>
        <v/>
      </c>
      <c r="Y87" s="8" t="str">
        <f t="shared" si="135"/>
        <v/>
      </c>
      <c r="Z87" s="8" t="str">
        <f t="shared" si="136"/>
        <v/>
      </c>
      <c r="AA87" s="8" t="str">
        <f t="shared" si="137"/>
        <v/>
      </c>
      <c r="AB87" s="8" t="str">
        <f t="shared" si="138"/>
        <v>Richard Pearse</v>
      </c>
      <c r="AC87" s="8" t="str">
        <f t="shared" si="139"/>
        <v/>
      </c>
      <c r="AD87" s="8" t="str">
        <f t="shared" si="140"/>
        <v/>
      </c>
      <c r="AE87" s="8" t="str">
        <f t="shared" si="141"/>
        <v>Richard Pearse</v>
      </c>
      <c r="AF87" s="8" t="str">
        <f t="shared" si="142"/>
        <v/>
      </c>
      <c r="AG87" s="8" t="str">
        <f t="shared" si="143"/>
        <v/>
      </c>
      <c r="AH87" s="8" t="str">
        <f t="shared" si="144"/>
        <v/>
      </c>
      <c r="AI87" s="8" t="str">
        <f t="shared" si="145"/>
        <v/>
      </c>
      <c r="AJ87" s="8" t="str">
        <f t="shared" si="146"/>
        <v/>
      </c>
      <c r="AK87" s="8" t="str">
        <f t="shared" si="147"/>
        <v/>
      </c>
      <c r="AL87" s="8" t="str">
        <f t="shared" si="148"/>
        <v/>
      </c>
      <c r="AM87" s="8" t="str">
        <f t="shared" si="149"/>
        <v/>
      </c>
      <c r="AN87" s="8" t="str">
        <f t="shared" si="150"/>
        <v/>
      </c>
      <c r="AO87" s="8" t="str">
        <f t="shared" si="151"/>
        <v/>
      </c>
      <c r="AP87" s="8" t="str">
        <f t="shared" si="152"/>
        <v/>
      </c>
      <c r="AQ87" s="8" t="str">
        <f t="shared" si="153"/>
        <v>Richard Pearse</v>
      </c>
      <c r="AR87" s="8" t="str">
        <f t="shared" si="154"/>
        <v/>
      </c>
      <c r="AS87" s="8" t="str">
        <f t="shared" si="155"/>
        <v/>
      </c>
      <c r="AT87" s="8" t="str">
        <f t="shared" si="156"/>
        <v/>
      </c>
      <c r="AU87" s="8" t="str">
        <f t="shared" si="157"/>
        <v>Richard Pearse (1)</v>
      </c>
      <c r="AV87" s="8" t="str">
        <f t="shared" si="158"/>
        <v/>
      </c>
      <c r="AW87" s="8" t="str">
        <f t="shared" si="159"/>
        <v/>
      </c>
      <c r="AX87" s="8" t="str">
        <f t="shared" si="160"/>
        <v/>
      </c>
      <c r="AY87" s="8" t="str">
        <f t="shared" si="161"/>
        <v>Richard Pearse</v>
      </c>
      <c r="AZ87" s="8" t="str">
        <f t="shared" si="162"/>
        <v/>
      </c>
      <c r="BA87" s="8" t="str">
        <f t="shared" si="163"/>
        <v/>
      </c>
      <c r="BB87" s="8" t="str">
        <f t="shared" si="164"/>
        <v/>
      </c>
      <c r="BC87" s="8" t="str">
        <f t="shared" si="165"/>
        <v/>
      </c>
      <c r="BD87" s="8" t="str">
        <f t="shared" si="166"/>
        <v>Richard Pearse (1)</v>
      </c>
      <c r="BE87" s="8" t="str">
        <f t="shared" si="167"/>
        <v/>
      </c>
      <c r="BF87" s="8" t="str">
        <f t="shared" si="168"/>
        <v/>
      </c>
      <c r="BG87" s="8" t="str">
        <f t="shared" si="169"/>
        <v/>
      </c>
      <c r="BH87" s="8" t="str">
        <f t="shared" si="170"/>
        <v/>
      </c>
      <c r="BI87" s="8" t="str">
        <f t="shared" si="171"/>
        <v/>
      </c>
      <c r="BJ87" s="8" t="str">
        <f t="shared" si="172"/>
        <v/>
      </c>
      <c r="BK87" s="8" t="str">
        <f t="shared" si="173"/>
        <v>Richard Pearse (3)</v>
      </c>
      <c r="BL87" s="8" t="str">
        <f t="shared" si="174"/>
        <v/>
      </c>
      <c r="BM87" s="8" t="str">
        <f t="shared" si="94"/>
        <v/>
      </c>
      <c r="BN87" s="8" t="str">
        <f t="shared" si="95"/>
        <v/>
      </c>
      <c r="BO87" s="8" t="str">
        <f t="shared" si="96"/>
        <v/>
      </c>
      <c r="BP87" s="8" t="str">
        <f t="shared" si="97"/>
        <v/>
      </c>
      <c r="BQ87" s="8" t="str">
        <f t="shared" si="98"/>
        <v/>
      </c>
      <c r="BR87" s="8" t="str">
        <f t="shared" si="99"/>
        <v/>
      </c>
      <c r="BS87" s="8" t="str">
        <f t="shared" si="100"/>
        <v>Richard Pearse (1)</v>
      </c>
      <c r="BT87" s="8" t="str">
        <f t="shared" si="101"/>
        <v/>
      </c>
      <c r="BU87" s="8" t="str">
        <f t="shared" si="102"/>
        <v/>
      </c>
      <c r="BV87" s="8" t="str">
        <f t="shared" si="103"/>
        <v/>
      </c>
      <c r="BW87" s="8" t="str">
        <f t="shared" si="104"/>
        <v/>
      </c>
      <c r="BX87" s="8" t="str">
        <f t="shared" si="105"/>
        <v/>
      </c>
      <c r="BY87" s="8" t="str">
        <f t="shared" si="106"/>
        <v/>
      </c>
      <c r="BZ87" s="8" t="str">
        <f t="shared" si="107"/>
        <v/>
      </c>
      <c r="CA87" s="8" t="str">
        <f t="shared" si="108"/>
        <v/>
      </c>
      <c r="CB87" s="8" t="str">
        <f t="shared" si="109"/>
        <v/>
      </c>
      <c r="CC87" s="8" t="str">
        <f t="shared" si="110"/>
        <v/>
      </c>
      <c r="CD87" s="8" t="str">
        <f t="shared" si="111"/>
        <v/>
      </c>
      <c r="CE87" s="8" t="str">
        <f t="shared" si="112"/>
        <v>Richard Pearse</v>
      </c>
      <c r="CF87" s="8" t="str">
        <f t="shared" si="113"/>
        <v/>
      </c>
      <c r="CG87" s="8" t="str">
        <f t="shared" si="114"/>
        <v/>
      </c>
      <c r="CH87" s="8" t="str">
        <f t="shared" si="115"/>
        <v/>
      </c>
      <c r="CI87" s="8" t="str">
        <f t="shared" si="116"/>
        <v>Richard Pearse</v>
      </c>
      <c r="CJ87" s="8" t="str">
        <f t="shared" si="117"/>
        <v/>
      </c>
    </row>
    <row r="88" spans="6:88">
      <c r="F88" s="36"/>
      <c r="G88" s="8">
        <f t="shared" si="118"/>
        <v>28</v>
      </c>
      <c r="I88" s="8" t="str">
        <f t="shared" si="119"/>
        <v/>
      </c>
      <c r="J88" s="8" t="str">
        <f t="shared" si="120"/>
        <v/>
      </c>
      <c r="K88" s="8" t="str">
        <f t="shared" si="121"/>
        <v/>
      </c>
      <c r="L88" s="8" t="str">
        <f t="shared" si="122"/>
        <v/>
      </c>
      <c r="M88" s="8" t="str">
        <f t="shared" si="123"/>
        <v/>
      </c>
      <c r="N88" s="8" t="str">
        <f t="shared" si="124"/>
        <v/>
      </c>
      <c r="O88" s="8" t="str">
        <f t="shared" si="125"/>
        <v/>
      </c>
      <c r="P88" s="8" t="str">
        <f t="shared" si="126"/>
        <v/>
      </c>
      <c r="Q88" s="30" t="str">
        <f t="shared" si="127"/>
        <v/>
      </c>
      <c r="R88" s="8" t="str">
        <f t="shared" si="128"/>
        <v/>
      </c>
      <c r="S88" s="8" t="str">
        <f t="shared" si="129"/>
        <v/>
      </c>
      <c r="T88" s="8" t="str">
        <f t="shared" si="130"/>
        <v/>
      </c>
      <c r="U88" s="8" t="str">
        <f t="shared" si="131"/>
        <v/>
      </c>
      <c r="V88" s="8" t="str">
        <f t="shared" si="132"/>
        <v/>
      </c>
      <c r="W88" s="8" t="str">
        <f t="shared" si="133"/>
        <v/>
      </c>
      <c r="X88" s="8" t="str">
        <f t="shared" si="134"/>
        <v/>
      </c>
      <c r="Y88" s="8" t="str">
        <f t="shared" si="135"/>
        <v/>
      </c>
      <c r="Z88" s="8" t="str">
        <f t="shared" si="136"/>
        <v/>
      </c>
      <c r="AA88" s="8" t="str">
        <f t="shared" si="137"/>
        <v/>
      </c>
      <c r="AB88" s="8" t="str">
        <f t="shared" si="138"/>
        <v/>
      </c>
      <c r="AC88" s="8" t="str">
        <f t="shared" si="139"/>
        <v/>
      </c>
      <c r="AD88" s="8" t="str">
        <f t="shared" si="140"/>
        <v/>
      </c>
      <c r="AE88" s="8" t="str">
        <f t="shared" si="141"/>
        <v/>
      </c>
      <c r="AF88" s="8" t="str">
        <f t="shared" si="142"/>
        <v/>
      </c>
      <c r="AG88" s="8" t="str">
        <f t="shared" si="143"/>
        <v/>
      </c>
      <c r="AH88" s="8" t="str">
        <f t="shared" si="144"/>
        <v/>
      </c>
      <c r="AI88" s="8" t="str">
        <f t="shared" si="145"/>
        <v/>
      </c>
      <c r="AJ88" s="8" t="str">
        <f t="shared" si="146"/>
        <v/>
      </c>
      <c r="AK88" s="8" t="str">
        <f t="shared" si="147"/>
        <v/>
      </c>
      <c r="AL88" s="8" t="str">
        <f t="shared" si="148"/>
        <v/>
      </c>
      <c r="AM88" s="8" t="str">
        <f t="shared" si="149"/>
        <v/>
      </c>
      <c r="AN88" s="8" t="str">
        <f t="shared" si="150"/>
        <v/>
      </c>
      <c r="AO88" s="8" t="str">
        <f t="shared" si="151"/>
        <v/>
      </c>
      <c r="AP88" s="8" t="str">
        <f t="shared" si="152"/>
        <v/>
      </c>
      <c r="AQ88" s="8" t="str">
        <f t="shared" si="153"/>
        <v/>
      </c>
      <c r="AR88" s="8" t="str">
        <f t="shared" si="154"/>
        <v/>
      </c>
      <c r="AS88" s="8" t="str">
        <f t="shared" si="155"/>
        <v>Eliot Pugh</v>
      </c>
      <c r="AT88" s="8" t="str">
        <f t="shared" si="156"/>
        <v/>
      </c>
      <c r="AU88" s="8" t="str">
        <f t="shared" si="157"/>
        <v/>
      </c>
      <c r="AV88" s="8" t="str">
        <f t="shared" si="158"/>
        <v/>
      </c>
      <c r="AW88" s="8" t="str">
        <f t="shared" si="159"/>
        <v/>
      </c>
      <c r="AX88" s="8" t="str">
        <f t="shared" si="160"/>
        <v/>
      </c>
      <c r="AY88" s="8" t="str">
        <f t="shared" si="161"/>
        <v/>
      </c>
      <c r="AZ88" s="8" t="str">
        <f t="shared" si="162"/>
        <v/>
      </c>
      <c r="BA88" s="8" t="str">
        <f t="shared" si="163"/>
        <v/>
      </c>
      <c r="BB88" s="8" t="str">
        <f t="shared" si="164"/>
        <v/>
      </c>
      <c r="BC88" s="8" t="str">
        <f t="shared" si="165"/>
        <v/>
      </c>
      <c r="BD88" s="8" t="str">
        <f t="shared" si="166"/>
        <v/>
      </c>
      <c r="BE88" s="8" t="str">
        <f t="shared" si="167"/>
        <v/>
      </c>
      <c r="BF88" s="8" t="str">
        <f t="shared" si="168"/>
        <v/>
      </c>
      <c r="BG88" s="8" t="str">
        <f t="shared" si="169"/>
        <v/>
      </c>
      <c r="BH88" s="8" t="str">
        <f t="shared" si="170"/>
        <v/>
      </c>
      <c r="BI88" s="8" t="str">
        <f t="shared" si="171"/>
        <v/>
      </c>
      <c r="BJ88" s="8" t="str">
        <f t="shared" si="172"/>
        <v/>
      </c>
      <c r="BK88" s="8" t="str">
        <f t="shared" si="173"/>
        <v/>
      </c>
      <c r="BL88" s="8" t="str">
        <f t="shared" si="174"/>
        <v/>
      </c>
      <c r="BM88" s="8" t="str">
        <f t="shared" si="94"/>
        <v/>
      </c>
      <c r="BN88" s="8" t="str">
        <f t="shared" si="95"/>
        <v/>
      </c>
      <c r="BO88" s="8" t="str">
        <f t="shared" si="96"/>
        <v/>
      </c>
      <c r="BP88" s="8" t="str">
        <f t="shared" si="97"/>
        <v/>
      </c>
      <c r="BQ88" s="8" t="str">
        <f t="shared" si="98"/>
        <v/>
      </c>
      <c r="BR88" s="8" t="str">
        <f t="shared" si="99"/>
        <v/>
      </c>
      <c r="BS88" s="8" t="str">
        <f t="shared" si="100"/>
        <v/>
      </c>
      <c r="BT88" s="8" t="str">
        <f t="shared" si="101"/>
        <v/>
      </c>
      <c r="BU88" s="8" t="str">
        <f t="shared" si="102"/>
        <v/>
      </c>
      <c r="BV88" s="8" t="str">
        <f t="shared" si="103"/>
        <v/>
      </c>
      <c r="BW88" s="8" t="str">
        <f t="shared" si="104"/>
        <v/>
      </c>
      <c r="BX88" s="8" t="str">
        <f t="shared" si="105"/>
        <v/>
      </c>
      <c r="BY88" s="8" t="str">
        <f t="shared" si="106"/>
        <v/>
      </c>
      <c r="BZ88" s="8" t="str">
        <f t="shared" si="107"/>
        <v/>
      </c>
      <c r="CA88" s="8" t="str">
        <f t="shared" si="108"/>
        <v/>
      </c>
      <c r="CB88" s="8" t="str">
        <f t="shared" si="109"/>
        <v/>
      </c>
      <c r="CC88" s="8" t="str">
        <f t="shared" si="110"/>
        <v/>
      </c>
      <c r="CD88" s="8" t="str">
        <f t="shared" si="111"/>
        <v/>
      </c>
      <c r="CE88" s="8" t="str">
        <f t="shared" si="112"/>
        <v/>
      </c>
      <c r="CF88" s="8" t="str">
        <f t="shared" si="113"/>
        <v/>
      </c>
      <c r="CG88" s="8" t="str">
        <f t="shared" si="114"/>
        <v/>
      </c>
      <c r="CH88" s="8" t="str">
        <f t="shared" si="115"/>
        <v/>
      </c>
      <c r="CI88" s="8" t="str">
        <f t="shared" si="116"/>
        <v/>
      </c>
      <c r="CJ88" s="8" t="str">
        <f t="shared" si="117"/>
        <v/>
      </c>
    </row>
    <row r="89" spans="6:88">
      <c r="F89" s="36"/>
      <c r="G89" s="8">
        <f t="shared" si="118"/>
        <v>29</v>
      </c>
      <c r="I89" s="8" t="str">
        <f t="shared" si="119"/>
        <v/>
      </c>
      <c r="J89" s="8" t="str">
        <f t="shared" si="120"/>
        <v/>
      </c>
      <c r="K89" s="8" t="str">
        <f t="shared" si="121"/>
        <v/>
      </c>
      <c r="L89" s="8" t="str">
        <f t="shared" si="122"/>
        <v/>
      </c>
      <c r="M89" s="8" t="str">
        <f t="shared" si="123"/>
        <v/>
      </c>
      <c r="N89" s="8" t="str">
        <f t="shared" si="124"/>
        <v/>
      </c>
      <c r="O89" s="8" t="str">
        <f t="shared" si="125"/>
        <v/>
      </c>
      <c r="P89" s="8" t="str">
        <f t="shared" si="126"/>
        <v/>
      </c>
      <c r="Q89" s="30" t="str">
        <f t="shared" si="127"/>
        <v/>
      </c>
      <c r="R89" s="8" t="str">
        <f t="shared" si="128"/>
        <v/>
      </c>
      <c r="S89" s="8" t="str">
        <f t="shared" si="129"/>
        <v/>
      </c>
      <c r="T89" s="8" t="str">
        <f t="shared" si="130"/>
        <v/>
      </c>
      <c r="U89" s="8" t="str">
        <f t="shared" si="131"/>
        <v/>
      </c>
      <c r="V89" s="8" t="str">
        <f t="shared" si="132"/>
        <v/>
      </c>
      <c r="W89" s="8" t="str">
        <f t="shared" si="133"/>
        <v/>
      </c>
      <c r="X89" s="8" t="str">
        <f t="shared" si="134"/>
        <v/>
      </c>
      <c r="Y89" s="8" t="str">
        <f t="shared" si="135"/>
        <v/>
      </c>
      <c r="Z89" s="8" t="str">
        <f t="shared" si="136"/>
        <v/>
      </c>
      <c r="AA89" s="8" t="str">
        <f t="shared" si="137"/>
        <v/>
      </c>
      <c r="AB89" s="8" t="str">
        <f t="shared" si="138"/>
        <v/>
      </c>
      <c r="AC89" s="8" t="str">
        <f t="shared" si="139"/>
        <v/>
      </c>
      <c r="AD89" s="8" t="str">
        <f t="shared" si="140"/>
        <v/>
      </c>
      <c r="AE89" s="8" t="str">
        <f t="shared" si="141"/>
        <v/>
      </c>
      <c r="AF89" s="8" t="str">
        <f t="shared" si="142"/>
        <v/>
      </c>
      <c r="AG89" s="8" t="str">
        <f t="shared" si="143"/>
        <v/>
      </c>
      <c r="AH89" s="8" t="str">
        <f t="shared" si="144"/>
        <v/>
      </c>
      <c r="AI89" s="8" t="str">
        <f t="shared" si="145"/>
        <v/>
      </c>
      <c r="AJ89" s="8" t="str">
        <f t="shared" si="146"/>
        <v/>
      </c>
      <c r="AK89" s="8" t="str">
        <f t="shared" si="147"/>
        <v/>
      </c>
      <c r="AL89" s="8" t="str">
        <f t="shared" si="148"/>
        <v/>
      </c>
      <c r="AM89" s="8" t="str">
        <f t="shared" si="149"/>
        <v/>
      </c>
      <c r="AN89" s="8" t="str">
        <f t="shared" si="150"/>
        <v/>
      </c>
      <c r="AO89" s="8" t="str">
        <f t="shared" si="151"/>
        <v/>
      </c>
      <c r="AP89" s="8" t="str">
        <f t="shared" si="152"/>
        <v/>
      </c>
      <c r="AQ89" s="8" t="str">
        <f t="shared" si="153"/>
        <v/>
      </c>
      <c r="AR89" s="8" t="str">
        <f t="shared" si="154"/>
        <v/>
      </c>
      <c r="AS89" s="8" t="str">
        <f t="shared" si="155"/>
        <v/>
      </c>
      <c r="AT89" s="8" t="str">
        <f t="shared" si="156"/>
        <v/>
      </c>
      <c r="AU89" s="8" t="str">
        <f t="shared" si="157"/>
        <v/>
      </c>
      <c r="AV89" s="8" t="str">
        <f t="shared" si="158"/>
        <v/>
      </c>
      <c r="AW89" s="8" t="str">
        <f t="shared" si="159"/>
        <v/>
      </c>
      <c r="AX89" s="8" t="str">
        <f t="shared" si="160"/>
        <v/>
      </c>
      <c r="AY89" s="8" t="str">
        <f t="shared" si="161"/>
        <v/>
      </c>
      <c r="AZ89" s="8" t="str">
        <f t="shared" si="162"/>
        <v>Ben Reed (3)</v>
      </c>
      <c r="BA89" s="8" t="str">
        <f t="shared" si="163"/>
        <v/>
      </c>
      <c r="BB89" s="8" t="str">
        <f t="shared" si="164"/>
        <v/>
      </c>
      <c r="BC89" s="8" t="str">
        <f t="shared" si="165"/>
        <v/>
      </c>
      <c r="BD89" s="8" t="str">
        <f t="shared" si="166"/>
        <v/>
      </c>
      <c r="BE89" s="8" t="str">
        <f t="shared" si="167"/>
        <v/>
      </c>
      <c r="BF89" s="8" t="str">
        <f t="shared" si="168"/>
        <v/>
      </c>
      <c r="BG89" s="8" t="str">
        <f t="shared" si="169"/>
        <v/>
      </c>
      <c r="BH89" s="8" t="str">
        <f t="shared" si="170"/>
        <v/>
      </c>
      <c r="BI89" s="8" t="str">
        <f t="shared" si="171"/>
        <v/>
      </c>
      <c r="BJ89" s="8" t="str">
        <f t="shared" si="172"/>
        <v/>
      </c>
      <c r="BK89" s="8" t="str">
        <f t="shared" si="173"/>
        <v/>
      </c>
      <c r="BL89" s="8" t="str">
        <f t="shared" si="174"/>
        <v/>
      </c>
      <c r="BM89" s="8" t="str">
        <f t="shared" si="94"/>
        <v/>
      </c>
      <c r="BN89" s="8" t="str">
        <f t="shared" si="95"/>
        <v/>
      </c>
      <c r="BO89" s="8" t="str">
        <f t="shared" si="96"/>
        <v/>
      </c>
      <c r="BP89" s="8" t="str">
        <f t="shared" si="97"/>
        <v/>
      </c>
      <c r="BQ89" s="8" t="str">
        <f t="shared" si="98"/>
        <v/>
      </c>
      <c r="BR89" s="8" t="str">
        <f t="shared" si="99"/>
        <v/>
      </c>
      <c r="BS89" s="8" t="str">
        <f t="shared" si="100"/>
        <v/>
      </c>
      <c r="BT89" s="8" t="str">
        <f t="shared" si="101"/>
        <v/>
      </c>
      <c r="BU89" s="8" t="str">
        <f t="shared" si="102"/>
        <v/>
      </c>
      <c r="BV89" s="8" t="str">
        <f t="shared" si="103"/>
        <v/>
      </c>
      <c r="BW89" s="8" t="str">
        <f t="shared" si="104"/>
        <v/>
      </c>
      <c r="BX89" s="8" t="str">
        <f t="shared" si="105"/>
        <v/>
      </c>
      <c r="BY89" s="8" t="str">
        <f t="shared" si="106"/>
        <v/>
      </c>
      <c r="BZ89" s="8" t="str">
        <f t="shared" si="107"/>
        <v/>
      </c>
      <c r="CA89" s="8" t="str">
        <f t="shared" si="108"/>
        <v/>
      </c>
      <c r="CB89" s="8" t="str">
        <f t="shared" si="109"/>
        <v/>
      </c>
      <c r="CC89" s="8" t="str">
        <f t="shared" si="110"/>
        <v/>
      </c>
      <c r="CD89" s="8" t="str">
        <f t="shared" si="111"/>
        <v/>
      </c>
      <c r="CE89" s="8" t="str">
        <f t="shared" si="112"/>
        <v/>
      </c>
      <c r="CF89" s="8" t="str">
        <f t="shared" si="113"/>
        <v/>
      </c>
      <c r="CG89" s="8" t="str">
        <f t="shared" si="114"/>
        <v/>
      </c>
      <c r="CH89" s="8" t="str">
        <f t="shared" si="115"/>
        <v/>
      </c>
      <c r="CI89" s="8" t="str">
        <f t="shared" si="116"/>
        <v/>
      </c>
      <c r="CJ89" s="8" t="str">
        <f t="shared" si="117"/>
        <v/>
      </c>
    </row>
    <row r="90" spans="6:88">
      <c r="F90" s="36"/>
      <c r="G90" s="8">
        <f t="shared" si="118"/>
        <v>30</v>
      </c>
      <c r="I90" s="8" t="str">
        <f t="shared" si="119"/>
        <v/>
      </c>
      <c r="J90" s="8" t="str">
        <f t="shared" si="120"/>
        <v>Dave Slaughter</v>
      </c>
      <c r="K90" s="8" t="str">
        <f t="shared" si="121"/>
        <v/>
      </c>
      <c r="L90" s="8" t="str">
        <f t="shared" si="122"/>
        <v/>
      </c>
      <c r="M90" s="8" t="str">
        <f t="shared" si="123"/>
        <v/>
      </c>
      <c r="N90" s="8" t="str">
        <f t="shared" si="124"/>
        <v/>
      </c>
      <c r="O90" s="8" t="str">
        <f t="shared" si="125"/>
        <v/>
      </c>
      <c r="P90" s="8" t="str">
        <f t="shared" si="126"/>
        <v/>
      </c>
      <c r="Q90" s="30" t="str">
        <f t="shared" si="127"/>
        <v>Dave Slaughter</v>
      </c>
      <c r="R90" s="8" t="str">
        <f t="shared" si="128"/>
        <v/>
      </c>
      <c r="S90" s="8" t="str">
        <f t="shared" si="129"/>
        <v/>
      </c>
      <c r="T90" s="8" t="str">
        <f t="shared" si="130"/>
        <v/>
      </c>
      <c r="U90" s="8" t="str">
        <f t="shared" si="131"/>
        <v/>
      </c>
      <c r="V90" s="8" t="str">
        <f t="shared" si="132"/>
        <v/>
      </c>
      <c r="W90" s="8" t="str">
        <f t="shared" si="133"/>
        <v/>
      </c>
      <c r="X90" s="8" t="str">
        <f t="shared" si="134"/>
        <v/>
      </c>
      <c r="Y90" s="8" t="str">
        <f t="shared" si="135"/>
        <v/>
      </c>
      <c r="Z90" s="8" t="str">
        <f t="shared" si="136"/>
        <v>Dave Slaughter</v>
      </c>
      <c r="AA90" s="8" t="str">
        <f t="shared" si="137"/>
        <v/>
      </c>
      <c r="AB90" s="8" t="str">
        <f t="shared" si="138"/>
        <v/>
      </c>
      <c r="AC90" s="8" t="str">
        <f t="shared" si="139"/>
        <v/>
      </c>
      <c r="AD90" s="8" t="str">
        <f t="shared" si="140"/>
        <v>Dave Slaughter</v>
      </c>
      <c r="AE90" s="8" t="str">
        <f t="shared" si="141"/>
        <v/>
      </c>
      <c r="AF90" s="8" t="str">
        <f t="shared" si="142"/>
        <v/>
      </c>
      <c r="AG90" s="8" t="str">
        <f t="shared" si="143"/>
        <v/>
      </c>
      <c r="AH90" s="8" t="str">
        <f t="shared" si="144"/>
        <v/>
      </c>
      <c r="AI90" s="8" t="str">
        <f t="shared" si="145"/>
        <v/>
      </c>
      <c r="AJ90" s="8" t="str">
        <f t="shared" si="146"/>
        <v/>
      </c>
      <c r="AK90" s="8" t="str">
        <f t="shared" si="147"/>
        <v/>
      </c>
      <c r="AL90" s="8" t="str">
        <f t="shared" si="148"/>
        <v>Dave Slaughter</v>
      </c>
      <c r="AM90" s="8" t="str">
        <f t="shared" si="149"/>
        <v/>
      </c>
      <c r="AN90" s="8" t="str">
        <f t="shared" si="150"/>
        <v/>
      </c>
      <c r="AO90" s="8" t="str">
        <f t="shared" si="151"/>
        <v/>
      </c>
      <c r="AP90" s="8" t="str">
        <f t="shared" si="152"/>
        <v/>
      </c>
      <c r="AQ90" s="8" t="str">
        <f t="shared" si="153"/>
        <v/>
      </c>
      <c r="AR90" s="8" t="str">
        <f t="shared" si="154"/>
        <v/>
      </c>
      <c r="AS90" s="8" t="str">
        <f t="shared" si="155"/>
        <v/>
      </c>
      <c r="AT90" s="8" t="str">
        <f t="shared" si="156"/>
        <v/>
      </c>
      <c r="AU90" s="8" t="str">
        <f t="shared" si="157"/>
        <v/>
      </c>
      <c r="AV90" s="8" t="str">
        <f t="shared" si="158"/>
        <v/>
      </c>
      <c r="AW90" s="8" t="str">
        <f t="shared" si="159"/>
        <v>Dave Slaughter</v>
      </c>
      <c r="AX90" s="8" t="str">
        <f t="shared" si="160"/>
        <v/>
      </c>
      <c r="AY90" s="8" t="str">
        <f t="shared" si="161"/>
        <v/>
      </c>
      <c r="AZ90" s="8" t="str">
        <f t="shared" si="162"/>
        <v/>
      </c>
      <c r="BA90" s="8" t="str">
        <f t="shared" si="163"/>
        <v/>
      </c>
      <c r="BB90" s="8" t="str">
        <f t="shared" si="164"/>
        <v/>
      </c>
      <c r="BC90" s="8" t="str">
        <f t="shared" si="165"/>
        <v/>
      </c>
      <c r="BD90" s="8" t="str">
        <f t="shared" si="166"/>
        <v>Dave Slaughter (1)</v>
      </c>
      <c r="BE90" s="8" t="str">
        <f t="shared" si="167"/>
        <v/>
      </c>
      <c r="BF90" s="8" t="str">
        <f t="shared" si="168"/>
        <v/>
      </c>
      <c r="BG90" s="8" t="str">
        <f t="shared" si="169"/>
        <v/>
      </c>
      <c r="BH90" s="8" t="str">
        <f t="shared" si="170"/>
        <v/>
      </c>
      <c r="BI90" s="8" t="str">
        <f t="shared" si="171"/>
        <v/>
      </c>
      <c r="BJ90" s="8" t="str">
        <f t="shared" si="172"/>
        <v>Dave Slaughter</v>
      </c>
      <c r="BK90" s="8" t="str">
        <f t="shared" si="173"/>
        <v/>
      </c>
      <c r="BL90" s="8" t="str">
        <f t="shared" si="174"/>
        <v/>
      </c>
      <c r="BM90" s="8" t="str">
        <f t="shared" si="94"/>
        <v/>
      </c>
      <c r="BN90" s="8" t="str">
        <f t="shared" si="95"/>
        <v/>
      </c>
      <c r="BO90" s="8" t="str">
        <f t="shared" si="96"/>
        <v/>
      </c>
      <c r="BP90" s="8" t="str">
        <f t="shared" si="97"/>
        <v/>
      </c>
      <c r="BQ90" s="8" t="str">
        <f t="shared" si="98"/>
        <v/>
      </c>
      <c r="BR90" s="8" t="str">
        <f t="shared" si="99"/>
        <v>Dave Slaughter</v>
      </c>
      <c r="BS90" s="8" t="str">
        <f t="shared" si="100"/>
        <v/>
      </c>
      <c r="BT90" s="8" t="str">
        <f t="shared" si="101"/>
        <v/>
      </c>
      <c r="BU90" s="8" t="str">
        <f t="shared" si="102"/>
        <v/>
      </c>
      <c r="BV90" s="8" t="str">
        <f t="shared" si="103"/>
        <v/>
      </c>
      <c r="BW90" s="8" t="str">
        <f t="shared" si="104"/>
        <v/>
      </c>
      <c r="BX90" s="8" t="str">
        <f t="shared" si="105"/>
        <v/>
      </c>
      <c r="BY90" s="8" t="str">
        <f t="shared" si="106"/>
        <v/>
      </c>
      <c r="BZ90" s="8" t="str">
        <f t="shared" si="107"/>
        <v/>
      </c>
      <c r="CA90" s="8" t="str">
        <f t="shared" si="108"/>
        <v/>
      </c>
      <c r="CB90" s="8" t="str">
        <f t="shared" si="109"/>
        <v/>
      </c>
      <c r="CC90" s="8" t="str">
        <f t="shared" si="110"/>
        <v/>
      </c>
      <c r="CD90" s="8" t="str">
        <f t="shared" si="111"/>
        <v/>
      </c>
      <c r="CE90" s="8" t="str">
        <f t="shared" si="112"/>
        <v/>
      </c>
      <c r="CF90" s="8" t="str">
        <f t="shared" si="113"/>
        <v/>
      </c>
      <c r="CG90" s="8" t="str">
        <f t="shared" si="114"/>
        <v/>
      </c>
      <c r="CH90" s="8" t="str">
        <f t="shared" si="115"/>
        <v/>
      </c>
      <c r="CI90" s="8" t="str">
        <f t="shared" si="116"/>
        <v/>
      </c>
      <c r="CJ90" s="8" t="str">
        <f t="shared" si="117"/>
        <v/>
      </c>
    </row>
    <row r="91" spans="6:88">
      <c r="F91" s="36"/>
      <c r="G91" s="8">
        <f t="shared" si="118"/>
        <v>31</v>
      </c>
      <c r="I91" s="8" t="str">
        <f t="shared" si="119"/>
        <v>Jacob Thorne</v>
      </c>
      <c r="J91" s="8" t="str">
        <f t="shared" si="120"/>
        <v/>
      </c>
      <c r="K91" s="8" t="str">
        <f t="shared" si="121"/>
        <v/>
      </c>
      <c r="L91" s="8" t="str">
        <f t="shared" si="122"/>
        <v/>
      </c>
      <c r="M91" s="8" t="str">
        <f t="shared" si="123"/>
        <v>Jacob Thorne</v>
      </c>
      <c r="N91" s="8" t="str">
        <f t="shared" si="124"/>
        <v/>
      </c>
      <c r="O91" s="8" t="str">
        <f t="shared" si="125"/>
        <v/>
      </c>
      <c r="P91" s="8" t="str">
        <f t="shared" si="126"/>
        <v/>
      </c>
      <c r="Q91" s="30" t="str">
        <f t="shared" si="127"/>
        <v/>
      </c>
      <c r="R91" s="8" t="str">
        <f t="shared" si="128"/>
        <v/>
      </c>
      <c r="S91" s="8" t="str">
        <f t="shared" si="129"/>
        <v/>
      </c>
      <c r="T91" s="8" t="str">
        <f t="shared" si="130"/>
        <v/>
      </c>
      <c r="U91" s="8" t="str">
        <f t="shared" si="131"/>
        <v/>
      </c>
      <c r="V91" s="8" t="str">
        <f t="shared" si="132"/>
        <v/>
      </c>
      <c r="W91" s="8" t="str">
        <f t="shared" si="133"/>
        <v/>
      </c>
      <c r="X91" s="8" t="str">
        <f t="shared" si="134"/>
        <v/>
      </c>
      <c r="Y91" s="8" t="str">
        <f t="shared" si="135"/>
        <v>Jacob Thorne</v>
      </c>
      <c r="Z91" s="8" t="str">
        <f t="shared" si="136"/>
        <v/>
      </c>
      <c r="AA91" s="8" t="str">
        <f t="shared" si="137"/>
        <v/>
      </c>
      <c r="AB91" s="8" t="str">
        <f t="shared" si="138"/>
        <v/>
      </c>
      <c r="AC91" s="8" t="str">
        <f t="shared" si="139"/>
        <v>Jacob Thorne</v>
      </c>
      <c r="AD91" s="8" t="str">
        <f t="shared" si="140"/>
        <v/>
      </c>
      <c r="AE91" s="8" t="str">
        <f t="shared" si="141"/>
        <v/>
      </c>
      <c r="AF91" s="8" t="str">
        <f t="shared" si="142"/>
        <v/>
      </c>
      <c r="AG91" s="8" t="str">
        <f t="shared" si="143"/>
        <v/>
      </c>
      <c r="AH91" s="8" t="str">
        <f t="shared" si="144"/>
        <v/>
      </c>
      <c r="AI91" s="8" t="str">
        <f t="shared" si="145"/>
        <v/>
      </c>
      <c r="AJ91" s="8" t="str">
        <f t="shared" si="146"/>
        <v/>
      </c>
      <c r="AK91" s="8" t="str">
        <f t="shared" si="147"/>
        <v>Jacob Thorne</v>
      </c>
      <c r="AL91" s="8" t="str">
        <f t="shared" si="148"/>
        <v/>
      </c>
      <c r="AM91" s="8" t="str">
        <f t="shared" si="149"/>
        <v/>
      </c>
      <c r="AN91" s="8" t="str">
        <f t="shared" si="150"/>
        <v/>
      </c>
      <c r="AO91" s="8" t="str">
        <f t="shared" si="151"/>
        <v>Jacob Thorne</v>
      </c>
      <c r="AP91" s="8" t="str">
        <f t="shared" si="152"/>
        <v/>
      </c>
      <c r="AQ91" s="8" t="str">
        <f t="shared" si="153"/>
        <v/>
      </c>
      <c r="AR91" s="8" t="str">
        <f t="shared" si="154"/>
        <v/>
      </c>
      <c r="AS91" s="8" t="str">
        <f t="shared" si="155"/>
        <v/>
      </c>
      <c r="AT91" s="8" t="str">
        <f t="shared" si="156"/>
        <v/>
      </c>
      <c r="AU91" s="8" t="str">
        <f t="shared" si="157"/>
        <v/>
      </c>
      <c r="AV91" s="8" t="str">
        <f t="shared" si="158"/>
        <v/>
      </c>
      <c r="AW91" s="8" t="str">
        <f t="shared" si="159"/>
        <v/>
      </c>
      <c r="AX91" s="8" t="str">
        <f t="shared" si="160"/>
        <v/>
      </c>
      <c r="AY91" s="8" t="str">
        <f t="shared" si="161"/>
        <v/>
      </c>
      <c r="AZ91" s="8" t="str">
        <f t="shared" si="162"/>
        <v/>
      </c>
      <c r="BA91" s="8" t="str">
        <f t="shared" si="163"/>
        <v>Jacob Thorne</v>
      </c>
      <c r="BB91" s="8" t="str">
        <f t="shared" si="164"/>
        <v/>
      </c>
      <c r="BC91" s="8" t="str">
        <f t="shared" si="165"/>
        <v/>
      </c>
      <c r="BD91" s="8" t="str">
        <f t="shared" si="166"/>
        <v/>
      </c>
      <c r="BE91" s="8" t="str">
        <f t="shared" si="167"/>
        <v>Jacob Thorne</v>
      </c>
      <c r="BF91" s="8" t="str">
        <f t="shared" si="168"/>
        <v/>
      </c>
      <c r="BG91" s="8" t="str">
        <f t="shared" si="169"/>
        <v/>
      </c>
      <c r="BH91" s="8" t="str">
        <f t="shared" si="170"/>
        <v/>
      </c>
      <c r="BI91" s="8" t="str">
        <f t="shared" si="171"/>
        <v>Jacob Thorne</v>
      </c>
      <c r="BJ91" s="8" t="str">
        <f t="shared" si="172"/>
        <v/>
      </c>
      <c r="BK91" s="8" t="str">
        <f t="shared" si="173"/>
        <v/>
      </c>
      <c r="BL91" s="8" t="str">
        <f t="shared" si="174"/>
        <v/>
      </c>
      <c r="BM91" s="8" t="str">
        <f t="shared" si="94"/>
        <v/>
      </c>
      <c r="BN91" s="8" t="str">
        <f t="shared" si="95"/>
        <v/>
      </c>
      <c r="BO91" s="8" t="str">
        <f t="shared" si="96"/>
        <v/>
      </c>
      <c r="BP91" s="8" t="str">
        <f t="shared" si="97"/>
        <v/>
      </c>
      <c r="BQ91" s="8" t="str">
        <f t="shared" si="98"/>
        <v>Jacob Thorne</v>
      </c>
      <c r="BR91" s="8" t="str">
        <f t="shared" si="99"/>
        <v/>
      </c>
      <c r="BS91" s="8" t="str">
        <f t="shared" si="100"/>
        <v/>
      </c>
      <c r="BT91" s="8" t="str">
        <f t="shared" si="101"/>
        <v/>
      </c>
      <c r="BU91" s="8" t="str">
        <f t="shared" si="102"/>
        <v/>
      </c>
      <c r="BV91" s="8" t="str">
        <f t="shared" si="103"/>
        <v/>
      </c>
      <c r="BW91" s="8" t="str">
        <f t="shared" si="104"/>
        <v/>
      </c>
      <c r="BX91" s="8" t="str">
        <f t="shared" si="105"/>
        <v/>
      </c>
      <c r="BY91" s="8" t="str">
        <f t="shared" si="106"/>
        <v/>
      </c>
      <c r="BZ91" s="8" t="str">
        <f t="shared" si="107"/>
        <v/>
      </c>
      <c r="CA91" s="8" t="str">
        <f t="shared" si="108"/>
        <v/>
      </c>
      <c r="CB91" s="8" t="str">
        <f t="shared" si="109"/>
        <v/>
      </c>
      <c r="CC91" s="8" t="str">
        <f t="shared" si="110"/>
        <v>Jacob Thorne</v>
      </c>
      <c r="CD91" s="8" t="str">
        <f t="shared" si="111"/>
        <v/>
      </c>
      <c r="CE91" s="8" t="str">
        <f t="shared" si="112"/>
        <v/>
      </c>
      <c r="CF91" s="8" t="str">
        <f t="shared" si="113"/>
        <v/>
      </c>
      <c r="CG91" s="8" t="str">
        <f t="shared" si="114"/>
        <v>Jacob Thorne</v>
      </c>
      <c r="CH91" s="8" t="str">
        <f t="shared" si="115"/>
        <v/>
      </c>
      <c r="CI91" s="8" t="str">
        <f t="shared" si="116"/>
        <v/>
      </c>
      <c r="CJ91" s="8" t="str">
        <f t="shared" si="117"/>
        <v/>
      </c>
    </row>
    <row r="92" spans="6:88">
      <c r="F92" s="36"/>
      <c r="G92" s="8">
        <f t="shared" si="118"/>
        <v>32</v>
      </c>
      <c r="I92" s="8" t="str">
        <f t="shared" si="119"/>
        <v/>
      </c>
      <c r="J92" s="8" t="str">
        <f t="shared" si="120"/>
        <v/>
      </c>
      <c r="K92" s="8" t="str">
        <f t="shared" si="121"/>
        <v/>
      </c>
      <c r="L92" s="8" t="str">
        <f t="shared" si="122"/>
        <v/>
      </c>
      <c r="M92" s="8" t="str">
        <f t="shared" si="123"/>
        <v/>
      </c>
      <c r="N92" s="8" t="str">
        <f t="shared" si="124"/>
        <v/>
      </c>
      <c r="O92" s="8" t="str">
        <f t="shared" si="125"/>
        <v>Matt Twose (1)</v>
      </c>
      <c r="P92" s="8" t="str">
        <f t="shared" si="126"/>
        <v/>
      </c>
      <c r="Q92" s="30" t="str">
        <f t="shared" si="127"/>
        <v/>
      </c>
      <c r="R92" s="8" t="str">
        <f t="shared" si="128"/>
        <v/>
      </c>
      <c r="S92" s="8" t="str">
        <f t="shared" si="129"/>
        <v>Matt Twose (1)</v>
      </c>
      <c r="T92" s="8" t="str">
        <f t="shared" si="130"/>
        <v/>
      </c>
      <c r="U92" s="8" t="str">
        <f t="shared" si="131"/>
        <v/>
      </c>
      <c r="V92" s="8" t="str">
        <f t="shared" si="132"/>
        <v/>
      </c>
      <c r="W92" s="8" t="str">
        <f t="shared" si="133"/>
        <v>Matt Twose (2)</v>
      </c>
      <c r="X92" s="8" t="str">
        <f t="shared" si="134"/>
        <v/>
      </c>
      <c r="Y92" s="8" t="str">
        <f t="shared" si="135"/>
        <v/>
      </c>
      <c r="Z92" s="8" t="str">
        <f t="shared" si="136"/>
        <v/>
      </c>
      <c r="AA92" s="8" t="str">
        <f t="shared" si="137"/>
        <v>Matt Twose (1)</v>
      </c>
      <c r="AB92" s="8" t="str">
        <f t="shared" si="138"/>
        <v/>
      </c>
      <c r="AC92" s="8" t="str">
        <f t="shared" si="139"/>
        <v/>
      </c>
      <c r="AD92" s="8" t="str">
        <f t="shared" si="140"/>
        <v/>
      </c>
      <c r="AE92" s="8" t="str">
        <f t="shared" si="141"/>
        <v>Matt Twose</v>
      </c>
      <c r="AF92" s="8" t="str">
        <f t="shared" si="142"/>
        <v/>
      </c>
      <c r="AG92" s="8" t="str">
        <f t="shared" si="143"/>
        <v/>
      </c>
      <c r="AH92" s="8" t="str">
        <f t="shared" si="144"/>
        <v/>
      </c>
      <c r="AI92" s="8" t="str">
        <f t="shared" si="145"/>
        <v/>
      </c>
      <c r="AJ92" s="8" t="str">
        <f t="shared" si="146"/>
        <v/>
      </c>
      <c r="AK92" s="8" t="str">
        <f t="shared" si="147"/>
        <v/>
      </c>
      <c r="AL92" s="8" t="str">
        <f t="shared" si="148"/>
        <v/>
      </c>
      <c r="AM92" s="8" t="str">
        <f t="shared" si="149"/>
        <v/>
      </c>
      <c r="AN92" s="8" t="str">
        <f t="shared" si="150"/>
        <v/>
      </c>
      <c r="AO92" s="8" t="str">
        <f t="shared" si="151"/>
        <v/>
      </c>
      <c r="AP92" s="8" t="str">
        <f t="shared" si="152"/>
        <v/>
      </c>
      <c r="AQ92" s="8" t="str">
        <f t="shared" si="153"/>
        <v>Matt Twose (1)</v>
      </c>
      <c r="AR92" s="8" t="str">
        <f t="shared" si="154"/>
        <v/>
      </c>
      <c r="AS92" s="8" t="str">
        <f t="shared" si="155"/>
        <v/>
      </c>
      <c r="AT92" s="8" t="str">
        <f t="shared" si="156"/>
        <v/>
      </c>
      <c r="AU92" s="8" t="str">
        <f t="shared" si="157"/>
        <v>Matt Twose</v>
      </c>
      <c r="AV92" s="8" t="str">
        <f t="shared" si="158"/>
        <v/>
      </c>
      <c r="AW92" s="8" t="str">
        <f t="shared" si="159"/>
        <v/>
      </c>
      <c r="AX92" s="8" t="str">
        <f t="shared" si="160"/>
        <v/>
      </c>
      <c r="AY92" s="8" t="str">
        <f t="shared" si="161"/>
        <v>Matt Twose</v>
      </c>
      <c r="AZ92" s="8" t="str">
        <f t="shared" si="162"/>
        <v/>
      </c>
      <c r="BA92" s="8" t="str">
        <f t="shared" si="163"/>
        <v/>
      </c>
      <c r="BB92" s="8" t="str">
        <f t="shared" si="164"/>
        <v/>
      </c>
      <c r="BC92" s="8" t="str">
        <f t="shared" si="165"/>
        <v>Matt Twose</v>
      </c>
      <c r="BD92" s="8" t="str">
        <f t="shared" si="166"/>
        <v/>
      </c>
      <c r="BE92" s="8" t="str">
        <f t="shared" si="167"/>
        <v/>
      </c>
      <c r="BF92" s="8" t="str">
        <f t="shared" si="168"/>
        <v/>
      </c>
      <c r="BG92" s="8" t="str">
        <f t="shared" si="169"/>
        <v>Matt Twose</v>
      </c>
      <c r="BH92" s="8" t="str">
        <f t="shared" si="170"/>
        <v/>
      </c>
      <c r="BI92" s="8" t="str">
        <f t="shared" si="171"/>
        <v/>
      </c>
      <c r="BJ92" s="8" t="str">
        <f t="shared" si="172"/>
        <v/>
      </c>
      <c r="BK92" s="8" t="str">
        <f t="shared" si="173"/>
        <v/>
      </c>
      <c r="BL92" s="8" t="str">
        <f t="shared" si="174"/>
        <v/>
      </c>
      <c r="BM92" s="8" t="str">
        <f t="shared" si="94"/>
        <v/>
      </c>
      <c r="BN92" s="8" t="str">
        <f t="shared" si="95"/>
        <v/>
      </c>
      <c r="BO92" s="8" t="str">
        <f t="shared" si="96"/>
        <v/>
      </c>
      <c r="BP92" s="8" t="str">
        <f t="shared" si="97"/>
        <v/>
      </c>
      <c r="BQ92" s="8" t="str">
        <f t="shared" si="98"/>
        <v/>
      </c>
      <c r="BR92" s="8" t="str">
        <f t="shared" si="99"/>
        <v/>
      </c>
      <c r="BS92" s="8" t="str">
        <f t="shared" si="100"/>
        <v>Matt Twose</v>
      </c>
      <c r="BT92" s="8" t="str">
        <f t="shared" si="101"/>
        <v/>
      </c>
      <c r="BU92" s="8" t="str">
        <f t="shared" si="102"/>
        <v/>
      </c>
      <c r="BV92" s="8" t="str">
        <f t="shared" si="103"/>
        <v/>
      </c>
      <c r="BW92" s="8" t="str">
        <f t="shared" si="104"/>
        <v/>
      </c>
      <c r="BX92" s="8" t="str">
        <f t="shared" si="105"/>
        <v/>
      </c>
      <c r="BY92" s="8" t="str">
        <f t="shared" si="106"/>
        <v/>
      </c>
      <c r="BZ92" s="8" t="str">
        <f t="shared" si="107"/>
        <v/>
      </c>
      <c r="CA92" s="8" t="str">
        <f t="shared" si="108"/>
        <v/>
      </c>
      <c r="CB92" s="8" t="str">
        <f t="shared" si="109"/>
        <v/>
      </c>
      <c r="CC92" s="8" t="str">
        <f t="shared" si="110"/>
        <v/>
      </c>
      <c r="CD92" s="8" t="str">
        <f t="shared" si="111"/>
        <v/>
      </c>
      <c r="CE92" s="8" t="str">
        <f t="shared" si="112"/>
        <v>Matt Twose (1)</v>
      </c>
      <c r="CF92" s="8" t="str">
        <f t="shared" si="113"/>
        <v/>
      </c>
      <c r="CG92" s="8" t="str">
        <f t="shared" si="114"/>
        <v/>
      </c>
      <c r="CH92" s="8" t="str">
        <f t="shared" si="115"/>
        <v/>
      </c>
      <c r="CI92" s="8" t="str">
        <f t="shared" si="116"/>
        <v>Matt Twose</v>
      </c>
      <c r="CJ92" s="8" t="str">
        <f t="shared" si="117"/>
        <v/>
      </c>
    </row>
    <row r="93" spans="6:88">
      <c r="F93" s="36"/>
      <c r="G93" s="8">
        <f t="shared" si="118"/>
        <v>33</v>
      </c>
      <c r="I93" s="8" t="str">
        <f t="shared" si="119"/>
        <v/>
      </c>
      <c r="J93" s="8" t="str">
        <f t="shared" si="120"/>
        <v>Mark Winter</v>
      </c>
      <c r="K93" s="8" t="str">
        <f t="shared" si="121"/>
        <v/>
      </c>
      <c r="L93" s="8" t="str">
        <f t="shared" si="122"/>
        <v/>
      </c>
      <c r="M93" s="8" t="str">
        <f t="shared" si="123"/>
        <v/>
      </c>
      <c r="N93" s="8" t="str">
        <f t="shared" si="124"/>
        <v>Mark Winter</v>
      </c>
      <c r="O93" s="8" t="str">
        <f t="shared" si="125"/>
        <v/>
      </c>
      <c r="P93" s="8" t="str">
        <f t="shared" si="126"/>
        <v/>
      </c>
      <c r="Q93" s="30" t="str">
        <f t="shared" si="127"/>
        <v/>
      </c>
      <c r="R93" s="8" t="str">
        <f t="shared" si="128"/>
        <v>Mark Winter</v>
      </c>
      <c r="S93" s="8" t="str">
        <f t="shared" si="129"/>
        <v/>
      </c>
      <c r="T93" s="8" t="str">
        <f t="shared" si="130"/>
        <v/>
      </c>
      <c r="U93" s="8" t="str">
        <f t="shared" si="131"/>
        <v/>
      </c>
      <c r="V93" s="8" t="str">
        <f t="shared" si="132"/>
        <v>Mark Winter</v>
      </c>
      <c r="W93" s="8" t="str">
        <f t="shared" si="133"/>
        <v/>
      </c>
      <c r="X93" s="8" t="str">
        <f t="shared" si="134"/>
        <v/>
      </c>
      <c r="Y93" s="8" t="str">
        <f t="shared" si="135"/>
        <v/>
      </c>
      <c r="Z93" s="8" t="str">
        <f t="shared" si="136"/>
        <v>Mark Winter</v>
      </c>
      <c r="AA93" s="8" t="str">
        <f t="shared" si="137"/>
        <v/>
      </c>
      <c r="AB93" s="8" t="str">
        <f t="shared" si="138"/>
        <v/>
      </c>
      <c r="AC93" s="8" t="str">
        <f t="shared" si="139"/>
        <v/>
      </c>
      <c r="AD93" s="8" t="str">
        <f t="shared" si="140"/>
        <v>Mark Winter</v>
      </c>
      <c r="AE93" s="8" t="str">
        <f t="shared" si="141"/>
        <v/>
      </c>
      <c r="AF93" s="8" t="str">
        <f t="shared" si="142"/>
        <v/>
      </c>
      <c r="AG93" s="8" t="str">
        <f t="shared" si="143"/>
        <v/>
      </c>
      <c r="AH93" s="8" t="str">
        <f t="shared" si="144"/>
        <v/>
      </c>
      <c r="AI93" s="8" t="str">
        <f t="shared" si="145"/>
        <v/>
      </c>
      <c r="AJ93" s="8" t="str">
        <f t="shared" si="146"/>
        <v/>
      </c>
      <c r="AK93" s="8" t="str">
        <f t="shared" si="147"/>
        <v/>
      </c>
      <c r="AL93" s="8" t="str">
        <f t="shared" si="148"/>
        <v>Mark Winter</v>
      </c>
      <c r="AM93" s="8" t="str">
        <f t="shared" si="149"/>
        <v/>
      </c>
      <c r="AN93" s="8" t="str">
        <f t="shared" si="150"/>
        <v/>
      </c>
      <c r="AO93" s="8" t="str">
        <f t="shared" si="151"/>
        <v/>
      </c>
      <c r="AP93" s="8" t="str">
        <f t="shared" si="152"/>
        <v>Mark Winter</v>
      </c>
      <c r="AQ93" s="8" t="str">
        <f t="shared" si="153"/>
        <v/>
      </c>
      <c r="AR93" s="8" t="str">
        <f t="shared" si="154"/>
        <v/>
      </c>
      <c r="AS93" s="8" t="str">
        <f t="shared" si="155"/>
        <v/>
      </c>
      <c r="AT93" s="8" t="str">
        <f t="shared" si="156"/>
        <v>Mark Winter</v>
      </c>
      <c r="AU93" s="8" t="str">
        <f t="shared" si="157"/>
        <v/>
      </c>
      <c r="AV93" s="8" t="str">
        <f t="shared" si="158"/>
        <v/>
      </c>
      <c r="AW93" s="8" t="str">
        <f t="shared" si="159"/>
        <v/>
      </c>
      <c r="AX93" s="8" t="str">
        <f t="shared" si="160"/>
        <v/>
      </c>
      <c r="AY93" s="8" t="str">
        <f t="shared" si="161"/>
        <v/>
      </c>
      <c r="AZ93" s="8" t="str">
        <f t="shared" si="162"/>
        <v/>
      </c>
      <c r="BA93" s="8" t="str">
        <f t="shared" si="163"/>
        <v/>
      </c>
      <c r="BB93" s="8" t="str">
        <f t="shared" si="164"/>
        <v>Mark Winter</v>
      </c>
      <c r="BC93" s="8" t="str">
        <f t="shared" si="165"/>
        <v/>
      </c>
      <c r="BD93" s="8" t="str">
        <f t="shared" si="166"/>
        <v/>
      </c>
      <c r="BE93" s="8" t="str">
        <f t="shared" si="167"/>
        <v/>
      </c>
      <c r="BF93" s="8" t="str">
        <f t="shared" si="168"/>
        <v>Mark Winter</v>
      </c>
      <c r="BG93" s="8" t="str">
        <f t="shared" si="169"/>
        <v/>
      </c>
      <c r="BH93" s="8" t="str">
        <f t="shared" si="170"/>
        <v/>
      </c>
      <c r="BI93" s="8" t="str">
        <f t="shared" si="171"/>
        <v/>
      </c>
      <c r="BJ93" s="8" t="str">
        <f t="shared" si="172"/>
        <v>Mark Winter</v>
      </c>
      <c r="BK93" s="8" t="str">
        <f t="shared" si="173"/>
        <v/>
      </c>
      <c r="BL93" s="8" t="str">
        <f t="shared" si="174"/>
        <v/>
      </c>
      <c r="BM93" s="8" t="str">
        <f t="shared" si="94"/>
        <v/>
      </c>
      <c r="BN93" s="8" t="str">
        <f t="shared" si="95"/>
        <v/>
      </c>
      <c r="BO93" s="8" t="str">
        <f t="shared" si="96"/>
        <v/>
      </c>
      <c r="BP93" s="8" t="str">
        <f t="shared" si="97"/>
        <v/>
      </c>
      <c r="BQ93" s="8" t="str">
        <f t="shared" si="98"/>
        <v/>
      </c>
      <c r="BR93" s="8" t="str">
        <f t="shared" si="99"/>
        <v>Mark Winter</v>
      </c>
      <c r="BS93" s="8" t="str">
        <f t="shared" si="100"/>
        <v/>
      </c>
      <c r="BT93" s="8" t="str">
        <f t="shared" si="101"/>
        <v/>
      </c>
      <c r="BU93" s="8" t="str">
        <f t="shared" si="102"/>
        <v/>
      </c>
      <c r="BV93" s="8" t="str">
        <f t="shared" si="103"/>
        <v/>
      </c>
      <c r="BW93" s="8" t="str">
        <f t="shared" si="104"/>
        <v/>
      </c>
      <c r="BX93" s="8" t="str">
        <f t="shared" si="105"/>
        <v/>
      </c>
      <c r="BY93" s="8" t="str">
        <f t="shared" si="106"/>
        <v/>
      </c>
      <c r="BZ93" s="8" t="str">
        <f t="shared" si="107"/>
        <v/>
      </c>
      <c r="CA93" s="8" t="str">
        <f t="shared" si="108"/>
        <v/>
      </c>
      <c r="CB93" s="8" t="str">
        <f t="shared" si="109"/>
        <v/>
      </c>
      <c r="CC93" s="8" t="str">
        <f t="shared" si="110"/>
        <v/>
      </c>
      <c r="CD93" s="8" t="str">
        <f t="shared" si="111"/>
        <v>Mark Winter</v>
      </c>
      <c r="CE93" s="8" t="str">
        <f t="shared" si="112"/>
        <v/>
      </c>
      <c r="CF93" s="8" t="str">
        <f t="shared" si="113"/>
        <v/>
      </c>
      <c r="CG93" s="8" t="str">
        <f t="shared" si="114"/>
        <v/>
      </c>
      <c r="CH93" s="8" t="str">
        <f t="shared" si="115"/>
        <v>Mark Winter</v>
      </c>
      <c r="CI93" s="8" t="str">
        <f t="shared" si="116"/>
        <v/>
      </c>
      <c r="CJ93" s="8" t="str">
        <f t="shared" si="117"/>
        <v/>
      </c>
    </row>
    <row r="94" spans="6:88">
      <c r="F94" s="36"/>
      <c r="G94" s="8">
        <f t="shared" si="118"/>
        <v>34</v>
      </c>
      <c r="I94" s="8" t="str">
        <f t="shared" si="119"/>
        <v/>
      </c>
      <c r="J94" s="8" t="str">
        <f t="shared" si="120"/>
        <v/>
      </c>
      <c r="K94" s="8" t="str">
        <f t="shared" si="121"/>
        <v/>
      </c>
      <c r="L94" s="8" t="str">
        <f t="shared" si="122"/>
        <v/>
      </c>
      <c r="M94" s="8" t="str">
        <f t="shared" si="123"/>
        <v/>
      </c>
      <c r="N94" s="8" t="str">
        <f t="shared" si="124"/>
        <v/>
      </c>
      <c r="O94" s="8" t="str">
        <f t="shared" si="125"/>
        <v/>
      </c>
      <c r="P94" s="8" t="str">
        <f t="shared" si="126"/>
        <v/>
      </c>
      <c r="Q94" s="30" t="str">
        <f t="shared" si="127"/>
        <v/>
      </c>
      <c r="R94" s="8" t="str">
        <f t="shared" si="128"/>
        <v/>
      </c>
      <c r="S94" s="8" t="str">
        <f t="shared" si="129"/>
        <v/>
      </c>
      <c r="T94" s="8" t="str">
        <f t="shared" si="130"/>
        <v/>
      </c>
      <c r="U94" s="8" t="str">
        <f t="shared" si="131"/>
        <v/>
      </c>
      <c r="V94" s="8" t="str">
        <f t="shared" si="132"/>
        <v/>
      </c>
      <c r="W94" s="8" t="str">
        <f t="shared" si="133"/>
        <v/>
      </c>
      <c r="X94" s="8" t="str">
        <f t="shared" si="134"/>
        <v/>
      </c>
      <c r="Y94" s="8" t="str">
        <f t="shared" si="135"/>
        <v/>
      </c>
      <c r="Z94" s="8" t="str">
        <f t="shared" si="136"/>
        <v/>
      </c>
      <c r="AA94" s="8" t="str">
        <f t="shared" si="137"/>
        <v/>
      </c>
      <c r="AB94" s="8" t="str">
        <f t="shared" si="138"/>
        <v/>
      </c>
      <c r="AC94" s="8" t="str">
        <f t="shared" si="139"/>
        <v/>
      </c>
      <c r="AD94" s="8" t="str">
        <f t="shared" si="140"/>
        <v/>
      </c>
      <c r="AE94" s="8" t="str">
        <f t="shared" si="141"/>
        <v/>
      </c>
      <c r="AF94" s="8" t="str">
        <f t="shared" si="142"/>
        <v/>
      </c>
      <c r="AG94" s="8" t="str">
        <f t="shared" si="143"/>
        <v/>
      </c>
      <c r="AH94" s="8" t="str">
        <f t="shared" si="144"/>
        <v/>
      </c>
      <c r="AI94" s="8" t="str">
        <f t="shared" si="145"/>
        <v/>
      </c>
      <c r="AJ94" s="8" t="str">
        <f t="shared" si="146"/>
        <v/>
      </c>
      <c r="AK94" s="8" t="str">
        <f t="shared" si="147"/>
        <v/>
      </c>
      <c r="AL94" s="8" t="str">
        <f t="shared" si="148"/>
        <v/>
      </c>
      <c r="AM94" s="8" t="str">
        <f t="shared" si="149"/>
        <v/>
      </c>
      <c r="AN94" s="8" t="str">
        <f t="shared" si="150"/>
        <v/>
      </c>
      <c r="AO94" s="8" t="str">
        <f t="shared" si="151"/>
        <v/>
      </c>
      <c r="AP94" s="8" t="str">
        <f t="shared" si="152"/>
        <v/>
      </c>
      <c r="AQ94" s="8" t="str">
        <f t="shared" si="153"/>
        <v/>
      </c>
      <c r="AR94" s="8" t="str">
        <f t="shared" si="154"/>
        <v/>
      </c>
      <c r="AS94" s="8" t="str">
        <f t="shared" si="155"/>
        <v/>
      </c>
      <c r="AT94" s="8" t="str">
        <f t="shared" si="156"/>
        <v/>
      </c>
      <c r="AU94" s="8" t="str">
        <f t="shared" si="157"/>
        <v/>
      </c>
      <c r="AV94" s="8" t="str">
        <f t="shared" si="158"/>
        <v/>
      </c>
      <c r="AW94" s="8" t="str">
        <f t="shared" si="159"/>
        <v/>
      </c>
      <c r="AX94" s="8" t="str">
        <f t="shared" si="160"/>
        <v/>
      </c>
      <c r="AY94" s="8" t="str">
        <f t="shared" si="161"/>
        <v/>
      </c>
      <c r="AZ94" s="8" t="str">
        <f t="shared" si="162"/>
        <v/>
      </c>
      <c r="BA94" s="8" t="str">
        <f t="shared" si="163"/>
        <v/>
      </c>
      <c r="BB94" s="8" t="str">
        <f t="shared" si="164"/>
        <v/>
      </c>
      <c r="BC94" s="8" t="str">
        <f t="shared" si="165"/>
        <v/>
      </c>
      <c r="BD94" s="8" t="str">
        <f t="shared" si="166"/>
        <v/>
      </c>
      <c r="BE94" s="8" t="str">
        <f t="shared" si="167"/>
        <v/>
      </c>
      <c r="BF94" s="8" t="str">
        <f t="shared" si="168"/>
        <v/>
      </c>
      <c r="BG94" s="8" t="str">
        <f t="shared" si="169"/>
        <v/>
      </c>
      <c r="BH94" s="8" t="str">
        <f t="shared" si="170"/>
        <v/>
      </c>
      <c r="BI94" s="8" t="str">
        <f t="shared" si="171"/>
        <v/>
      </c>
      <c r="BJ94" s="8" t="str">
        <f t="shared" si="172"/>
        <v/>
      </c>
      <c r="BK94" s="8" t="str">
        <f t="shared" si="173"/>
        <v/>
      </c>
      <c r="BL94" s="8" t="str">
        <f t="shared" si="174"/>
        <v/>
      </c>
      <c r="BM94" s="8" t="str">
        <f t="shared" si="94"/>
        <v/>
      </c>
      <c r="BN94" s="8" t="str">
        <f t="shared" si="95"/>
        <v/>
      </c>
      <c r="BO94" s="8" t="str">
        <f t="shared" si="96"/>
        <v/>
      </c>
      <c r="BP94" s="8" t="str">
        <f t="shared" si="97"/>
        <v/>
      </c>
      <c r="BQ94" s="8" t="str">
        <f t="shared" si="98"/>
        <v/>
      </c>
      <c r="BR94" s="8" t="str">
        <f t="shared" si="99"/>
        <v/>
      </c>
      <c r="BS94" s="8" t="str">
        <f t="shared" si="100"/>
        <v/>
      </c>
      <c r="BT94" s="8" t="str">
        <f t="shared" si="101"/>
        <v/>
      </c>
      <c r="BU94" s="8" t="str">
        <f t="shared" si="102"/>
        <v/>
      </c>
      <c r="BV94" s="8" t="str">
        <f t="shared" si="103"/>
        <v/>
      </c>
      <c r="BW94" s="8" t="str">
        <f t="shared" si="104"/>
        <v/>
      </c>
      <c r="BX94" s="8" t="str">
        <f t="shared" si="105"/>
        <v/>
      </c>
      <c r="BY94" s="8" t="str">
        <f t="shared" si="106"/>
        <v/>
      </c>
      <c r="BZ94" s="8" t="str">
        <f t="shared" si="107"/>
        <v/>
      </c>
      <c r="CA94" s="8" t="str">
        <f t="shared" si="108"/>
        <v/>
      </c>
      <c r="CB94" s="8" t="str">
        <f t="shared" si="109"/>
        <v/>
      </c>
      <c r="CC94" s="8" t="str">
        <f t="shared" si="110"/>
        <v/>
      </c>
      <c r="CD94" s="8" t="str">
        <f t="shared" si="111"/>
        <v/>
      </c>
      <c r="CE94" s="8" t="str">
        <f t="shared" si="112"/>
        <v/>
      </c>
      <c r="CF94" s="8" t="str">
        <f t="shared" si="113"/>
        <v/>
      </c>
      <c r="CG94" s="8" t="str">
        <f t="shared" si="114"/>
        <v/>
      </c>
      <c r="CH94" s="8" t="str">
        <f t="shared" si="115"/>
        <v/>
      </c>
      <c r="CI94" s="8" t="str">
        <f t="shared" si="116"/>
        <v/>
      </c>
      <c r="CJ94" s="8" t="str">
        <f t="shared" si="117"/>
        <v/>
      </c>
    </row>
    <row r="95" spans="6:88">
      <c r="F95" s="36"/>
      <c r="G95" s="8">
        <f t="shared" si="118"/>
        <v>35</v>
      </c>
      <c r="I95" s="8" t="str">
        <f t="shared" si="119"/>
        <v/>
      </c>
      <c r="J95" s="8" t="str">
        <f t="shared" si="120"/>
        <v/>
      </c>
      <c r="K95" s="8" t="str">
        <f t="shared" si="121"/>
        <v/>
      </c>
      <c r="L95" s="8" t="str">
        <f t="shared" si="122"/>
        <v/>
      </c>
      <c r="M95" s="8" t="str">
        <f t="shared" si="123"/>
        <v/>
      </c>
      <c r="N95" s="8" t="str">
        <f t="shared" si="124"/>
        <v/>
      </c>
      <c r="O95" s="8" t="str">
        <f t="shared" si="125"/>
        <v/>
      </c>
      <c r="P95" s="8" t="str">
        <f t="shared" si="126"/>
        <v/>
      </c>
      <c r="Q95" s="30" t="str">
        <f t="shared" si="127"/>
        <v/>
      </c>
      <c r="R95" s="8" t="str">
        <f t="shared" si="128"/>
        <v/>
      </c>
      <c r="S95" s="8" t="str">
        <f t="shared" si="129"/>
        <v/>
      </c>
      <c r="T95" s="8" t="str">
        <f t="shared" si="130"/>
        <v/>
      </c>
      <c r="U95" s="8" t="str">
        <f t="shared" si="131"/>
        <v/>
      </c>
      <c r="V95" s="8" t="str">
        <f t="shared" si="132"/>
        <v/>
      </c>
      <c r="W95" s="8" t="str">
        <f t="shared" si="133"/>
        <v/>
      </c>
      <c r="X95" s="8" t="str">
        <f t="shared" si="134"/>
        <v/>
      </c>
      <c r="Y95" s="8" t="str">
        <f t="shared" si="135"/>
        <v/>
      </c>
      <c r="Z95" s="8" t="str">
        <f t="shared" si="136"/>
        <v/>
      </c>
      <c r="AA95" s="8" t="str">
        <f t="shared" si="137"/>
        <v/>
      </c>
      <c r="AB95" s="8" t="str">
        <f t="shared" si="138"/>
        <v/>
      </c>
      <c r="AC95" s="8" t="str">
        <f t="shared" si="139"/>
        <v/>
      </c>
      <c r="AD95" s="8" t="str">
        <f t="shared" si="140"/>
        <v/>
      </c>
      <c r="AE95" s="8" t="str">
        <f t="shared" si="141"/>
        <v/>
      </c>
      <c r="AF95" s="8" t="str">
        <f t="shared" si="142"/>
        <v/>
      </c>
      <c r="AG95" s="8" t="str">
        <f t="shared" si="143"/>
        <v/>
      </c>
      <c r="AH95" s="8" t="str">
        <f t="shared" si="144"/>
        <v/>
      </c>
      <c r="AI95" s="8" t="str">
        <f t="shared" si="145"/>
        <v/>
      </c>
      <c r="AJ95" s="8" t="str">
        <f t="shared" si="146"/>
        <v/>
      </c>
      <c r="AK95" s="8" t="str">
        <f t="shared" si="147"/>
        <v/>
      </c>
      <c r="AL95" s="8" t="str">
        <f t="shared" si="148"/>
        <v/>
      </c>
      <c r="AM95" s="8" t="str">
        <f t="shared" si="149"/>
        <v/>
      </c>
      <c r="AN95" s="8" t="str">
        <f t="shared" si="150"/>
        <v/>
      </c>
      <c r="AO95" s="8" t="str">
        <f t="shared" si="151"/>
        <v/>
      </c>
      <c r="AP95" s="8" t="str">
        <f t="shared" si="152"/>
        <v/>
      </c>
      <c r="AQ95" s="8" t="str">
        <f t="shared" si="153"/>
        <v/>
      </c>
      <c r="AR95" s="8" t="str">
        <f t="shared" si="154"/>
        <v/>
      </c>
      <c r="AS95" s="8" t="str">
        <f t="shared" si="155"/>
        <v/>
      </c>
      <c r="AT95" s="8" t="str">
        <f t="shared" si="156"/>
        <v/>
      </c>
      <c r="AU95" s="8" t="str">
        <f t="shared" si="157"/>
        <v/>
      </c>
      <c r="AV95" s="8" t="str">
        <f t="shared" si="158"/>
        <v/>
      </c>
      <c r="AW95" s="8" t="str">
        <f t="shared" si="159"/>
        <v/>
      </c>
      <c r="AX95" s="8" t="str">
        <f t="shared" si="160"/>
        <v/>
      </c>
      <c r="AY95" s="8" t="str">
        <f t="shared" si="161"/>
        <v/>
      </c>
      <c r="AZ95" s="8" t="str">
        <f t="shared" si="162"/>
        <v/>
      </c>
      <c r="BA95" s="8" t="str">
        <f t="shared" si="163"/>
        <v/>
      </c>
      <c r="BB95" s="8" t="str">
        <f t="shared" si="164"/>
        <v/>
      </c>
      <c r="BC95" s="8" t="str">
        <f t="shared" si="165"/>
        <v/>
      </c>
      <c r="BD95" s="8" t="str">
        <f t="shared" si="166"/>
        <v/>
      </c>
      <c r="BE95" s="8" t="str">
        <f t="shared" si="167"/>
        <v/>
      </c>
      <c r="BF95" s="8" t="str">
        <f t="shared" si="168"/>
        <v/>
      </c>
      <c r="BG95" s="8" t="str">
        <f t="shared" si="169"/>
        <v/>
      </c>
      <c r="BH95" s="8" t="str">
        <f t="shared" si="170"/>
        <v/>
      </c>
      <c r="BI95" s="8" t="str">
        <f t="shared" si="171"/>
        <v/>
      </c>
      <c r="BJ95" s="8" t="str">
        <f t="shared" si="172"/>
        <v/>
      </c>
      <c r="BK95" s="8" t="str">
        <f t="shared" si="173"/>
        <v/>
      </c>
      <c r="BL95" s="8" t="str">
        <f t="shared" si="174"/>
        <v/>
      </c>
      <c r="BM95" s="8" t="str">
        <f t="shared" si="94"/>
        <v/>
      </c>
      <c r="BN95" s="8" t="str">
        <f t="shared" si="95"/>
        <v/>
      </c>
      <c r="BO95" s="8" t="str">
        <f t="shared" si="96"/>
        <v/>
      </c>
      <c r="BP95" s="8" t="str">
        <f t="shared" si="97"/>
        <v/>
      </c>
      <c r="BQ95" s="8" t="str">
        <f t="shared" si="98"/>
        <v/>
      </c>
      <c r="BR95" s="8" t="str">
        <f t="shared" si="99"/>
        <v/>
      </c>
      <c r="BS95" s="8" t="str">
        <f t="shared" si="100"/>
        <v/>
      </c>
      <c r="BT95" s="8" t="str">
        <f t="shared" si="101"/>
        <v/>
      </c>
      <c r="BU95" s="8" t="str">
        <f t="shared" si="102"/>
        <v/>
      </c>
      <c r="BV95" s="8" t="str">
        <f t="shared" si="103"/>
        <v/>
      </c>
      <c r="BW95" s="8" t="str">
        <f t="shared" si="104"/>
        <v/>
      </c>
      <c r="BX95" s="8" t="str">
        <f t="shared" si="105"/>
        <v/>
      </c>
      <c r="BY95" s="8" t="str">
        <f t="shared" si="106"/>
        <v/>
      </c>
      <c r="BZ95" s="8" t="str">
        <f t="shared" si="107"/>
        <v/>
      </c>
      <c r="CA95" s="8" t="str">
        <f t="shared" si="108"/>
        <v/>
      </c>
      <c r="CB95" s="8" t="str">
        <f t="shared" si="109"/>
        <v/>
      </c>
      <c r="CC95" s="8" t="str">
        <f t="shared" si="110"/>
        <v/>
      </c>
      <c r="CD95" s="8" t="str">
        <f t="shared" si="111"/>
        <v/>
      </c>
      <c r="CE95" s="8" t="str">
        <f t="shared" si="112"/>
        <v/>
      </c>
      <c r="CF95" s="8" t="str">
        <f t="shared" si="113"/>
        <v/>
      </c>
      <c r="CG95" s="8" t="str">
        <f t="shared" si="114"/>
        <v/>
      </c>
      <c r="CH95" s="8" t="str">
        <f t="shared" si="115"/>
        <v/>
      </c>
      <c r="CI95" s="8" t="str">
        <f t="shared" si="116"/>
        <v/>
      </c>
      <c r="CJ95" s="8" t="str">
        <f t="shared" si="117"/>
        <v/>
      </c>
    </row>
    <row r="96" spans="6:88">
      <c r="F96" s="36"/>
      <c r="G96" s="8">
        <f t="shared" si="118"/>
        <v>36</v>
      </c>
      <c r="I96" s="8" t="str">
        <f t="shared" si="119"/>
        <v/>
      </c>
      <c r="J96" s="8" t="str">
        <f t="shared" si="120"/>
        <v/>
      </c>
      <c r="K96" s="8" t="str">
        <f t="shared" si="121"/>
        <v/>
      </c>
      <c r="L96" s="8" t="str">
        <f t="shared" si="122"/>
        <v/>
      </c>
      <c r="M96" s="8" t="str">
        <f t="shared" si="123"/>
        <v/>
      </c>
      <c r="N96" s="8" t="str">
        <f t="shared" si="124"/>
        <v/>
      </c>
      <c r="O96" s="8" t="str">
        <f t="shared" si="125"/>
        <v/>
      </c>
      <c r="P96" s="8" t="str">
        <f t="shared" si="126"/>
        <v/>
      </c>
      <c r="Q96" s="30" t="str">
        <f t="shared" si="127"/>
        <v/>
      </c>
      <c r="R96" s="8" t="str">
        <f t="shared" si="128"/>
        <v/>
      </c>
      <c r="S96" s="8" t="str">
        <f t="shared" si="129"/>
        <v/>
      </c>
      <c r="T96" s="8" t="str">
        <f t="shared" si="130"/>
        <v/>
      </c>
      <c r="U96" s="8" t="str">
        <f t="shared" si="131"/>
        <v/>
      </c>
      <c r="V96" s="8" t="str">
        <f t="shared" si="132"/>
        <v/>
      </c>
      <c r="W96" s="8" t="str">
        <f t="shared" si="133"/>
        <v/>
      </c>
      <c r="X96" s="8" t="str">
        <f t="shared" si="134"/>
        <v/>
      </c>
      <c r="Y96" s="8" t="str">
        <f t="shared" si="135"/>
        <v/>
      </c>
      <c r="Z96" s="8" t="str">
        <f t="shared" si="136"/>
        <v/>
      </c>
      <c r="AA96" s="8" t="str">
        <f t="shared" si="137"/>
        <v/>
      </c>
      <c r="AB96" s="8" t="str">
        <f t="shared" si="138"/>
        <v/>
      </c>
      <c r="AC96" s="8" t="str">
        <f t="shared" si="139"/>
        <v/>
      </c>
      <c r="AD96" s="8" t="str">
        <f t="shared" si="140"/>
        <v/>
      </c>
      <c r="AE96" s="8" t="str">
        <f t="shared" si="141"/>
        <v/>
      </c>
      <c r="AF96" s="8" t="str">
        <f t="shared" si="142"/>
        <v/>
      </c>
      <c r="AG96" s="8" t="str">
        <f t="shared" si="143"/>
        <v/>
      </c>
      <c r="AH96" s="8" t="str">
        <f t="shared" si="144"/>
        <v/>
      </c>
      <c r="AI96" s="8" t="str">
        <f t="shared" si="145"/>
        <v/>
      </c>
      <c r="AJ96" s="8" t="str">
        <f t="shared" si="146"/>
        <v/>
      </c>
      <c r="AK96" s="8" t="str">
        <f t="shared" si="147"/>
        <v/>
      </c>
      <c r="AL96" s="8" t="str">
        <f t="shared" si="148"/>
        <v/>
      </c>
      <c r="AM96" s="8" t="str">
        <f t="shared" si="149"/>
        <v/>
      </c>
      <c r="AN96" s="8" t="str">
        <f t="shared" si="150"/>
        <v/>
      </c>
      <c r="AO96" s="8" t="str">
        <f t="shared" si="151"/>
        <v/>
      </c>
      <c r="AP96" s="8" t="str">
        <f t="shared" si="152"/>
        <v/>
      </c>
      <c r="AQ96" s="8" t="str">
        <f t="shared" si="153"/>
        <v/>
      </c>
      <c r="AR96" s="8" t="str">
        <f t="shared" si="154"/>
        <v/>
      </c>
      <c r="AS96" s="8" t="str">
        <f t="shared" si="155"/>
        <v/>
      </c>
      <c r="AT96" s="8" t="str">
        <f t="shared" si="156"/>
        <v/>
      </c>
      <c r="AU96" s="8" t="str">
        <f t="shared" si="157"/>
        <v/>
      </c>
      <c r="AV96" s="8" t="str">
        <f t="shared" si="158"/>
        <v/>
      </c>
      <c r="AW96" s="8" t="str">
        <f t="shared" si="159"/>
        <v/>
      </c>
      <c r="AX96" s="8" t="str">
        <f t="shared" si="160"/>
        <v/>
      </c>
      <c r="AY96" s="8" t="str">
        <f t="shared" si="161"/>
        <v/>
      </c>
      <c r="AZ96" s="8" t="str">
        <f t="shared" si="162"/>
        <v/>
      </c>
      <c r="BA96" s="8" t="str">
        <f t="shared" si="163"/>
        <v/>
      </c>
      <c r="BB96" s="8" t="str">
        <f t="shared" si="164"/>
        <v/>
      </c>
      <c r="BC96" s="8" t="str">
        <f t="shared" si="165"/>
        <v/>
      </c>
      <c r="BD96" s="8" t="str">
        <f t="shared" si="166"/>
        <v/>
      </c>
      <c r="BE96" s="8" t="str">
        <f t="shared" si="167"/>
        <v/>
      </c>
      <c r="BF96" s="8" t="str">
        <f t="shared" si="168"/>
        <v/>
      </c>
      <c r="BG96" s="8" t="str">
        <f t="shared" si="169"/>
        <v/>
      </c>
      <c r="BH96" s="8" t="str">
        <f t="shared" si="170"/>
        <v/>
      </c>
      <c r="BI96" s="8" t="str">
        <f t="shared" si="171"/>
        <v/>
      </c>
      <c r="BJ96" s="8" t="str">
        <f t="shared" si="172"/>
        <v/>
      </c>
      <c r="BK96" s="8" t="str">
        <f t="shared" si="173"/>
        <v/>
      </c>
      <c r="BL96" s="8" t="str">
        <f t="shared" si="174"/>
        <v/>
      </c>
      <c r="BM96" s="8" t="str">
        <f t="shared" si="94"/>
        <v/>
      </c>
      <c r="BN96" s="8" t="str">
        <f t="shared" si="95"/>
        <v/>
      </c>
      <c r="BO96" s="8" t="str">
        <f t="shared" si="96"/>
        <v/>
      </c>
      <c r="BP96" s="8" t="str">
        <f t="shared" si="97"/>
        <v/>
      </c>
      <c r="BQ96" s="8" t="str">
        <f t="shared" si="98"/>
        <v/>
      </c>
      <c r="BR96" s="8" t="str">
        <f t="shared" si="99"/>
        <v/>
      </c>
      <c r="BS96" s="8" t="str">
        <f t="shared" si="100"/>
        <v/>
      </c>
      <c r="BT96" s="8" t="str">
        <f t="shared" si="101"/>
        <v/>
      </c>
      <c r="BU96" s="8" t="str">
        <f t="shared" si="102"/>
        <v/>
      </c>
      <c r="BV96" s="8" t="str">
        <f t="shared" si="103"/>
        <v/>
      </c>
      <c r="BW96" s="8" t="str">
        <f t="shared" si="104"/>
        <v/>
      </c>
      <c r="BX96" s="8" t="str">
        <f t="shared" si="105"/>
        <v/>
      </c>
      <c r="BY96" s="8" t="str">
        <f t="shared" si="106"/>
        <v/>
      </c>
      <c r="BZ96" s="8" t="str">
        <f t="shared" si="107"/>
        <v/>
      </c>
      <c r="CA96" s="8" t="str">
        <f t="shared" si="108"/>
        <v/>
      </c>
      <c r="CB96" s="8" t="str">
        <f t="shared" si="109"/>
        <v/>
      </c>
      <c r="CC96" s="8" t="str">
        <f t="shared" si="110"/>
        <v/>
      </c>
      <c r="CD96" s="8" t="str">
        <f t="shared" si="111"/>
        <v/>
      </c>
      <c r="CE96" s="8" t="str">
        <f t="shared" si="112"/>
        <v/>
      </c>
      <c r="CF96" s="8" t="str">
        <f t="shared" si="113"/>
        <v/>
      </c>
      <c r="CG96" s="8" t="str">
        <f t="shared" si="114"/>
        <v/>
      </c>
      <c r="CH96" s="8" t="str">
        <f t="shared" si="115"/>
        <v/>
      </c>
      <c r="CI96" s="8" t="str">
        <f t="shared" si="116"/>
        <v/>
      </c>
      <c r="CJ96" s="8" t="str">
        <f t="shared" si="117"/>
        <v/>
      </c>
    </row>
    <row r="97" spans="5:88">
      <c r="F97" s="36"/>
      <c r="G97" s="8">
        <f t="shared" si="118"/>
        <v>37</v>
      </c>
      <c r="I97" s="8" t="str">
        <f t="shared" si="119"/>
        <v/>
      </c>
      <c r="J97" s="8" t="str">
        <f t="shared" si="120"/>
        <v/>
      </c>
      <c r="K97" s="8" t="str">
        <f t="shared" si="121"/>
        <v/>
      </c>
      <c r="L97" s="8" t="str">
        <f t="shared" si="122"/>
        <v/>
      </c>
      <c r="M97" s="8" t="str">
        <f t="shared" si="123"/>
        <v/>
      </c>
      <c r="N97" s="8" t="str">
        <f t="shared" si="124"/>
        <v/>
      </c>
      <c r="O97" s="8" t="str">
        <f t="shared" si="125"/>
        <v/>
      </c>
      <c r="P97" s="8" t="str">
        <f t="shared" si="126"/>
        <v/>
      </c>
      <c r="Q97" s="30" t="str">
        <f t="shared" si="127"/>
        <v/>
      </c>
      <c r="R97" s="8" t="str">
        <f t="shared" si="128"/>
        <v/>
      </c>
      <c r="S97" s="8" t="str">
        <f t="shared" si="129"/>
        <v/>
      </c>
      <c r="T97" s="8" t="str">
        <f t="shared" si="130"/>
        <v/>
      </c>
      <c r="U97" s="8" t="str">
        <f t="shared" si="131"/>
        <v/>
      </c>
      <c r="V97" s="8" t="str">
        <f t="shared" si="132"/>
        <v/>
      </c>
      <c r="W97" s="8" t="str">
        <f t="shared" si="133"/>
        <v/>
      </c>
      <c r="X97" s="8" t="str">
        <f t="shared" si="134"/>
        <v/>
      </c>
      <c r="Y97" s="8" t="str">
        <f t="shared" si="135"/>
        <v/>
      </c>
      <c r="Z97" s="8" t="str">
        <f t="shared" si="136"/>
        <v/>
      </c>
      <c r="AA97" s="8" t="str">
        <f t="shared" si="137"/>
        <v/>
      </c>
      <c r="AB97" s="8" t="str">
        <f t="shared" si="138"/>
        <v/>
      </c>
      <c r="AC97" s="8" t="str">
        <f t="shared" si="139"/>
        <v/>
      </c>
      <c r="AD97" s="8" t="str">
        <f t="shared" si="140"/>
        <v/>
      </c>
      <c r="AE97" s="8" t="str">
        <f t="shared" si="141"/>
        <v/>
      </c>
      <c r="AF97" s="8" t="str">
        <f t="shared" si="142"/>
        <v/>
      </c>
      <c r="AG97" s="8" t="str">
        <f t="shared" si="143"/>
        <v/>
      </c>
      <c r="AH97" s="8" t="str">
        <f t="shared" si="144"/>
        <v/>
      </c>
      <c r="AI97" s="8" t="str">
        <f t="shared" si="145"/>
        <v/>
      </c>
      <c r="AJ97" s="8" t="str">
        <f t="shared" si="146"/>
        <v/>
      </c>
      <c r="AK97" s="8" t="str">
        <f t="shared" si="147"/>
        <v/>
      </c>
      <c r="AL97" s="8" t="str">
        <f t="shared" si="148"/>
        <v/>
      </c>
      <c r="AM97" s="8" t="str">
        <f t="shared" si="149"/>
        <v/>
      </c>
      <c r="AN97" s="8" t="str">
        <f t="shared" si="150"/>
        <v/>
      </c>
      <c r="AO97" s="8" t="str">
        <f t="shared" si="151"/>
        <v/>
      </c>
      <c r="AP97" s="8" t="str">
        <f t="shared" si="152"/>
        <v/>
      </c>
      <c r="AQ97" s="8" t="str">
        <f t="shared" si="153"/>
        <v/>
      </c>
      <c r="AR97" s="8" t="str">
        <f t="shared" si="154"/>
        <v/>
      </c>
      <c r="AS97" s="8" t="str">
        <f t="shared" si="155"/>
        <v/>
      </c>
      <c r="AT97" s="8" t="str">
        <f t="shared" si="156"/>
        <v/>
      </c>
      <c r="AU97" s="8" t="str">
        <f t="shared" si="157"/>
        <v/>
      </c>
      <c r="AV97" s="8" t="str">
        <f t="shared" si="158"/>
        <v/>
      </c>
      <c r="AW97" s="8" t="str">
        <f t="shared" si="159"/>
        <v/>
      </c>
      <c r="AX97" s="8" t="str">
        <f t="shared" si="160"/>
        <v/>
      </c>
      <c r="AY97" s="8" t="str">
        <f t="shared" si="161"/>
        <v/>
      </c>
      <c r="AZ97" s="8" t="str">
        <f t="shared" si="162"/>
        <v/>
      </c>
      <c r="BA97" s="8" t="str">
        <f t="shared" si="163"/>
        <v/>
      </c>
      <c r="BB97" s="8" t="str">
        <f t="shared" si="164"/>
        <v/>
      </c>
      <c r="BC97" s="8" t="str">
        <f t="shared" si="165"/>
        <v/>
      </c>
      <c r="BD97" s="8" t="str">
        <f t="shared" si="166"/>
        <v/>
      </c>
      <c r="BE97" s="8" t="str">
        <f t="shared" si="167"/>
        <v/>
      </c>
      <c r="BF97" s="8" t="str">
        <f t="shared" si="168"/>
        <v/>
      </c>
      <c r="BG97" s="8" t="str">
        <f t="shared" si="169"/>
        <v/>
      </c>
      <c r="BH97" s="8" t="str">
        <f t="shared" si="170"/>
        <v/>
      </c>
      <c r="BI97" s="8" t="str">
        <f t="shared" si="171"/>
        <v/>
      </c>
      <c r="BJ97" s="8" t="str">
        <f t="shared" si="172"/>
        <v/>
      </c>
      <c r="BK97" s="8" t="str">
        <f t="shared" si="173"/>
        <v/>
      </c>
      <c r="BL97" s="8" t="str">
        <f t="shared" si="174"/>
        <v/>
      </c>
      <c r="BM97" s="8" t="str">
        <f t="shared" si="94"/>
        <v/>
      </c>
      <c r="BN97" s="8" t="str">
        <f t="shared" si="95"/>
        <v/>
      </c>
      <c r="BO97" s="8" t="str">
        <f t="shared" si="96"/>
        <v/>
      </c>
      <c r="BP97" s="8" t="str">
        <f t="shared" si="97"/>
        <v/>
      </c>
      <c r="BQ97" s="8" t="str">
        <f t="shared" si="98"/>
        <v/>
      </c>
      <c r="BR97" s="8" t="str">
        <f t="shared" si="99"/>
        <v/>
      </c>
      <c r="BS97" s="8" t="str">
        <f t="shared" si="100"/>
        <v/>
      </c>
      <c r="BT97" s="8" t="str">
        <f t="shared" si="101"/>
        <v/>
      </c>
      <c r="BU97" s="8" t="str">
        <f t="shared" si="102"/>
        <v/>
      </c>
      <c r="BV97" s="8" t="str">
        <f t="shared" si="103"/>
        <v/>
      </c>
      <c r="BW97" s="8" t="str">
        <f t="shared" si="104"/>
        <v/>
      </c>
      <c r="BX97" s="8" t="str">
        <f t="shared" si="105"/>
        <v/>
      </c>
      <c r="BY97" s="8" t="str">
        <f t="shared" si="106"/>
        <v/>
      </c>
      <c r="BZ97" s="8" t="str">
        <f t="shared" si="107"/>
        <v/>
      </c>
      <c r="CA97" s="8" t="str">
        <f t="shared" si="108"/>
        <v/>
      </c>
      <c r="CB97" s="8" t="str">
        <f t="shared" si="109"/>
        <v/>
      </c>
      <c r="CC97" s="8" t="str">
        <f t="shared" si="110"/>
        <v/>
      </c>
      <c r="CD97" s="8" t="str">
        <f t="shared" si="111"/>
        <v/>
      </c>
      <c r="CE97" s="8" t="str">
        <f t="shared" si="112"/>
        <v/>
      </c>
      <c r="CF97" s="8" t="str">
        <f t="shared" si="113"/>
        <v/>
      </c>
      <c r="CG97" s="8" t="str">
        <f t="shared" si="114"/>
        <v/>
      </c>
      <c r="CH97" s="8" t="str">
        <f t="shared" si="115"/>
        <v/>
      </c>
      <c r="CI97" s="8" t="str">
        <f t="shared" si="116"/>
        <v/>
      </c>
      <c r="CJ97" s="8" t="str">
        <f t="shared" si="117"/>
        <v/>
      </c>
    </row>
    <row r="98" spans="5:88">
      <c r="F98" s="36"/>
      <c r="G98" s="8">
        <f t="shared" si="118"/>
        <v>38</v>
      </c>
      <c r="I98" s="8" t="str">
        <f t="shared" si="119"/>
        <v/>
      </c>
      <c r="J98" s="8" t="str">
        <f t="shared" si="120"/>
        <v/>
      </c>
      <c r="K98" s="8" t="str">
        <f t="shared" si="121"/>
        <v/>
      </c>
      <c r="L98" s="8" t="str">
        <f t="shared" si="122"/>
        <v/>
      </c>
      <c r="M98" s="8" t="str">
        <f t="shared" si="123"/>
        <v/>
      </c>
      <c r="N98" s="8" t="str">
        <f t="shared" si="124"/>
        <v/>
      </c>
      <c r="O98" s="8" t="str">
        <f t="shared" si="125"/>
        <v/>
      </c>
      <c r="P98" s="8" t="str">
        <f t="shared" si="126"/>
        <v/>
      </c>
      <c r="Q98" s="30" t="str">
        <f t="shared" si="127"/>
        <v/>
      </c>
      <c r="R98" s="8" t="str">
        <f t="shared" si="128"/>
        <v/>
      </c>
      <c r="S98" s="8" t="str">
        <f t="shared" si="129"/>
        <v/>
      </c>
      <c r="T98" s="8" t="str">
        <f t="shared" si="130"/>
        <v/>
      </c>
      <c r="U98" s="8" t="str">
        <f t="shared" si="131"/>
        <v/>
      </c>
      <c r="V98" s="8" t="str">
        <f t="shared" si="132"/>
        <v/>
      </c>
      <c r="W98" s="8" t="str">
        <f t="shared" si="133"/>
        <v/>
      </c>
      <c r="X98" s="8" t="str">
        <f t="shared" si="134"/>
        <v/>
      </c>
      <c r="Y98" s="8" t="str">
        <f t="shared" si="135"/>
        <v/>
      </c>
      <c r="Z98" s="8" t="str">
        <f t="shared" si="136"/>
        <v/>
      </c>
      <c r="AA98" s="8" t="str">
        <f t="shared" si="137"/>
        <v/>
      </c>
      <c r="AB98" s="8" t="str">
        <f t="shared" si="138"/>
        <v/>
      </c>
      <c r="AC98" s="8" t="str">
        <f t="shared" si="139"/>
        <v/>
      </c>
      <c r="AD98" s="8" t="str">
        <f t="shared" si="140"/>
        <v/>
      </c>
      <c r="AE98" s="8" t="str">
        <f t="shared" si="141"/>
        <v/>
      </c>
      <c r="AF98" s="8" t="str">
        <f t="shared" si="142"/>
        <v/>
      </c>
      <c r="AG98" s="8" t="str">
        <f t="shared" si="143"/>
        <v/>
      </c>
      <c r="AH98" s="8" t="str">
        <f t="shared" si="144"/>
        <v/>
      </c>
      <c r="AI98" s="8" t="str">
        <f t="shared" si="145"/>
        <v/>
      </c>
      <c r="AJ98" s="8" t="str">
        <f t="shared" si="146"/>
        <v/>
      </c>
      <c r="AK98" s="8" t="str">
        <f t="shared" si="147"/>
        <v/>
      </c>
      <c r="AL98" s="8" t="str">
        <f t="shared" si="148"/>
        <v/>
      </c>
      <c r="AM98" s="8" t="str">
        <f t="shared" si="149"/>
        <v/>
      </c>
      <c r="AN98" s="8" t="str">
        <f t="shared" si="150"/>
        <v/>
      </c>
      <c r="AO98" s="8" t="str">
        <f t="shared" si="151"/>
        <v/>
      </c>
      <c r="AP98" s="8" t="str">
        <f t="shared" si="152"/>
        <v/>
      </c>
      <c r="AQ98" s="8" t="str">
        <f t="shared" si="153"/>
        <v/>
      </c>
      <c r="AR98" s="8" t="str">
        <f t="shared" si="154"/>
        <v/>
      </c>
      <c r="AS98" s="8" t="str">
        <f t="shared" si="155"/>
        <v/>
      </c>
      <c r="AT98" s="8" t="str">
        <f t="shared" si="156"/>
        <v/>
      </c>
      <c r="AU98" s="8" t="str">
        <f t="shared" si="157"/>
        <v/>
      </c>
      <c r="AV98" s="8" t="str">
        <f t="shared" si="158"/>
        <v/>
      </c>
      <c r="AW98" s="8" t="str">
        <f t="shared" si="159"/>
        <v/>
      </c>
      <c r="AX98" s="8" t="str">
        <f t="shared" si="160"/>
        <v/>
      </c>
      <c r="AY98" s="8" t="str">
        <f t="shared" si="161"/>
        <v/>
      </c>
      <c r="AZ98" s="8" t="str">
        <f t="shared" si="162"/>
        <v/>
      </c>
      <c r="BA98" s="8" t="str">
        <f t="shared" si="163"/>
        <v/>
      </c>
      <c r="BB98" s="8" t="str">
        <f t="shared" si="164"/>
        <v/>
      </c>
      <c r="BC98" s="8" t="str">
        <f t="shared" si="165"/>
        <v/>
      </c>
      <c r="BD98" s="8" t="str">
        <f t="shared" si="166"/>
        <v/>
      </c>
      <c r="BE98" s="8" t="str">
        <f t="shared" si="167"/>
        <v/>
      </c>
      <c r="BF98" s="8" t="str">
        <f t="shared" si="168"/>
        <v/>
      </c>
      <c r="BG98" s="8" t="str">
        <f t="shared" si="169"/>
        <v/>
      </c>
      <c r="BH98" s="8" t="str">
        <f t="shared" si="170"/>
        <v/>
      </c>
      <c r="BI98" s="8" t="str">
        <f t="shared" si="171"/>
        <v/>
      </c>
      <c r="BJ98" s="8" t="str">
        <f t="shared" si="172"/>
        <v/>
      </c>
      <c r="BK98" s="8" t="str">
        <f t="shared" si="173"/>
        <v/>
      </c>
      <c r="BL98" s="8" t="str">
        <f t="shared" si="174"/>
        <v/>
      </c>
      <c r="BM98" s="8" t="str">
        <f t="shared" si="94"/>
        <v/>
      </c>
      <c r="BN98" s="8" t="str">
        <f t="shared" si="95"/>
        <v/>
      </c>
      <c r="BO98" s="8" t="str">
        <f t="shared" si="96"/>
        <v/>
      </c>
      <c r="BP98" s="8" t="str">
        <f t="shared" si="97"/>
        <v/>
      </c>
      <c r="BQ98" s="8" t="str">
        <f t="shared" si="98"/>
        <v/>
      </c>
      <c r="BR98" s="8" t="str">
        <f t="shared" si="99"/>
        <v/>
      </c>
      <c r="BS98" s="8" t="str">
        <f t="shared" si="100"/>
        <v/>
      </c>
      <c r="BT98" s="8" t="str">
        <f t="shared" si="101"/>
        <v/>
      </c>
      <c r="BU98" s="8" t="str">
        <f t="shared" si="102"/>
        <v/>
      </c>
      <c r="BV98" s="8" t="str">
        <f t="shared" si="103"/>
        <v/>
      </c>
      <c r="BW98" s="8" t="str">
        <f t="shared" si="104"/>
        <v/>
      </c>
      <c r="BX98" s="8" t="str">
        <f t="shared" si="105"/>
        <v/>
      </c>
      <c r="BY98" s="8" t="str">
        <f t="shared" si="106"/>
        <v/>
      </c>
      <c r="BZ98" s="8" t="str">
        <f t="shared" si="107"/>
        <v/>
      </c>
      <c r="CA98" s="8" t="str">
        <f t="shared" si="108"/>
        <v/>
      </c>
      <c r="CB98" s="8" t="str">
        <f t="shared" si="109"/>
        <v/>
      </c>
      <c r="CC98" s="8" t="str">
        <f t="shared" si="110"/>
        <v/>
      </c>
      <c r="CD98" s="8" t="str">
        <f t="shared" si="111"/>
        <v/>
      </c>
      <c r="CE98" s="8" t="str">
        <f t="shared" si="112"/>
        <v/>
      </c>
      <c r="CF98" s="8" t="str">
        <f t="shared" si="113"/>
        <v/>
      </c>
      <c r="CG98" s="8" t="str">
        <f t="shared" si="114"/>
        <v/>
      </c>
      <c r="CH98" s="8" t="str">
        <f t="shared" si="115"/>
        <v/>
      </c>
      <c r="CI98" s="8" t="str">
        <f t="shared" si="116"/>
        <v/>
      </c>
      <c r="CJ98" s="8" t="str">
        <f t="shared" si="117"/>
        <v/>
      </c>
    </row>
    <row r="99" spans="5:88">
      <c r="F99" s="36"/>
      <c r="G99" s="8">
        <f t="shared" si="118"/>
        <v>39</v>
      </c>
      <c r="I99" s="8" t="str">
        <f t="shared" si="119"/>
        <v/>
      </c>
      <c r="J99" s="8" t="str">
        <f t="shared" si="120"/>
        <v/>
      </c>
      <c r="K99" s="8" t="str">
        <f t="shared" si="121"/>
        <v/>
      </c>
      <c r="L99" s="8" t="str">
        <f t="shared" si="122"/>
        <v/>
      </c>
      <c r="M99" s="8" t="str">
        <f t="shared" si="123"/>
        <v/>
      </c>
      <c r="N99" s="8" t="str">
        <f t="shared" si="124"/>
        <v/>
      </c>
      <c r="O99" s="8" t="str">
        <f t="shared" si="125"/>
        <v/>
      </c>
      <c r="P99" s="8" t="str">
        <f t="shared" si="126"/>
        <v/>
      </c>
      <c r="Q99" s="30" t="str">
        <f t="shared" si="127"/>
        <v/>
      </c>
      <c r="R99" s="8" t="str">
        <f t="shared" si="128"/>
        <v/>
      </c>
      <c r="S99" s="8" t="str">
        <f t="shared" si="129"/>
        <v/>
      </c>
      <c r="T99" s="8" t="str">
        <f t="shared" si="130"/>
        <v/>
      </c>
      <c r="U99" s="8" t="str">
        <f t="shared" si="131"/>
        <v/>
      </c>
      <c r="V99" s="8" t="str">
        <f t="shared" si="132"/>
        <v/>
      </c>
      <c r="W99" s="8" t="str">
        <f t="shared" si="133"/>
        <v/>
      </c>
      <c r="X99" s="8" t="str">
        <f t="shared" si="134"/>
        <v/>
      </c>
      <c r="Y99" s="8" t="str">
        <f t="shared" si="135"/>
        <v/>
      </c>
      <c r="Z99" s="8" t="str">
        <f t="shared" si="136"/>
        <v/>
      </c>
      <c r="AA99" s="8" t="str">
        <f t="shared" si="137"/>
        <v/>
      </c>
      <c r="AB99" s="8" t="str">
        <f t="shared" si="138"/>
        <v/>
      </c>
      <c r="AC99" s="8" t="str">
        <f t="shared" si="139"/>
        <v/>
      </c>
      <c r="AD99" s="8" t="str">
        <f t="shared" si="140"/>
        <v/>
      </c>
      <c r="AE99" s="8" t="str">
        <f t="shared" si="141"/>
        <v/>
      </c>
      <c r="AF99" s="8" t="str">
        <f t="shared" si="142"/>
        <v/>
      </c>
      <c r="AG99" s="8" t="str">
        <f t="shared" si="143"/>
        <v/>
      </c>
      <c r="AH99" s="8" t="str">
        <f t="shared" si="144"/>
        <v/>
      </c>
      <c r="AI99" s="8" t="str">
        <f t="shared" si="145"/>
        <v/>
      </c>
      <c r="AJ99" s="8" t="str">
        <f t="shared" si="146"/>
        <v/>
      </c>
      <c r="AK99" s="8" t="str">
        <f t="shared" si="147"/>
        <v/>
      </c>
      <c r="AL99" s="8" t="str">
        <f t="shared" si="148"/>
        <v/>
      </c>
      <c r="AM99" s="8" t="str">
        <f t="shared" si="149"/>
        <v/>
      </c>
      <c r="AN99" s="8" t="str">
        <f t="shared" si="150"/>
        <v/>
      </c>
      <c r="AO99" s="8" t="str">
        <f t="shared" si="151"/>
        <v/>
      </c>
      <c r="AP99" s="8" t="str">
        <f t="shared" si="152"/>
        <v/>
      </c>
      <c r="AQ99" s="8" t="str">
        <f t="shared" si="153"/>
        <v/>
      </c>
      <c r="AR99" s="8" t="str">
        <f t="shared" si="154"/>
        <v/>
      </c>
      <c r="AS99" s="8" t="str">
        <f t="shared" si="155"/>
        <v/>
      </c>
      <c r="AT99" s="8" t="str">
        <f t="shared" si="156"/>
        <v/>
      </c>
      <c r="AU99" s="8" t="str">
        <f t="shared" si="157"/>
        <v/>
      </c>
      <c r="AV99" s="8" t="str">
        <f t="shared" si="158"/>
        <v/>
      </c>
      <c r="AW99" s="8" t="str">
        <f t="shared" si="159"/>
        <v/>
      </c>
      <c r="AX99" s="8" t="str">
        <f t="shared" si="160"/>
        <v/>
      </c>
      <c r="AY99" s="8" t="str">
        <f t="shared" si="161"/>
        <v/>
      </c>
      <c r="AZ99" s="8" t="str">
        <f t="shared" si="162"/>
        <v/>
      </c>
      <c r="BA99" s="8" t="str">
        <f t="shared" si="163"/>
        <v/>
      </c>
      <c r="BB99" s="8" t="str">
        <f t="shared" si="164"/>
        <v/>
      </c>
      <c r="BC99" s="8" t="str">
        <f t="shared" si="165"/>
        <v/>
      </c>
      <c r="BD99" s="8" t="str">
        <f t="shared" si="166"/>
        <v/>
      </c>
      <c r="BE99" s="8" t="str">
        <f t="shared" si="167"/>
        <v/>
      </c>
      <c r="BF99" s="8" t="str">
        <f t="shared" si="168"/>
        <v/>
      </c>
      <c r="BG99" s="8" t="str">
        <f t="shared" si="169"/>
        <v/>
      </c>
      <c r="BH99" s="8" t="str">
        <f t="shared" si="170"/>
        <v/>
      </c>
      <c r="BI99" s="8" t="str">
        <f t="shared" si="171"/>
        <v/>
      </c>
      <c r="BJ99" s="8" t="str">
        <f t="shared" si="172"/>
        <v/>
      </c>
      <c r="BK99" s="8" t="str">
        <f t="shared" si="173"/>
        <v/>
      </c>
      <c r="BL99" s="8" t="str">
        <f t="shared" si="174"/>
        <v/>
      </c>
      <c r="BM99" s="8" t="str">
        <f t="shared" si="94"/>
        <v/>
      </c>
      <c r="BN99" s="8" t="str">
        <f t="shared" si="95"/>
        <v/>
      </c>
      <c r="BO99" s="8" t="str">
        <f t="shared" si="96"/>
        <v/>
      </c>
      <c r="BP99" s="8" t="str">
        <f t="shared" si="97"/>
        <v/>
      </c>
      <c r="BQ99" s="8" t="str">
        <f t="shared" si="98"/>
        <v/>
      </c>
      <c r="BR99" s="8" t="str">
        <f t="shared" si="99"/>
        <v/>
      </c>
      <c r="BS99" s="8" t="str">
        <f t="shared" si="100"/>
        <v/>
      </c>
      <c r="BT99" s="8" t="str">
        <f t="shared" si="101"/>
        <v/>
      </c>
      <c r="BU99" s="8" t="str">
        <f t="shared" si="102"/>
        <v/>
      </c>
      <c r="BV99" s="8" t="str">
        <f t="shared" si="103"/>
        <v/>
      </c>
      <c r="BW99" s="8" t="str">
        <f t="shared" si="104"/>
        <v/>
      </c>
      <c r="BX99" s="8" t="str">
        <f t="shared" si="105"/>
        <v/>
      </c>
      <c r="BY99" s="8" t="str">
        <f t="shared" si="106"/>
        <v/>
      </c>
      <c r="BZ99" s="8" t="str">
        <f t="shared" si="107"/>
        <v/>
      </c>
      <c r="CA99" s="8" t="str">
        <f t="shared" si="108"/>
        <v/>
      </c>
      <c r="CB99" s="8" t="str">
        <f t="shared" si="109"/>
        <v/>
      </c>
      <c r="CC99" s="8" t="str">
        <f t="shared" si="110"/>
        <v/>
      </c>
      <c r="CD99" s="8" t="str">
        <f t="shared" si="111"/>
        <v/>
      </c>
      <c r="CE99" s="8" t="str">
        <f t="shared" si="112"/>
        <v/>
      </c>
      <c r="CF99" s="8" t="str">
        <f t="shared" si="113"/>
        <v/>
      </c>
      <c r="CG99" s="8" t="str">
        <f t="shared" si="114"/>
        <v/>
      </c>
      <c r="CH99" s="8" t="str">
        <f t="shared" si="115"/>
        <v/>
      </c>
      <c r="CI99" s="8" t="str">
        <f t="shared" si="116"/>
        <v/>
      </c>
      <c r="CJ99" s="8" t="str">
        <f t="shared" si="117"/>
        <v/>
      </c>
    </row>
    <row r="100" spans="5:88">
      <c r="F100" s="36"/>
      <c r="G100" s="8">
        <f t="shared" si="118"/>
        <v>40</v>
      </c>
      <c r="I100" s="8" t="str">
        <f t="shared" si="119"/>
        <v/>
      </c>
      <c r="J100" s="8" t="str">
        <f t="shared" si="120"/>
        <v/>
      </c>
      <c r="K100" s="8" t="str">
        <f t="shared" si="121"/>
        <v/>
      </c>
      <c r="L100" s="8" t="str">
        <f t="shared" si="122"/>
        <v/>
      </c>
      <c r="M100" s="8" t="str">
        <f t="shared" si="123"/>
        <v/>
      </c>
      <c r="N100" s="8" t="str">
        <f t="shared" si="124"/>
        <v/>
      </c>
      <c r="O100" s="8" t="str">
        <f t="shared" si="125"/>
        <v/>
      </c>
      <c r="P100" s="8" t="str">
        <f t="shared" si="126"/>
        <v/>
      </c>
      <c r="Q100" s="30" t="str">
        <f t="shared" si="127"/>
        <v/>
      </c>
      <c r="R100" s="8" t="str">
        <f t="shared" si="128"/>
        <v/>
      </c>
      <c r="S100" s="8" t="str">
        <f t="shared" si="129"/>
        <v/>
      </c>
      <c r="T100" s="8" t="str">
        <f t="shared" si="130"/>
        <v/>
      </c>
      <c r="U100" s="8" t="str">
        <f t="shared" si="131"/>
        <v/>
      </c>
      <c r="V100" s="8" t="str">
        <f t="shared" si="132"/>
        <v/>
      </c>
      <c r="W100" s="8" t="str">
        <f t="shared" si="133"/>
        <v/>
      </c>
      <c r="X100" s="8" t="str">
        <f t="shared" si="134"/>
        <v/>
      </c>
      <c r="Y100" s="8" t="str">
        <f t="shared" si="135"/>
        <v/>
      </c>
      <c r="Z100" s="8" t="str">
        <f t="shared" si="136"/>
        <v/>
      </c>
      <c r="AA100" s="8" t="str">
        <f t="shared" si="137"/>
        <v/>
      </c>
      <c r="AB100" s="8" t="str">
        <f t="shared" si="138"/>
        <v/>
      </c>
      <c r="AC100" s="8" t="str">
        <f t="shared" si="139"/>
        <v/>
      </c>
      <c r="AD100" s="8" t="str">
        <f t="shared" si="140"/>
        <v/>
      </c>
      <c r="AE100" s="8" t="str">
        <f t="shared" si="141"/>
        <v/>
      </c>
      <c r="AF100" s="8" t="str">
        <f t="shared" si="142"/>
        <v/>
      </c>
      <c r="AG100" s="8" t="str">
        <f t="shared" si="143"/>
        <v/>
      </c>
      <c r="AH100" s="8" t="str">
        <f t="shared" si="144"/>
        <v/>
      </c>
      <c r="AI100" s="8" t="str">
        <f t="shared" si="145"/>
        <v/>
      </c>
      <c r="AJ100" s="8" t="str">
        <f t="shared" si="146"/>
        <v/>
      </c>
      <c r="AK100" s="8" t="str">
        <f t="shared" si="147"/>
        <v/>
      </c>
      <c r="AL100" s="8" t="str">
        <f t="shared" si="148"/>
        <v/>
      </c>
      <c r="AM100" s="8" t="str">
        <f t="shared" si="149"/>
        <v/>
      </c>
      <c r="AN100" s="8" t="str">
        <f t="shared" si="150"/>
        <v/>
      </c>
      <c r="AO100" s="8" t="str">
        <f t="shared" si="151"/>
        <v/>
      </c>
      <c r="AP100" s="8" t="str">
        <f t="shared" si="152"/>
        <v/>
      </c>
      <c r="AQ100" s="8" t="str">
        <f t="shared" si="153"/>
        <v/>
      </c>
      <c r="AR100" s="8" t="str">
        <f t="shared" si="154"/>
        <v/>
      </c>
      <c r="AS100" s="8" t="str">
        <f t="shared" si="155"/>
        <v/>
      </c>
      <c r="AT100" s="8" t="str">
        <f t="shared" si="156"/>
        <v/>
      </c>
      <c r="AU100" s="8" t="str">
        <f t="shared" si="157"/>
        <v/>
      </c>
      <c r="AV100" s="8" t="str">
        <f t="shared" si="158"/>
        <v/>
      </c>
      <c r="AW100" s="8" t="str">
        <f t="shared" si="159"/>
        <v/>
      </c>
      <c r="AX100" s="8" t="str">
        <f t="shared" si="160"/>
        <v/>
      </c>
      <c r="AY100" s="8" t="str">
        <f t="shared" si="161"/>
        <v/>
      </c>
      <c r="AZ100" s="8" t="str">
        <f t="shared" si="162"/>
        <v/>
      </c>
      <c r="BA100" s="8" t="str">
        <f t="shared" si="163"/>
        <v/>
      </c>
      <c r="BB100" s="8" t="str">
        <f t="shared" si="164"/>
        <v/>
      </c>
      <c r="BC100" s="8" t="str">
        <f t="shared" si="165"/>
        <v/>
      </c>
      <c r="BD100" s="8" t="str">
        <f t="shared" si="166"/>
        <v/>
      </c>
      <c r="BE100" s="8" t="str">
        <f t="shared" si="167"/>
        <v/>
      </c>
      <c r="BF100" s="8" t="str">
        <f t="shared" si="168"/>
        <v/>
      </c>
      <c r="BG100" s="8" t="str">
        <f t="shared" si="169"/>
        <v/>
      </c>
      <c r="BH100" s="8" t="str">
        <f t="shared" si="170"/>
        <v/>
      </c>
      <c r="BI100" s="8" t="str">
        <f t="shared" si="171"/>
        <v/>
      </c>
      <c r="BJ100" s="8" t="str">
        <f t="shared" si="172"/>
        <v/>
      </c>
      <c r="BK100" s="8" t="str">
        <f t="shared" si="173"/>
        <v/>
      </c>
      <c r="BL100" s="8" t="str">
        <f t="shared" si="174"/>
        <v/>
      </c>
      <c r="BM100" s="8" t="str">
        <f t="shared" si="94"/>
        <v/>
      </c>
      <c r="BN100" s="8" t="str">
        <f t="shared" si="95"/>
        <v/>
      </c>
      <c r="BO100" s="8" t="str">
        <f t="shared" si="96"/>
        <v/>
      </c>
      <c r="BP100" s="8" t="str">
        <f t="shared" si="97"/>
        <v/>
      </c>
      <c r="BQ100" s="8" t="str">
        <f t="shared" si="98"/>
        <v/>
      </c>
      <c r="BR100" s="8" t="str">
        <f t="shared" si="99"/>
        <v/>
      </c>
      <c r="BS100" s="8" t="str">
        <f t="shared" si="100"/>
        <v/>
      </c>
      <c r="BT100" s="8" t="str">
        <f t="shared" si="101"/>
        <v/>
      </c>
      <c r="BU100" s="8" t="str">
        <f t="shared" si="102"/>
        <v/>
      </c>
      <c r="BV100" s="8" t="str">
        <f t="shared" si="103"/>
        <v/>
      </c>
      <c r="BW100" s="8" t="str">
        <f t="shared" si="104"/>
        <v/>
      </c>
      <c r="BX100" s="8" t="str">
        <f t="shared" si="105"/>
        <v/>
      </c>
      <c r="BY100" s="8" t="str">
        <f t="shared" si="106"/>
        <v/>
      </c>
      <c r="BZ100" s="8" t="str">
        <f t="shared" si="107"/>
        <v/>
      </c>
      <c r="CA100" s="8" t="str">
        <f t="shared" si="108"/>
        <v/>
      </c>
      <c r="CB100" s="8" t="str">
        <f t="shared" si="109"/>
        <v/>
      </c>
      <c r="CC100" s="8" t="str">
        <f t="shared" si="110"/>
        <v/>
      </c>
      <c r="CD100" s="8" t="str">
        <f t="shared" si="111"/>
        <v/>
      </c>
      <c r="CE100" s="8" t="str">
        <f t="shared" si="112"/>
        <v/>
      </c>
      <c r="CF100" s="8" t="str">
        <f t="shared" si="113"/>
        <v/>
      </c>
      <c r="CG100" s="8" t="str">
        <f t="shared" si="114"/>
        <v/>
      </c>
      <c r="CH100" s="8" t="str">
        <f t="shared" si="115"/>
        <v/>
      </c>
      <c r="CI100" s="8" t="str">
        <f t="shared" si="116"/>
        <v/>
      </c>
      <c r="CJ100" s="8" t="str">
        <f t="shared" si="117"/>
        <v/>
      </c>
    </row>
    <row r="101" spans="5:88">
      <c r="E101" s="8">
        <f>COUNTIF(C10:C49,"&lt;&gt;")</f>
        <v>35</v>
      </c>
      <c r="H101" s="8" t="s">
        <v>37</v>
      </c>
    </row>
    <row r="102" spans="5:88">
      <c r="G102" s="8">
        <v>1</v>
      </c>
      <c r="I102" s="8" t="str">
        <f t="shared" ref="I102:AF102" si="175">I61</f>
        <v/>
      </c>
      <c r="J102" s="8" t="str">
        <f t="shared" si="175"/>
        <v/>
      </c>
      <c r="K102" s="8" t="str">
        <f t="shared" si="175"/>
        <v/>
      </c>
      <c r="L102" s="8" t="str">
        <f t="shared" si="175"/>
        <v/>
      </c>
      <c r="M102" s="8" t="str">
        <f t="shared" si="175"/>
        <v/>
      </c>
      <c r="N102" s="8" t="str">
        <f t="shared" si="175"/>
        <v/>
      </c>
      <c r="O102" s="8" t="str">
        <f t="shared" si="175"/>
        <v/>
      </c>
      <c r="P102" s="8" t="str">
        <f t="shared" si="175"/>
        <v/>
      </c>
      <c r="Q102" s="30" t="str">
        <f t="shared" si="175"/>
        <v/>
      </c>
      <c r="R102" s="8" t="str">
        <f t="shared" si="175"/>
        <v/>
      </c>
      <c r="S102" s="8" t="str">
        <f t="shared" si="175"/>
        <v/>
      </c>
      <c r="T102" s="8" t="str">
        <f t="shared" si="175"/>
        <v/>
      </c>
      <c r="U102" s="8" t="str">
        <f t="shared" si="175"/>
        <v/>
      </c>
      <c r="V102" s="8" t="str">
        <f t="shared" si="175"/>
        <v/>
      </c>
      <c r="W102" s="8" t="str">
        <f t="shared" si="175"/>
        <v/>
      </c>
      <c r="X102" s="8" t="str">
        <f t="shared" si="175"/>
        <v/>
      </c>
      <c r="Y102" s="8" t="str">
        <f t="shared" si="175"/>
        <v/>
      </c>
      <c r="Z102" s="8" t="str">
        <f t="shared" si="175"/>
        <v/>
      </c>
      <c r="AA102" s="8" t="str">
        <f t="shared" si="175"/>
        <v/>
      </c>
      <c r="AB102" s="8" t="str">
        <f t="shared" si="175"/>
        <v/>
      </c>
      <c r="AC102" s="8" t="str">
        <f t="shared" si="175"/>
        <v/>
      </c>
      <c r="AD102" s="8" t="str">
        <f t="shared" si="175"/>
        <v/>
      </c>
      <c r="AE102" s="8" t="str">
        <f t="shared" si="175"/>
        <v/>
      </c>
      <c r="AF102" s="8" t="str">
        <f t="shared" si="175"/>
        <v/>
      </c>
      <c r="AG102" s="8" t="str">
        <f t="shared" ref="AG102:BL102" si="176">AG61</f>
        <v/>
      </c>
      <c r="AH102" s="8" t="str">
        <f t="shared" si="176"/>
        <v/>
      </c>
      <c r="AI102" s="8" t="str">
        <f t="shared" si="176"/>
        <v/>
      </c>
      <c r="AJ102" s="8" t="str">
        <f t="shared" si="176"/>
        <v/>
      </c>
      <c r="AK102" s="8" t="str">
        <f t="shared" si="176"/>
        <v/>
      </c>
      <c r="AL102" s="8" t="str">
        <f t="shared" si="176"/>
        <v/>
      </c>
      <c r="AM102" s="8" t="str">
        <f t="shared" si="176"/>
        <v/>
      </c>
      <c r="AN102" s="8" t="str">
        <f t="shared" si="176"/>
        <v/>
      </c>
      <c r="AO102" s="8" t="str">
        <f t="shared" si="176"/>
        <v/>
      </c>
      <c r="AP102" s="8" t="str">
        <f t="shared" si="176"/>
        <v/>
      </c>
      <c r="AQ102" s="8" t="str">
        <f t="shared" si="176"/>
        <v/>
      </c>
      <c r="AR102" s="8" t="str">
        <f t="shared" si="176"/>
        <v/>
      </c>
      <c r="AS102" s="8" t="str">
        <f t="shared" si="176"/>
        <v/>
      </c>
      <c r="AT102" s="8" t="str">
        <f t="shared" si="176"/>
        <v/>
      </c>
      <c r="AU102" s="8" t="str">
        <f t="shared" si="176"/>
        <v/>
      </c>
      <c r="AV102" s="8" t="str">
        <f t="shared" si="176"/>
        <v/>
      </c>
      <c r="AW102" s="8" t="str">
        <f t="shared" si="176"/>
        <v/>
      </c>
      <c r="AX102" s="8" t="str">
        <f t="shared" si="176"/>
        <v/>
      </c>
      <c r="AY102" s="8" t="str">
        <f t="shared" si="176"/>
        <v>Jordan Anning</v>
      </c>
      <c r="AZ102" s="8" t="str">
        <f t="shared" si="176"/>
        <v/>
      </c>
      <c r="BA102" s="8" t="str">
        <f t="shared" si="176"/>
        <v/>
      </c>
      <c r="BB102" s="8" t="str">
        <f t="shared" si="176"/>
        <v/>
      </c>
      <c r="BC102" s="8" t="str">
        <f t="shared" si="176"/>
        <v/>
      </c>
      <c r="BD102" s="8" t="str">
        <f t="shared" si="176"/>
        <v/>
      </c>
      <c r="BE102" s="8" t="str">
        <f t="shared" si="176"/>
        <v/>
      </c>
      <c r="BF102" s="8" t="str">
        <f t="shared" si="176"/>
        <v/>
      </c>
      <c r="BG102" s="8" t="str">
        <f t="shared" si="176"/>
        <v/>
      </c>
      <c r="BH102" s="8" t="str">
        <f t="shared" si="176"/>
        <v/>
      </c>
      <c r="BI102" s="8" t="str">
        <f t="shared" si="176"/>
        <v/>
      </c>
      <c r="BJ102" s="8" t="str">
        <f t="shared" si="176"/>
        <v/>
      </c>
      <c r="BK102" s="8" t="str">
        <f t="shared" si="176"/>
        <v/>
      </c>
      <c r="BL102" s="8" t="str">
        <f t="shared" si="176"/>
        <v/>
      </c>
      <c r="BM102" s="8" t="str">
        <f t="shared" ref="BM102:CF102" si="177">BM61</f>
        <v/>
      </c>
      <c r="BN102" s="8" t="str">
        <f t="shared" si="177"/>
        <v/>
      </c>
      <c r="BO102" s="8" t="str">
        <f t="shared" si="177"/>
        <v/>
      </c>
      <c r="BP102" s="8" t="str">
        <f t="shared" si="177"/>
        <v/>
      </c>
      <c r="BQ102" s="8" t="str">
        <f t="shared" si="177"/>
        <v/>
      </c>
      <c r="BR102" s="8" t="str">
        <f t="shared" si="177"/>
        <v/>
      </c>
      <c r="BS102" s="8" t="str">
        <f t="shared" si="177"/>
        <v/>
      </c>
      <c r="BT102" s="8" t="str">
        <f t="shared" si="177"/>
        <v/>
      </c>
      <c r="BU102" s="8" t="str">
        <f t="shared" si="177"/>
        <v/>
      </c>
      <c r="BV102" s="8" t="str">
        <f t="shared" si="177"/>
        <v/>
      </c>
      <c r="BW102" s="8" t="str">
        <f t="shared" si="177"/>
        <v/>
      </c>
      <c r="BX102" s="8" t="str">
        <f t="shared" si="177"/>
        <v/>
      </c>
      <c r="BY102" s="8" t="str">
        <f t="shared" si="177"/>
        <v/>
      </c>
      <c r="BZ102" s="8" t="str">
        <f t="shared" si="177"/>
        <v/>
      </c>
      <c r="CA102" s="8" t="str">
        <f t="shared" si="177"/>
        <v/>
      </c>
      <c r="CB102" s="8" t="str">
        <f t="shared" si="177"/>
        <v/>
      </c>
      <c r="CC102" s="8" t="str">
        <f t="shared" si="177"/>
        <v/>
      </c>
      <c r="CD102" s="8" t="str">
        <f t="shared" si="177"/>
        <v/>
      </c>
      <c r="CE102" s="8" t="str">
        <f t="shared" si="177"/>
        <v/>
      </c>
      <c r="CF102" s="8" t="str">
        <f t="shared" si="177"/>
        <v/>
      </c>
      <c r="CG102" s="8" t="str">
        <f t="shared" ref="CG102:CJ102" si="178">CG61</f>
        <v/>
      </c>
      <c r="CH102" s="8" t="str">
        <f t="shared" si="178"/>
        <v/>
      </c>
      <c r="CI102" s="8" t="str">
        <f t="shared" si="178"/>
        <v/>
      </c>
      <c r="CJ102" s="8" t="str">
        <f t="shared" si="178"/>
        <v/>
      </c>
    </row>
    <row r="103" spans="5:88">
      <c r="G103" s="8">
        <f>G102+1</f>
        <v>2</v>
      </c>
      <c r="I103" s="8" t="str">
        <f t="shared" ref="I103:P105" si="179">IF(I62="",I102,IF(I102="",I62,I102&amp;", "&amp;I62))</f>
        <v/>
      </c>
      <c r="J103" s="8" t="str">
        <f t="shared" si="179"/>
        <v/>
      </c>
      <c r="K103" s="8" t="str">
        <f t="shared" si="179"/>
        <v/>
      </c>
      <c r="L103" s="8" t="str">
        <f t="shared" si="179"/>
        <v/>
      </c>
      <c r="M103" s="8" t="str">
        <f t="shared" si="179"/>
        <v/>
      </c>
      <c r="N103" s="8" t="str">
        <f t="shared" si="179"/>
        <v/>
      </c>
      <c r="O103" s="8" t="str">
        <f t="shared" si="179"/>
        <v/>
      </c>
      <c r="P103" s="8" t="str">
        <f t="shared" si="179"/>
        <v/>
      </c>
      <c r="Q103" s="30" t="str">
        <f t="shared" ref="Q103:T105" si="180">IF(Q62="",Q102,IF(Q102="",Q62,Q102&amp;", "&amp;Q62))</f>
        <v/>
      </c>
      <c r="R103" s="8" t="str">
        <f t="shared" si="180"/>
        <v/>
      </c>
      <c r="S103" s="8" t="str">
        <f t="shared" si="180"/>
        <v/>
      </c>
      <c r="T103" s="8" t="str">
        <f t="shared" si="180"/>
        <v/>
      </c>
      <c r="U103" s="8" t="str">
        <f t="shared" ref="U103:AD105" si="181">IF(U62="",U102,IF(U102="",U62,U102&amp;", "&amp;U62))</f>
        <v/>
      </c>
      <c r="V103" s="8" t="str">
        <f t="shared" si="181"/>
        <v/>
      </c>
      <c r="W103" s="8" t="str">
        <f t="shared" si="181"/>
        <v/>
      </c>
      <c r="X103" s="8" t="str">
        <f t="shared" si="181"/>
        <v/>
      </c>
      <c r="Y103" s="8" t="str">
        <f t="shared" si="181"/>
        <v/>
      </c>
      <c r="Z103" s="8" t="str">
        <f t="shared" si="181"/>
        <v/>
      </c>
      <c r="AA103" s="8" t="str">
        <f t="shared" si="181"/>
        <v>Lorenzo Balzarini (2)</v>
      </c>
      <c r="AB103" s="8" t="str">
        <f t="shared" si="181"/>
        <v/>
      </c>
      <c r="AC103" s="8" t="str">
        <f t="shared" si="181"/>
        <v/>
      </c>
      <c r="AD103" s="8" t="str">
        <f t="shared" si="181"/>
        <v/>
      </c>
      <c r="AE103" s="8" t="str">
        <f t="shared" ref="AE103:AN105" si="182">IF(AE62="",AE102,IF(AE102="",AE62,AE102&amp;", "&amp;AE62))</f>
        <v>Lorenzo Balzarini (1)</v>
      </c>
      <c r="AF103" s="8" t="str">
        <f t="shared" si="182"/>
        <v/>
      </c>
      <c r="AG103" s="8" t="str">
        <f t="shared" si="182"/>
        <v/>
      </c>
      <c r="AH103" s="8" t="str">
        <f t="shared" si="182"/>
        <v/>
      </c>
      <c r="AI103" s="8" t="str">
        <f t="shared" si="182"/>
        <v/>
      </c>
      <c r="AJ103" s="8" t="str">
        <f t="shared" si="182"/>
        <v/>
      </c>
      <c r="AK103" s="8" t="str">
        <f t="shared" si="182"/>
        <v/>
      </c>
      <c r="AL103" s="8" t="str">
        <f t="shared" si="182"/>
        <v/>
      </c>
      <c r="AM103" s="8" t="str">
        <f t="shared" si="182"/>
        <v>Lorenzo Balzarini</v>
      </c>
      <c r="AN103" s="8" t="str">
        <f t="shared" si="182"/>
        <v/>
      </c>
      <c r="AO103" s="8" t="str">
        <f t="shared" ref="AO103:AX105" si="183">IF(AO62="",AO102,IF(AO102="",AO62,AO102&amp;", "&amp;AO62))</f>
        <v/>
      </c>
      <c r="AP103" s="8" t="str">
        <f t="shared" si="183"/>
        <v/>
      </c>
      <c r="AQ103" s="8" t="str">
        <f t="shared" si="183"/>
        <v>Lorenzo Balzarini</v>
      </c>
      <c r="AR103" s="8" t="str">
        <f t="shared" si="183"/>
        <v/>
      </c>
      <c r="AS103" s="8" t="str">
        <f t="shared" si="183"/>
        <v/>
      </c>
      <c r="AT103" s="8" t="str">
        <f t="shared" si="183"/>
        <v/>
      </c>
      <c r="AU103" s="8" t="str">
        <f t="shared" si="183"/>
        <v>Lorenzo Balzarini</v>
      </c>
      <c r="AV103" s="8" t="str">
        <f t="shared" si="183"/>
        <v/>
      </c>
      <c r="AW103" s="8" t="str">
        <f t="shared" si="183"/>
        <v/>
      </c>
      <c r="AX103" s="8" t="str">
        <f t="shared" si="183"/>
        <v/>
      </c>
      <c r="AY103" s="8" t="str">
        <f t="shared" ref="AY103:BH105" si="184">IF(AY62="",AY102,IF(AY102="",AY62,AY102&amp;", "&amp;AY62))</f>
        <v>Jordan Anning, Lorenzo Balzarini (2)</v>
      </c>
      <c r="AZ103" s="8" t="str">
        <f t="shared" si="184"/>
        <v/>
      </c>
      <c r="BA103" s="8" t="str">
        <f t="shared" si="184"/>
        <v/>
      </c>
      <c r="BB103" s="8" t="str">
        <f t="shared" si="184"/>
        <v/>
      </c>
      <c r="BC103" s="8" t="str">
        <f t="shared" si="184"/>
        <v/>
      </c>
      <c r="BD103" s="8" t="str">
        <f t="shared" si="184"/>
        <v/>
      </c>
      <c r="BE103" s="8" t="str">
        <f t="shared" si="184"/>
        <v/>
      </c>
      <c r="BF103" s="8" t="str">
        <f t="shared" si="184"/>
        <v/>
      </c>
      <c r="BG103" s="8" t="str">
        <f t="shared" si="184"/>
        <v>Lorenzo Balzarini (1)</v>
      </c>
      <c r="BH103" s="8" t="str">
        <f t="shared" si="184"/>
        <v/>
      </c>
      <c r="BI103" s="8" t="str">
        <f t="shared" ref="BI103:BL105" si="185">IF(BI62="",BI102,IF(BI102="",BI62,BI102&amp;", "&amp;BI62))</f>
        <v/>
      </c>
      <c r="BJ103" s="8" t="str">
        <f t="shared" si="185"/>
        <v/>
      </c>
      <c r="BK103" s="8" t="str">
        <f t="shared" si="185"/>
        <v>Lorenzo Balzarini (1)</v>
      </c>
      <c r="BL103" s="8" t="str">
        <f t="shared" si="185"/>
        <v/>
      </c>
      <c r="BM103" s="8" t="str">
        <f t="shared" ref="BM103:CF103" si="186">IF(BM62="",BM102,IF(BM102="",BM62,BM102&amp;", "&amp;BM62))</f>
        <v/>
      </c>
      <c r="BN103" s="8" t="str">
        <f t="shared" si="186"/>
        <v/>
      </c>
      <c r="BO103" s="8" t="str">
        <f t="shared" si="186"/>
        <v/>
      </c>
      <c r="BP103" s="8" t="str">
        <f t="shared" si="186"/>
        <v/>
      </c>
      <c r="BQ103" s="8" t="str">
        <f t="shared" si="186"/>
        <v/>
      </c>
      <c r="BR103" s="8" t="str">
        <f t="shared" si="186"/>
        <v/>
      </c>
      <c r="BS103" s="8" t="str">
        <f t="shared" si="186"/>
        <v>Lorenzo Balzarini</v>
      </c>
      <c r="BT103" s="8" t="str">
        <f t="shared" si="186"/>
        <v/>
      </c>
      <c r="BU103" s="8" t="str">
        <f t="shared" si="186"/>
        <v/>
      </c>
      <c r="BV103" s="8" t="str">
        <f t="shared" si="186"/>
        <v/>
      </c>
      <c r="BW103" s="8" t="str">
        <f t="shared" si="186"/>
        <v/>
      </c>
      <c r="BX103" s="8" t="str">
        <f t="shared" si="186"/>
        <v/>
      </c>
      <c r="BY103" s="8" t="str">
        <f t="shared" si="186"/>
        <v/>
      </c>
      <c r="BZ103" s="8" t="str">
        <f t="shared" si="186"/>
        <v/>
      </c>
      <c r="CA103" s="8" t="str">
        <f t="shared" si="186"/>
        <v/>
      </c>
      <c r="CB103" s="8" t="str">
        <f t="shared" si="186"/>
        <v/>
      </c>
      <c r="CC103" s="8" t="str">
        <f t="shared" si="186"/>
        <v/>
      </c>
      <c r="CD103" s="8" t="str">
        <f t="shared" si="186"/>
        <v/>
      </c>
      <c r="CE103" s="8" t="str">
        <f t="shared" si="186"/>
        <v/>
      </c>
      <c r="CF103" s="8" t="str">
        <f t="shared" si="186"/>
        <v/>
      </c>
      <c r="CG103" s="8" t="str">
        <f t="shared" ref="CG103:CJ103" si="187">IF(CG62="",CG102,IF(CG102="",CG62,CG102&amp;", "&amp;CG62))</f>
        <v/>
      </c>
      <c r="CH103" s="8" t="str">
        <f t="shared" si="187"/>
        <v/>
      </c>
      <c r="CI103" s="8" t="str">
        <f t="shared" si="187"/>
        <v>Lorenzo Balzarini</v>
      </c>
      <c r="CJ103" s="8" t="str">
        <f t="shared" si="187"/>
        <v/>
      </c>
    </row>
    <row r="104" spans="5:88">
      <c r="G104" s="8">
        <f t="shared" ref="G104:G141" si="188">G103+1</f>
        <v>3</v>
      </c>
      <c r="I104" s="8" t="str">
        <f t="shared" si="179"/>
        <v/>
      </c>
      <c r="J104" s="8" t="str">
        <f t="shared" si="179"/>
        <v/>
      </c>
      <c r="K104" s="8" t="str">
        <f t="shared" si="179"/>
        <v/>
      </c>
      <c r="L104" s="8" t="str">
        <f t="shared" si="179"/>
        <v>Justin Baranowski (2)</v>
      </c>
      <c r="M104" s="8" t="str">
        <f t="shared" si="179"/>
        <v/>
      </c>
      <c r="N104" s="8" t="str">
        <f t="shared" si="179"/>
        <v/>
      </c>
      <c r="O104" s="8" t="str">
        <f t="shared" si="179"/>
        <v/>
      </c>
      <c r="P104" s="8" t="str">
        <f t="shared" si="179"/>
        <v>Justin Baranowski (2)</v>
      </c>
      <c r="Q104" s="30" t="str">
        <f t="shared" si="180"/>
        <v/>
      </c>
      <c r="R104" s="8" t="str">
        <f t="shared" si="180"/>
        <v/>
      </c>
      <c r="S104" s="8" t="str">
        <f t="shared" si="180"/>
        <v/>
      </c>
      <c r="T104" s="8" t="str">
        <f t="shared" si="180"/>
        <v>Justin Baranowski</v>
      </c>
      <c r="U104" s="8" t="str">
        <f t="shared" si="181"/>
        <v/>
      </c>
      <c r="V104" s="8" t="str">
        <f t="shared" si="181"/>
        <v/>
      </c>
      <c r="W104" s="8" t="str">
        <f t="shared" si="181"/>
        <v/>
      </c>
      <c r="X104" s="8" t="str">
        <f t="shared" si="181"/>
        <v>Justin Baranowski (1)</v>
      </c>
      <c r="Y104" s="8" t="str">
        <f t="shared" si="181"/>
        <v/>
      </c>
      <c r="Z104" s="8" t="str">
        <f t="shared" si="181"/>
        <v/>
      </c>
      <c r="AA104" s="8" t="str">
        <f t="shared" si="181"/>
        <v>Lorenzo Balzarini (2)</v>
      </c>
      <c r="AB104" s="8" t="str">
        <f t="shared" si="181"/>
        <v>Justin Baranowski (1)</v>
      </c>
      <c r="AC104" s="8" t="str">
        <f t="shared" si="181"/>
        <v/>
      </c>
      <c r="AD104" s="8" t="str">
        <f t="shared" si="181"/>
        <v/>
      </c>
      <c r="AE104" s="8" t="str">
        <f t="shared" si="182"/>
        <v>Lorenzo Balzarini (1)</v>
      </c>
      <c r="AF104" s="8" t="str">
        <f t="shared" si="182"/>
        <v>Justin Baranowski (1)</v>
      </c>
      <c r="AG104" s="8" t="str">
        <f t="shared" si="182"/>
        <v/>
      </c>
      <c r="AH104" s="8" t="str">
        <f t="shared" si="182"/>
        <v/>
      </c>
      <c r="AI104" s="8" t="str">
        <f t="shared" si="182"/>
        <v/>
      </c>
      <c r="AJ104" s="8" t="str">
        <f t="shared" si="182"/>
        <v/>
      </c>
      <c r="AK104" s="8" t="str">
        <f t="shared" si="182"/>
        <v/>
      </c>
      <c r="AL104" s="8" t="str">
        <f t="shared" si="182"/>
        <v/>
      </c>
      <c r="AM104" s="8" t="str">
        <f t="shared" si="182"/>
        <v>Lorenzo Balzarini</v>
      </c>
      <c r="AN104" s="8" t="str">
        <f t="shared" si="182"/>
        <v>Justin Baranowski (2)</v>
      </c>
      <c r="AO104" s="8" t="str">
        <f t="shared" si="183"/>
        <v/>
      </c>
      <c r="AP104" s="8" t="str">
        <f t="shared" si="183"/>
        <v/>
      </c>
      <c r="AQ104" s="8" t="str">
        <f t="shared" si="183"/>
        <v>Lorenzo Balzarini</v>
      </c>
      <c r="AR104" s="8" t="str">
        <f t="shared" si="183"/>
        <v>Justin Baranowski (1)</v>
      </c>
      <c r="AS104" s="8" t="str">
        <f t="shared" si="183"/>
        <v/>
      </c>
      <c r="AT104" s="8" t="str">
        <f t="shared" si="183"/>
        <v/>
      </c>
      <c r="AU104" s="8" t="str">
        <f t="shared" si="183"/>
        <v>Lorenzo Balzarini</v>
      </c>
      <c r="AV104" s="8" t="str">
        <f t="shared" si="183"/>
        <v>Justin Baranowski</v>
      </c>
      <c r="AW104" s="8" t="str">
        <f t="shared" si="183"/>
        <v/>
      </c>
      <c r="AX104" s="8" t="str">
        <f t="shared" si="183"/>
        <v/>
      </c>
      <c r="AY104" s="8" t="str">
        <f t="shared" si="184"/>
        <v>Jordan Anning, Lorenzo Balzarini (2)</v>
      </c>
      <c r="AZ104" s="8" t="str">
        <f t="shared" si="184"/>
        <v/>
      </c>
      <c r="BA104" s="8" t="str">
        <f t="shared" si="184"/>
        <v/>
      </c>
      <c r="BB104" s="8" t="str">
        <f t="shared" si="184"/>
        <v/>
      </c>
      <c r="BC104" s="8" t="str">
        <f t="shared" si="184"/>
        <v/>
      </c>
      <c r="BD104" s="8" t="str">
        <f t="shared" si="184"/>
        <v/>
      </c>
      <c r="BE104" s="8" t="str">
        <f t="shared" si="184"/>
        <v/>
      </c>
      <c r="BF104" s="8" t="str">
        <f t="shared" si="184"/>
        <v/>
      </c>
      <c r="BG104" s="8" t="str">
        <f t="shared" si="184"/>
        <v>Lorenzo Balzarini (1)</v>
      </c>
      <c r="BH104" s="8" t="str">
        <f t="shared" si="184"/>
        <v>Justin Baranowski (2)</v>
      </c>
      <c r="BI104" s="8" t="str">
        <f t="shared" si="185"/>
        <v/>
      </c>
      <c r="BJ104" s="8" t="str">
        <f t="shared" si="185"/>
        <v/>
      </c>
      <c r="BK104" s="8" t="str">
        <f t="shared" si="185"/>
        <v>Lorenzo Balzarini (1)</v>
      </c>
      <c r="BL104" s="8" t="str">
        <f t="shared" si="185"/>
        <v>Justin Baranowski</v>
      </c>
      <c r="BM104" s="8" t="str">
        <f t="shared" ref="BM104:CF104" si="189">IF(BM63="",BM103,IF(BM103="",BM63,BM103&amp;", "&amp;BM63))</f>
        <v/>
      </c>
      <c r="BN104" s="8" t="str">
        <f t="shared" si="189"/>
        <v/>
      </c>
      <c r="BO104" s="8" t="str">
        <f t="shared" si="189"/>
        <v/>
      </c>
      <c r="BP104" s="8" t="str">
        <f t="shared" si="189"/>
        <v/>
      </c>
      <c r="BQ104" s="8" t="str">
        <f t="shared" si="189"/>
        <v/>
      </c>
      <c r="BR104" s="8" t="str">
        <f t="shared" si="189"/>
        <v/>
      </c>
      <c r="BS104" s="8" t="str">
        <f t="shared" si="189"/>
        <v>Lorenzo Balzarini</v>
      </c>
      <c r="BT104" s="8" t="str">
        <f t="shared" si="189"/>
        <v>Justin Baranowski</v>
      </c>
      <c r="BU104" s="8" t="str">
        <f t="shared" si="189"/>
        <v/>
      </c>
      <c r="BV104" s="8" t="str">
        <f t="shared" si="189"/>
        <v/>
      </c>
      <c r="BW104" s="8" t="str">
        <f t="shared" si="189"/>
        <v/>
      </c>
      <c r="BX104" s="8" t="str">
        <f t="shared" si="189"/>
        <v/>
      </c>
      <c r="BY104" s="8" t="str">
        <f t="shared" si="189"/>
        <v/>
      </c>
      <c r="BZ104" s="8" t="str">
        <f t="shared" si="189"/>
        <v/>
      </c>
      <c r="CA104" s="8" t="str">
        <f t="shared" si="189"/>
        <v/>
      </c>
      <c r="CB104" s="8" t="str">
        <f t="shared" si="189"/>
        <v/>
      </c>
      <c r="CC104" s="8" t="str">
        <f t="shared" si="189"/>
        <v/>
      </c>
      <c r="CD104" s="8" t="str">
        <f t="shared" si="189"/>
        <v/>
      </c>
      <c r="CE104" s="8" t="str">
        <f t="shared" si="189"/>
        <v/>
      </c>
      <c r="CF104" s="8" t="str">
        <f t="shared" si="189"/>
        <v>Justin Baranowski (2)</v>
      </c>
      <c r="CG104" s="8" t="str">
        <f t="shared" ref="CG104:CJ104" si="190">IF(CG63="",CG103,IF(CG103="",CG63,CG103&amp;", "&amp;CG63))</f>
        <v/>
      </c>
      <c r="CH104" s="8" t="str">
        <f t="shared" si="190"/>
        <v/>
      </c>
      <c r="CI104" s="8" t="str">
        <f t="shared" si="190"/>
        <v>Lorenzo Balzarini</v>
      </c>
      <c r="CJ104" s="8" t="str">
        <f t="shared" si="190"/>
        <v/>
      </c>
    </row>
    <row r="105" spans="5:88">
      <c r="G105" s="8">
        <f t="shared" si="188"/>
        <v>4</v>
      </c>
      <c r="I105" s="8" t="str">
        <f t="shared" si="179"/>
        <v/>
      </c>
      <c r="J105" s="8" t="str">
        <f t="shared" si="179"/>
        <v/>
      </c>
      <c r="K105" s="8" t="str">
        <f t="shared" si="179"/>
        <v>Sam Baranowski</v>
      </c>
      <c r="L105" s="8" t="str">
        <f t="shared" si="179"/>
        <v>Justin Baranowski (2)</v>
      </c>
      <c r="M105" s="8" t="str">
        <f t="shared" si="179"/>
        <v/>
      </c>
      <c r="N105" s="8" t="str">
        <f t="shared" si="179"/>
        <v/>
      </c>
      <c r="O105" s="8" t="str">
        <f t="shared" si="179"/>
        <v>Sam Baranowski</v>
      </c>
      <c r="P105" s="8" t="str">
        <f t="shared" si="179"/>
        <v>Justin Baranowski (2)</v>
      </c>
      <c r="Q105" s="30" t="str">
        <f t="shared" si="180"/>
        <v/>
      </c>
      <c r="R105" s="8" t="str">
        <f t="shared" si="180"/>
        <v/>
      </c>
      <c r="S105" s="8" t="str">
        <f t="shared" si="180"/>
        <v>Sam Baranowski</v>
      </c>
      <c r="T105" s="8" t="str">
        <f t="shared" si="180"/>
        <v>Justin Baranowski</v>
      </c>
      <c r="U105" s="8" t="str">
        <f t="shared" si="181"/>
        <v/>
      </c>
      <c r="V105" s="8" t="str">
        <f t="shared" si="181"/>
        <v/>
      </c>
      <c r="W105" s="8" t="str">
        <f t="shared" si="181"/>
        <v>Sam Baranowski</v>
      </c>
      <c r="X105" s="8" t="str">
        <f t="shared" si="181"/>
        <v>Justin Baranowski (1)</v>
      </c>
      <c r="Y105" s="8" t="str">
        <f t="shared" si="181"/>
        <v/>
      </c>
      <c r="Z105" s="8" t="str">
        <f t="shared" si="181"/>
        <v/>
      </c>
      <c r="AA105" s="8" t="str">
        <f t="shared" si="181"/>
        <v>Lorenzo Balzarini (2)</v>
      </c>
      <c r="AB105" s="8" t="str">
        <f t="shared" si="181"/>
        <v>Justin Baranowski (1)</v>
      </c>
      <c r="AC105" s="8" t="str">
        <f t="shared" si="181"/>
        <v/>
      </c>
      <c r="AD105" s="8" t="str">
        <f t="shared" si="181"/>
        <v/>
      </c>
      <c r="AE105" s="8" t="str">
        <f t="shared" si="182"/>
        <v>Lorenzo Balzarini (1), Sam Baranowski</v>
      </c>
      <c r="AF105" s="8" t="str">
        <f t="shared" si="182"/>
        <v>Justin Baranowski (1)</v>
      </c>
      <c r="AG105" s="8" t="str">
        <f t="shared" si="182"/>
        <v/>
      </c>
      <c r="AH105" s="8" t="str">
        <f t="shared" si="182"/>
        <v/>
      </c>
      <c r="AI105" s="8" t="str">
        <f t="shared" si="182"/>
        <v/>
      </c>
      <c r="AJ105" s="8" t="str">
        <f t="shared" si="182"/>
        <v/>
      </c>
      <c r="AK105" s="8" t="str">
        <f t="shared" si="182"/>
        <v/>
      </c>
      <c r="AL105" s="8" t="str">
        <f t="shared" si="182"/>
        <v/>
      </c>
      <c r="AM105" s="8" t="str">
        <f t="shared" si="182"/>
        <v>Lorenzo Balzarini, Sam Baranowski</v>
      </c>
      <c r="AN105" s="8" t="str">
        <f t="shared" si="182"/>
        <v>Justin Baranowski (2)</v>
      </c>
      <c r="AO105" s="8" t="str">
        <f t="shared" si="183"/>
        <v/>
      </c>
      <c r="AP105" s="8" t="str">
        <f t="shared" si="183"/>
        <v/>
      </c>
      <c r="AQ105" s="8" t="str">
        <f t="shared" si="183"/>
        <v>Lorenzo Balzarini, Sam Baranowski</v>
      </c>
      <c r="AR105" s="8" t="str">
        <f t="shared" si="183"/>
        <v>Justin Baranowski (1)</v>
      </c>
      <c r="AS105" s="8" t="str">
        <f t="shared" si="183"/>
        <v/>
      </c>
      <c r="AT105" s="8" t="str">
        <f t="shared" si="183"/>
        <v/>
      </c>
      <c r="AU105" s="8" t="str">
        <f t="shared" si="183"/>
        <v>Lorenzo Balzarini</v>
      </c>
      <c r="AV105" s="8" t="str">
        <f t="shared" si="183"/>
        <v>Justin Baranowski</v>
      </c>
      <c r="AW105" s="8" t="str">
        <f t="shared" si="183"/>
        <v/>
      </c>
      <c r="AX105" s="8" t="str">
        <f t="shared" si="183"/>
        <v/>
      </c>
      <c r="AY105" s="8" t="str">
        <f t="shared" si="184"/>
        <v>Jordan Anning, Lorenzo Balzarini (2)</v>
      </c>
      <c r="AZ105" s="8" t="str">
        <f t="shared" si="184"/>
        <v/>
      </c>
      <c r="BA105" s="8" t="str">
        <f t="shared" si="184"/>
        <v/>
      </c>
      <c r="BB105" s="8" t="str">
        <f t="shared" si="184"/>
        <v/>
      </c>
      <c r="BC105" s="8" t="str">
        <f t="shared" si="184"/>
        <v/>
      </c>
      <c r="BD105" s="8" t="str">
        <f t="shared" si="184"/>
        <v/>
      </c>
      <c r="BE105" s="8" t="str">
        <f t="shared" si="184"/>
        <v/>
      </c>
      <c r="BF105" s="8" t="str">
        <f t="shared" si="184"/>
        <v/>
      </c>
      <c r="BG105" s="8" t="str">
        <f t="shared" si="184"/>
        <v>Lorenzo Balzarini (1)</v>
      </c>
      <c r="BH105" s="8" t="str">
        <f t="shared" si="184"/>
        <v>Justin Baranowski (2)</v>
      </c>
      <c r="BI105" s="8" t="str">
        <f t="shared" si="185"/>
        <v/>
      </c>
      <c r="BJ105" s="8" t="str">
        <f t="shared" si="185"/>
        <v/>
      </c>
      <c r="BK105" s="8" t="str">
        <f t="shared" si="185"/>
        <v>Lorenzo Balzarini (1)</v>
      </c>
      <c r="BL105" s="8" t="str">
        <f t="shared" si="185"/>
        <v>Justin Baranowski</v>
      </c>
      <c r="BM105" s="8" t="str">
        <f t="shared" ref="BM105:CF105" si="191">IF(BM64="",BM104,IF(BM104="",BM64,BM104&amp;", "&amp;BM64))</f>
        <v/>
      </c>
      <c r="BN105" s="8" t="str">
        <f t="shared" si="191"/>
        <v/>
      </c>
      <c r="BO105" s="8" t="str">
        <f t="shared" si="191"/>
        <v/>
      </c>
      <c r="BP105" s="8" t="str">
        <f t="shared" si="191"/>
        <v/>
      </c>
      <c r="BQ105" s="8" t="str">
        <f t="shared" si="191"/>
        <v/>
      </c>
      <c r="BR105" s="8" t="str">
        <f t="shared" si="191"/>
        <v/>
      </c>
      <c r="BS105" s="8" t="str">
        <f t="shared" si="191"/>
        <v>Lorenzo Balzarini, Sam Baranowski</v>
      </c>
      <c r="BT105" s="8" t="str">
        <f t="shared" si="191"/>
        <v>Justin Baranowski</v>
      </c>
      <c r="BU105" s="8" t="str">
        <f t="shared" si="191"/>
        <v/>
      </c>
      <c r="BV105" s="8" t="str">
        <f t="shared" si="191"/>
        <v/>
      </c>
      <c r="BW105" s="8" t="str">
        <f t="shared" si="191"/>
        <v/>
      </c>
      <c r="BX105" s="8" t="str">
        <f t="shared" si="191"/>
        <v/>
      </c>
      <c r="BY105" s="8" t="str">
        <f t="shared" si="191"/>
        <v/>
      </c>
      <c r="BZ105" s="8" t="str">
        <f t="shared" si="191"/>
        <v/>
      </c>
      <c r="CA105" s="8" t="str">
        <f t="shared" si="191"/>
        <v/>
      </c>
      <c r="CB105" s="8" t="str">
        <f t="shared" si="191"/>
        <v/>
      </c>
      <c r="CC105" s="8" t="str">
        <f t="shared" si="191"/>
        <v/>
      </c>
      <c r="CD105" s="8" t="str">
        <f t="shared" si="191"/>
        <v/>
      </c>
      <c r="CE105" s="8" t="str">
        <f t="shared" si="191"/>
        <v>Sam Baranowski</v>
      </c>
      <c r="CF105" s="8" t="str">
        <f t="shared" si="191"/>
        <v>Justin Baranowski (2)</v>
      </c>
      <c r="CG105" s="8" t="str">
        <f t="shared" ref="CG105:CJ105" si="192">IF(CG64="",CG104,IF(CG104="",CG64,CG104&amp;", "&amp;CG64))</f>
        <v/>
      </c>
      <c r="CH105" s="8" t="str">
        <f t="shared" si="192"/>
        <v/>
      </c>
      <c r="CI105" s="8" t="str">
        <f t="shared" si="192"/>
        <v>Lorenzo Balzarini, Sam Baranowski</v>
      </c>
      <c r="CJ105" s="8" t="str">
        <f t="shared" si="192"/>
        <v/>
      </c>
    </row>
    <row r="106" spans="5:88">
      <c r="G106" s="8">
        <f t="shared" si="188"/>
        <v>5</v>
      </c>
      <c r="I106" s="8" t="str">
        <f t="shared" ref="I106:BL106" si="193">IF(I65="",I105,IF(I105="",I65,I105&amp;", "&amp;I65))</f>
        <v/>
      </c>
      <c r="J106" s="8" t="str">
        <f t="shared" si="193"/>
        <v/>
      </c>
      <c r="K106" s="8" t="str">
        <f t="shared" si="193"/>
        <v>Sam Baranowski</v>
      </c>
      <c r="L106" s="8" t="str">
        <f t="shared" si="193"/>
        <v>Justin Baranowski (2)</v>
      </c>
      <c r="M106" s="8" t="str">
        <f t="shared" si="193"/>
        <v/>
      </c>
      <c r="N106" s="8" t="str">
        <f t="shared" si="193"/>
        <v/>
      </c>
      <c r="O106" s="8" t="str">
        <f t="shared" si="193"/>
        <v>Sam Baranowski, Mike Barratt (2)</v>
      </c>
      <c r="P106" s="8" t="str">
        <f t="shared" si="193"/>
        <v>Justin Baranowski (2)</v>
      </c>
      <c r="Q106" s="30" t="str">
        <f t="shared" si="193"/>
        <v/>
      </c>
      <c r="R106" s="8" t="str">
        <f t="shared" si="193"/>
        <v/>
      </c>
      <c r="S106" s="8" t="str">
        <f t="shared" si="193"/>
        <v>Sam Baranowski</v>
      </c>
      <c r="T106" s="8" t="str">
        <f t="shared" si="193"/>
        <v>Justin Baranowski</v>
      </c>
      <c r="U106" s="8" t="str">
        <f t="shared" si="193"/>
        <v/>
      </c>
      <c r="V106" s="8" t="str">
        <f t="shared" si="193"/>
        <v/>
      </c>
      <c r="W106" s="8" t="str">
        <f t="shared" si="193"/>
        <v>Sam Baranowski</v>
      </c>
      <c r="X106" s="8" t="str">
        <f t="shared" si="193"/>
        <v>Justin Baranowski (1)</v>
      </c>
      <c r="Y106" s="8" t="str">
        <f t="shared" si="193"/>
        <v/>
      </c>
      <c r="Z106" s="8" t="str">
        <f t="shared" si="193"/>
        <v/>
      </c>
      <c r="AA106" s="8" t="str">
        <f t="shared" si="193"/>
        <v>Lorenzo Balzarini (2)</v>
      </c>
      <c r="AB106" s="8" t="str">
        <f t="shared" si="193"/>
        <v>Justin Baranowski (1)</v>
      </c>
      <c r="AC106" s="8" t="str">
        <f t="shared" si="193"/>
        <v/>
      </c>
      <c r="AD106" s="8" t="str">
        <f t="shared" si="193"/>
        <v/>
      </c>
      <c r="AE106" s="8" t="str">
        <f t="shared" si="193"/>
        <v>Lorenzo Balzarini (1), Sam Baranowski</v>
      </c>
      <c r="AF106" s="8" t="str">
        <f t="shared" si="193"/>
        <v>Justin Baranowski (1)</v>
      </c>
      <c r="AG106" s="8" t="str">
        <f t="shared" si="193"/>
        <v/>
      </c>
      <c r="AH106" s="8" t="str">
        <f t="shared" si="193"/>
        <v/>
      </c>
      <c r="AI106" s="8" t="str">
        <f t="shared" si="193"/>
        <v/>
      </c>
      <c r="AJ106" s="8" t="str">
        <f t="shared" si="193"/>
        <v/>
      </c>
      <c r="AK106" s="8" t="str">
        <f t="shared" si="193"/>
        <v/>
      </c>
      <c r="AL106" s="8" t="str">
        <f t="shared" si="193"/>
        <v/>
      </c>
      <c r="AM106" s="8" t="str">
        <f t="shared" si="193"/>
        <v>Lorenzo Balzarini, Sam Baranowski</v>
      </c>
      <c r="AN106" s="8" t="str">
        <f t="shared" si="193"/>
        <v>Justin Baranowski (2)</v>
      </c>
      <c r="AO106" s="8" t="str">
        <f t="shared" si="193"/>
        <v/>
      </c>
      <c r="AP106" s="8" t="str">
        <f t="shared" si="193"/>
        <v/>
      </c>
      <c r="AQ106" s="8" t="str">
        <f t="shared" si="193"/>
        <v>Lorenzo Balzarini, Sam Baranowski, Mike Barratt (1)</v>
      </c>
      <c r="AR106" s="8" t="str">
        <f t="shared" si="193"/>
        <v>Justin Baranowski (1)</v>
      </c>
      <c r="AS106" s="8" t="str">
        <f t="shared" si="193"/>
        <v/>
      </c>
      <c r="AT106" s="8" t="str">
        <f t="shared" si="193"/>
        <v/>
      </c>
      <c r="AU106" s="8" t="str">
        <f t="shared" si="193"/>
        <v>Lorenzo Balzarini, Mike Barratt (1)</v>
      </c>
      <c r="AV106" s="8" t="str">
        <f t="shared" si="193"/>
        <v>Justin Baranowski</v>
      </c>
      <c r="AW106" s="8" t="str">
        <f t="shared" si="193"/>
        <v/>
      </c>
      <c r="AX106" s="8" t="str">
        <f t="shared" si="193"/>
        <v/>
      </c>
      <c r="AY106" s="8" t="str">
        <f t="shared" si="193"/>
        <v>Jordan Anning, Lorenzo Balzarini (2)</v>
      </c>
      <c r="AZ106" s="8" t="str">
        <f t="shared" si="193"/>
        <v/>
      </c>
      <c r="BA106" s="8" t="str">
        <f t="shared" si="193"/>
        <v/>
      </c>
      <c r="BB106" s="8" t="str">
        <f t="shared" si="193"/>
        <v/>
      </c>
      <c r="BC106" s="8" t="str">
        <f t="shared" si="193"/>
        <v/>
      </c>
      <c r="BD106" s="8" t="str">
        <f t="shared" si="193"/>
        <v/>
      </c>
      <c r="BE106" s="8" t="str">
        <f t="shared" si="193"/>
        <v/>
      </c>
      <c r="BF106" s="8" t="str">
        <f t="shared" si="193"/>
        <v/>
      </c>
      <c r="BG106" s="8" t="str">
        <f t="shared" si="193"/>
        <v>Lorenzo Balzarini (1), Mike Barratt (3)</v>
      </c>
      <c r="BH106" s="8" t="str">
        <f t="shared" si="193"/>
        <v>Justin Baranowski (2)</v>
      </c>
      <c r="BI106" s="8" t="str">
        <f t="shared" si="193"/>
        <v/>
      </c>
      <c r="BJ106" s="8" t="str">
        <f t="shared" si="193"/>
        <v/>
      </c>
      <c r="BK106" s="8" t="str">
        <f t="shared" si="193"/>
        <v>Lorenzo Balzarini (1)</v>
      </c>
      <c r="BL106" s="8" t="str">
        <f t="shared" si="193"/>
        <v>Justin Baranowski</v>
      </c>
      <c r="BM106" s="8" t="str">
        <f t="shared" ref="BM106:CF106" si="194">IF(BM65="",BM105,IF(BM105="",BM65,BM105&amp;", "&amp;BM65))</f>
        <v/>
      </c>
      <c r="BN106" s="8" t="str">
        <f t="shared" si="194"/>
        <v/>
      </c>
      <c r="BO106" s="8" t="str">
        <f t="shared" si="194"/>
        <v/>
      </c>
      <c r="BP106" s="8" t="str">
        <f t="shared" si="194"/>
        <v/>
      </c>
      <c r="BQ106" s="8" t="str">
        <f t="shared" si="194"/>
        <v/>
      </c>
      <c r="BR106" s="8" t="str">
        <f t="shared" si="194"/>
        <v/>
      </c>
      <c r="BS106" s="8" t="str">
        <f t="shared" si="194"/>
        <v>Lorenzo Balzarini, Sam Baranowski</v>
      </c>
      <c r="BT106" s="8" t="str">
        <f t="shared" si="194"/>
        <v>Justin Baranowski</v>
      </c>
      <c r="BU106" s="8" t="str">
        <f t="shared" si="194"/>
        <v/>
      </c>
      <c r="BV106" s="8" t="str">
        <f t="shared" si="194"/>
        <v/>
      </c>
      <c r="BW106" s="8" t="str">
        <f t="shared" si="194"/>
        <v/>
      </c>
      <c r="BX106" s="8" t="str">
        <f t="shared" si="194"/>
        <v/>
      </c>
      <c r="BY106" s="8" t="str">
        <f t="shared" si="194"/>
        <v/>
      </c>
      <c r="BZ106" s="8" t="str">
        <f t="shared" si="194"/>
        <v/>
      </c>
      <c r="CA106" s="8" t="str">
        <f t="shared" si="194"/>
        <v/>
      </c>
      <c r="CB106" s="8" t="str">
        <f t="shared" si="194"/>
        <v/>
      </c>
      <c r="CC106" s="8" t="str">
        <f t="shared" si="194"/>
        <v/>
      </c>
      <c r="CD106" s="8" t="str">
        <f t="shared" si="194"/>
        <v/>
      </c>
      <c r="CE106" s="8" t="str">
        <f t="shared" si="194"/>
        <v>Sam Baranowski, Mike Barratt</v>
      </c>
      <c r="CF106" s="8" t="str">
        <f t="shared" si="194"/>
        <v>Justin Baranowski (2)</v>
      </c>
      <c r="CG106" s="8" t="str">
        <f t="shared" ref="CG106:CJ106" si="195">IF(CG65="",CG105,IF(CG105="",CG65,CG105&amp;", "&amp;CG65))</f>
        <v/>
      </c>
      <c r="CH106" s="8" t="str">
        <f t="shared" si="195"/>
        <v/>
      </c>
      <c r="CI106" s="8" t="str">
        <f t="shared" si="195"/>
        <v>Lorenzo Balzarini, Sam Baranowski, Mike Barratt (1)</v>
      </c>
      <c r="CJ106" s="8" t="str">
        <f t="shared" si="195"/>
        <v/>
      </c>
    </row>
    <row r="107" spans="5:88">
      <c r="G107" s="8">
        <f t="shared" si="188"/>
        <v>6</v>
      </c>
      <c r="I107" s="8" t="str">
        <f t="shared" ref="I107:BL107" si="196">IF(I66="",I106,IF(I106="",I66,I106&amp;", "&amp;I66))</f>
        <v/>
      </c>
      <c r="J107" s="8" t="str">
        <f t="shared" si="196"/>
        <v/>
      </c>
      <c r="K107" s="8" t="str">
        <f t="shared" si="196"/>
        <v>Sam Baranowski, Dave Berman (2)</v>
      </c>
      <c r="L107" s="8" t="str">
        <f t="shared" si="196"/>
        <v>Justin Baranowski (2)</v>
      </c>
      <c r="M107" s="8" t="str">
        <f t="shared" si="196"/>
        <v/>
      </c>
      <c r="N107" s="8" t="str">
        <f t="shared" si="196"/>
        <v/>
      </c>
      <c r="O107" s="8" t="str">
        <f t="shared" si="196"/>
        <v>Sam Baranowski, Mike Barratt (2), Dave Berman (1)</v>
      </c>
      <c r="P107" s="8" t="str">
        <f t="shared" si="196"/>
        <v>Justin Baranowski (2)</v>
      </c>
      <c r="Q107" s="30" t="str">
        <f t="shared" si="196"/>
        <v/>
      </c>
      <c r="R107" s="8" t="str">
        <f t="shared" si="196"/>
        <v/>
      </c>
      <c r="S107" s="8" t="str">
        <f t="shared" si="196"/>
        <v>Sam Baranowski</v>
      </c>
      <c r="T107" s="8" t="str">
        <f t="shared" si="196"/>
        <v>Justin Baranowski</v>
      </c>
      <c r="U107" s="8" t="str">
        <f t="shared" si="196"/>
        <v/>
      </c>
      <c r="V107" s="8" t="str">
        <f t="shared" si="196"/>
        <v/>
      </c>
      <c r="W107" s="8" t="str">
        <f t="shared" si="196"/>
        <v>Sam Baranowski</v>
      </c>
      <c r="X107" s="8" t="str">
        <f t="shared" si="196"/>
        <v>Justin Baranowski (1)</v>
      </c>
      <c r="Y107" s="8" t="str">
        <f t="shared" si="196"/>
        <v/>
      </c>
      <c r="Z107" s="8" t="str">
        <f t="shared" si="196"/>
        <v/>
      </c>
      <c r="AA107" s="8" t="str">
        <f t="shared" si="196"/>
        <v>Lorenzo Balzarini (2)</v>
      </c>
      <c r="AB107" s="8" t="str">
        <f t="shared" si="196"/>
        <v>Justin Baranowski (1)</v>
      </c>
      <c r="AC107" s="8" t="str">
        <f t="shared" si="196"/>
        <v/>
      </c>
      <c r="AD107" s="8" t="str">
        <f t="shared" si="196"/>
        <v/>
      </c>
      <c r="AE107" s="8" t="str">
        <f t="shared" si="196"/>
        <v>Lorenzo Balzarini (1), Sam Baranowski</v>
      </c>
      <c r="AF107" s="8" t="str">
        <f t="shared" si="196"/>
        <v>Justin Baranowski (1)</v>
      </c>
      <c r="AG107" s="8" t="str">
        <f t="shared" si="196"/>
        <v/>
      </c>
      <c r="AH107" s="8" t="str">
        <f t="shared" si="196"/>
        <v/>
      </c>
      <c r="AI107" s="8" t="str">
        <f t="shared" si="196"/>
        <v/>
      </c>
      <c r="AJ107" s="8" t="str">
        <f t="shared" si="196"/>
        <v/>
      </c>
      <c r="AK107" s="8" t="str">
        <f t="shared" si="196"/>
        <v/>
      </c>
      <c r="AL107" s="8" t="str">
        <f t="shared" si="196"/>
        <v/>
      </c>
      <c r="AM107" s="8" t="str">
        <f t="shared" si="196"/>
        <v>Lorenzo Balzarini, Sam Baranowski</v>
      </c>
      <c r="AN107" s="8" t="str">
        <f t="shared" si="196"/>
        <v>Justin Baranowski (2)</v>
      </c>
      <c r="AO107" s="8" t="str">
        <f t="shared" si="196"/>
        <v/>
      </c>
      <c r="AP107" s="8" t="str">
        <f t="shared" si="196"/>
        <v/>
      </c>
      <c r="AQ107" s="8" t="str">
        <f t="shared" si="196"/>
        <v>Lorenzo Balzarini, Sam Baranowski, Mike Barratt (1)</v>
      </c>
      <c r="AR107" s="8" t="str">
        <f t="shared" si="196"/>
        <v>Justin Baranowski (1)</v>
      </c>
      <c r="AS107" s="8" t="str">
        <f t="shared" si="196"/>
        <v/>
      </c>
      <c r="AT107" s="8" t="str">
        <f t="shared" si="196"/>
        <v/>
      </c>
      <c r="AU107" s="8" t="str">
        <f t="shared" si="196"/>
        <v>Lorenzo Balzarini, Mike Barratt (1)</v>
      </c>
      <c r="AV107" s="8" t="str">
        <f t="shared" si="196"/>
        <v>Justin Baranowski</v>
      </c>
      <c r="AW107" s="8" t="str">
        <f t="shared" si="196"/>
        <v/>
      </c>
      <c r="AX107" s="8" t="str">
        <f t="shared" si="196"/>
        <v/>
      </c>
      <c r="AY107" s="8" t="str">
        <f t="shared" si="196"/>
        <v>Jordan Anning, Lorenzo Balzarini (2)</v>
      </c>
      <c r="AZ107" s="8" t="str">
        <f t="shared" si="196"/>
        <v/>
      </c>
      <c r="BA107" s="8" t="str">
        <f t="shared" si="196"/>
        <v/>
      </c>
      <c r="BB107" s="8" t="str">
        <f t="shared" si="196"/>
        <v/>
      </c>
      <c r="BC107" s="8" t="str">
        <f t="shared" si="196"/>
        <v/>
      </c>
      <c r="BD107" s="8" t="str">
        <f t="shared" si="196"/>
        <v/>
      </c>
      <c r="BE107" s="8" t="str">
        <f t="shared" si="196"/>
        <v/>
      </c>
      <c r="BF107" s="8" t="str">
        <f t="shared" si="196"/>
        <v/>
      </c>
      <c r="BG107" s="8" t="str">
        <f t="shared" si="196"/>
        <v>Lorenzo Balzarini (1), Mike Barratt (3)</v>
      </c>
      <c r="BH107" s="8" t="str">
        <f t="shared" si="196"/>
        <v>Justin Baranowski (2)</v>
      </c>
      <c r="BI107" s="8" t="str">
        <f t="shared" si="196"/>
        <v/>
      </c>
      <c r="BJ107" s="8" t="str">
        <f t="shared" si="196"/>
        <v/>
      </c>
      <c r="BK107" s="8" t="str">
        <f t="shared" si="196"/>
        <v>Lorenzo Balzarini (1)</v>
      </c>
      <c r="BL107" s="8" t="str">
        <f t="shared" si="196"/>
        <v>Justin Baranowski</v>
      </c>
      <c r="BM107" s="8" t="str">
        <f t="shared" ref="BM107:CF107" si="197">IF(BM66="",BM106,IF(BM106="",BM66,BM106&amp;", "&amp;BM66))</f>
        <v/>
      </c>
      <c r="BN107" s="8" t="str">
        <f t="shared" si="197"/>
        <v/>
      </c>
      <c r="BO107" s="8" t="str">
        <f t="shared" si="197"/>
        <v/>
      </c>
      <c r="BP107" s="8" t="str">
        <f t="shared" si="197"/>
        <v/>
      </c>
      <c r="BQ107" s="8" t="str">
        <f t="shared" si="197"/>
        <v/>
      </c>
      <c r="BR107" s="8" t="str">
        <f t="shared" si="197"/>
        <v/>
      </c>
      <c r="BS107" s="8" t="str">
        <f t="shared" si="197"/>
        <v>Lorenzo Balzarini, Sam Baranowski</v>
      </c>
      <c r="BT107" s="8" t="str">
        <f t="shared" si="197"/>
        <v>Justin Baranowski</v>
      </c>
      <c r="BU107" s="8" t="str">
        <f t="shared" si="197"/>
        <v/>
      </c>
      <c r="BV107" s="8" t="str">
        <f t="shared" si="197"/>
        <v/>
      </c>
      <c r="BW107" s="8" t="str">
        <f t="shared" si="197"/>
        <v/>
      </c>
      <c r="BX107" s="8" t="str">
        <f t="shared" si="197"/>
        <v/>
      </c>
      <c r="BY107" s="8" t="str">
        <f t="shared" si="197"/>
        <v/>
      </c>
      <c r="BZ107" s="8" t="str">
        <f t="shared" si="197"/>
        <v/>
      </c>
      <c r="CA107" s="8" t="str">
        <f t="shared" si="197"/>
        <v/>
      </c>
      <c r="CB107" s="8" t="str">
        <f t="shared" si="197"/>
        <v/>
      </c>
      <c r="CC107" s="8" t="str">
        <f t="shared" si="197"/>
        <v/>
      </c>
      <c r="CD107" s="8" t="str">
        <f t="shared" si="197"/>
        <v/>
      </c>
      <c r="CE107" s="8" t="str">
        <f t="shared" si="197"/>
        <v>Sam Baranowski, Mike Barratt</v>
      </c>
      <c r="CF107" s="8" t="str">
        <f t="shared" si="197"/>
        <v>Justin Baranowski (2)</v>
      </c>
      <c r="CG107" s="8" t="str">
        <f t="shared" ref="CG107:CJ107" si="198">IF(CG66="",CG106,IF(CG106="",CG66,CG106&amp;", "&amp;CG66))</f>
        <v/>
      </c>
      <c r="CH107" s="8" t="str">
        <f t="shared" si="198"/>
        <v/>
      </c>
      <c r="CI107" s="8" t="str">
        <f t="shared" si="198"/>
        <v>Lorenzo Balzarini, Sam Baranowski, Mike Barratt (1)</v>
      </c>
      <c r="CJ107" s="8" t="str">
        <f t="shared" si="198"/>
        <v>Dave Berman (1)</v>
      </c>
    </row>
    <row r="108" spans="5:88">
      <c r="G108" s="8">
        <f t="shared" si="188"/>
        <v>7</v>
      </c>
      <c r="I108" s="8" t="str">
        <f t="shared" ref="I108:BL108" si="199">IF(I67="",I107,IF(I107="",I67,I107&amp;", "&amp;I67))</f>
        <v/>
      </c>
      <c r="J108" s="8" t="str">
        <f t="shared" si="199"/>
        <v/>
      </c>
      <c r="K108" s="8" t="str">
        <f t="shared" si="199"/>
        <v>Sam Baranowski, Dave Berman (2)</v>
      </c>
      <c r="L108" s="8" t="str">
        <f t="shared" si="199"/>
        <v>Justin Baranowski (2)</v>
      </c>
      <c r="M108" s="8" t="str">
        <f t="shared" si="199"/>
        <v/>
      </c>
      <c r="N108" s="8" t="str">
        <f t="shared" si="199"/>
        <v/>
      </c>
      <c r="O108" s="8" t="str">
        <f t="shared" si="199"/>
        <v>Sam Baranowski, Mike Barratt (2), Dave Berman (1)</v>
      </c>
      <c r="P108" s="8" t="str">
        <f t="shared" si="199"/>
        <v>Justin Baranowski (2)</v>
      </c>
      <c r="Q108" s="30" t="str">
        <f t="shared" si="199"/>
        <v/>
      </c>
      <c r="R108" s="8" t="str">
        <f t="shared" si="199"/>
        <v/>
      </c>
      <c r="S108" s="8" t="str">
        <f t="shared" si="199"/>
        <v>Sam Baranowski</v>
      </c>
      <c r="T108" s="8" t="str">
        <f t="shared" si="199"/>
        <v>Justin Baranowski</v>
      </c>
      <c r="U108" s="8" t="str">
        <f t="shared" si="199"/>
        <v/>
      </c>
      <c r="V108" s="8" t="str">
        <f t="shared" si="199"/>
        <v/>
      </c>
      <c r="W108" s="8" t="str">
        <f t="shared" si="199"/>
        <v>Sam Baranowski</v>
      </c>
      <c r="X108" s="8" t="str">
        <f t="shared" si="199"/>
        <v>Justin Baranowski (1)</v>
      </c>
      <c r="Y108" s="8" t="str">
        <f t="shared" si="199"/>
        <v/>
      </c>
      <c r="Z108" s="8" t="str">
        <f t="shared" si="199"/>
        <v/>
      </c>
      <c r="AA108" s="8" t="str">
        <f t="shared" si="199"/>
        <v>Lorenzo Balzarini (2)</v>
      </c>
      <c r="AB108" s="8" t="str">
        <f t="shared" si="199"/>
        <v>Justin Baranowski (1)</v>
      </c>
      <c r="AC108" s="8" t="str">
        <f t="shared" si="199"/>
        <v/>
      </c>
      <c r="AD108" s="8" t="str">
        <f t="shared" si="199"/>
        <v/>
      </c>
      <c r="AE108" s="8" t="str">
        <f t="shared" si="199"/>
        <v>Lorenzo Balzarini (1), Sam Baranowski</v>
      </c>
      <c r="AF108" s="8" t="str">
        <f t="shared" si="199"/>
        <v>Justin Baranowski (1)</v>
      </c>
      <c r="AG108" s="8" t="str">
        <f t="shared" si="199"/>
        <v/>
      </c>
      <c r="AH108" s="8" t="str">
        <f t="shared" si="199"/>
        <v/>
      </c>
      <c r="AI108" s="8" t="str">
        <f t="shared" si="199"/>
        <v/>
      </c>
      <c r="AJ108" s="8" t="str">
        <f t="shared" si="199"/>
        <v/>
      </c>
      <c r="AK108" s="8" t="str">
        <f t="shared" si="199"/>
        <v/>
      </c>
      <c r="AL108" s="8" t="str">
        <f t="shared" si="199"/>
        <v/>
      </c>
      <c r="AM108" s="8" t="str">
        <f t="shared" si="199"/>
        <v>Lorenzo Balzarini, Sam Baranowski</v>
      </c>
      <c r="AN108" s="8" t="str">
        <f t="shared" si="199"/>
        <v>Justin Baranowski (2)</v>
      </c>
      <c r="AO108" s="8" t="str">
        <f t="shared" si="199"/>
        <v/>
      </c>
      <c r="AP108" s="8" t="str">
        <f t="shared" si="199"/>
        <v/>
      </c>
      <c r="AQ108" s="8" t="str">
        <f t="shared" si="199"/>
        <v>Lorenzo Balzarini, Sam Baranowski, Mike Barratt (1)</v>
      </c>
      <c r="AR108" s="8" t="str">
        <f t="shared" si="199"/>
        <v>Justin Baranowski (1)</v>
      </c>
      <c r="AS108" s="8" t="str">
        <f t="shared" si="199"/>
        <v/>
      </c>
      <c r="AT108" s="8" t="str">
        <f t="shared" si="199"/>
        <v/>
      </c>
      <c r="AU108" s="8" t="str">
        <f t="shared" si="199"/>
        <v>Lorenzo Balzarini, Mike Barratt (1), Lewis Blackshaw</v>
      </c>
      <c r="AV108" s="8" t="str">
        <f t="shared" si="199"/>
        <v>Justin Baranowski</v>
      </c>
      <c r="AW108" s="8" t="str">
        <f t="shared" si="199"/>
        <v/>
      </c>
      <c r="AX108" s="8" t="str">
        <f t="shared" si="199"/>
        <v/>
      </c>
      <c r="AY108" s="8" t="str">
        <f t="shared" si="199"/>
        <v>Jordan Anning, Lorenzo Balzarini (2)</v>
      </c>
      <c r="AZ108" s="8" t="str">
        <f t="shared" si="199"/>
        <v/>
      </c>
      <c r="BA108" s="8" t="str">
        <f t="shared" si="199"/>
        <v/>
      </c>
      <c r="BB108" s="8" t="str">
        <f t="shared" si="199"/>
        <v/>
      </c>
      <c r="BC108" s="8" t="str">
        <f t="shared" si="199"/>
        <v/>
      </c>
      <c r="BD108" s="8" t="str">
        <f t="shared" si="199"/>
        <v/>
      </c>
      <c r="BE108" s="8" t="str">
        <f t="shared" si="199"/>
        <v/>
      </c>
      <c r="BF108" s="8" t="str">
        <f t="shared" si="199"/>
        <v/>
      </c>
      <c r="BG108" s="8" t="str">
        <f t="shared" si="199"/>
        <v>Lorenzo Balzarini (1), Mike Barratt (3)</v>
      </c>
      <c r="BH108" s="8" t="str">
        <f t="shared" si="199"/>
        <v>Justin Baranowski (2)</v>
      </c>
      <c r="BI108" s="8" t="str">
        <f t="shared" si="199"/>
        <v/>
      </c>
      <c r="BJ108" s="8" t="str">
        <f t="shared" si="199"/>
        <v/>
      </c>
      <c r="BK108" s="8" t="str">
        <f t="shared" si="199"/>
        <v>Lorenzo Balzarini (1)</v>
      </c>
      <c r="BL108" s="8" t="str">
        <f t="shared" si="199"/>
        <v>Justin Baranowski</v>
      </c>
      <c r="BM108" s="8" t="str">
        <f t="shared" ref="BM108:CF108" si="200">IF(BM67="",BM107,IF(BM107="",BM67,BM107&amp;", "&amp;BM67))</f>
        <v/>
      </c>
      <c r="BN108" s="8" t="str">
        <f t="shared" si="200"/>
        <v/>
      </c>
      <c r="BO108" s="8" t="str">
        <f t="shared" si="200"/>
        <v/>
      </c>
      <c r="BP108" s="8" t="str">
        <f t="shared" si="200"/>
        <v/>
      </c>
      <c r="BQ108" s="8" t="str">
        <f t="shared" si="200"/>
        <v/>
      </c>
      <c r="BR108" s="8" t="str">
        <f t="shared" si="200"/>
        <v/>
      </c>
      <c r="BS108" s="8" t="str">
        <f t="shared" si="200"/>
        <v>Lorenzo Balzarini, Sam Baranowski</v>
      </c>
      <c r="BT108" s="8" t="str">
        <f t="shared" si="200"/>
        <v>Justin Baranowski</v>
      </c>
      <c r="BU108" s="8" t="str">
        <f t="shared" si="200"/>
        <v/>
      </c>
      <c r="BV108" s="8" t="str">
        <f t="shared" si="200"/>
        <v/>
      </c>
      <c r="BW108" s="8" t="str">
        <f t="shared" si="200"/>
        <v/>
      </c>
      <c r="BX108" s="8" t="str">
        <f t="shared" si="200"/>
        <v/>
      </c>
      <c r="BY108" s="8" t="str">
        <f t="shared" si="200"/>
        <v/>
      </c>
      <c r="BZ108" s="8" t="str">
        <f t="shared" si="200"/>
        <v/>
      </c>
      <c r="CA108" s="8" t="str">
        <f t="shared" si="200"/>
        <v/>
      </c>
      <c r="CB108" s="8" t="str">
        <f t="shared" si="200"/>
        <v/>
      </c>
      <c r="CC108" s="8" t="str">
        <f t="shared" si="200"/>
        <v/>
      </c>
      <c r="CD108" s="8" t="str">
        <f t="shared" si="200"/>
        <v/>
      </c>
      <c r="CE108" s="8" t="str">
        <f t="shared" si="200"/>
        <v>Sam Baranowski, Mike Barratt</v>
      </c>
      <c r="CF108" s="8" t="str">
        <f t="shared" si="200"/>
        <v>Justin Baranowski (2)</v>
      </c>
      <c r="CG108" s="8" t="str">
        <f t="shared" ref="CG108:CJ108" si="201">IF(CG67="",CG107,IF(CG107="",CG67,CG107&amp;", "&amp;CG67))</f>
        <v/>
      </c>
      <c r="CH108" s="8" t="str">
        <f t="shared" si="201"/>
        <v/>
      </c>
      <c r="CI108" s="8" t="str">
        <f t="shared" si="201"/>
        <v>Lorenzo Balzarini, Sam Baranowski, Mike Barratt (1)</v>
      </c>
      <c r="CJ108" s="8" t="str">
        <f t="shared" si="201"/>
        <v>Dave Berman (1)</v>
      </c>
    </row>
    <row r="109" spans="5:88">
      <c r="G109" s="8">
        <f t="shared" si="188"/>
        <v>8</v>
      </c>
      <c r="I109" s="8" t="str">
        <f t="shared" ref="I109:BL109" si="202">IF(I68="",I108,IF(I108="",I68,I108&amp;", "&amp;I68))</f>
        <v/>
      </c>
      <c r="J109" s="8" t="str">
        <f t="shared" si="202"/>
        <v>Andy Booth</v>
      </c>
      <c r="K109" s="8" t="str">
        <f t="shared" si="202"/>
        <v>Sam Baranowski, Dave Berman (2)</v>
      </c>
      <c r="L109" s="8" t="str">
        <f t="shared" si="202"/>
        <v>Justin Baranowski (2)</v>
      </c>
      <c r="M109" s="8" t="str">
        <f t="shared" si="202"/>
        <v/>
      </c>
      <c r="N109" s="8" t="str">
        <f t="shared" si="202"/>
        <v>Andy Booth</v>
      </c>
      <c r="O109" s="8" t="str">
        <f t="shared" si="202"/>
        <v>Sam Baranowski, Mike Barratt (2), Dave Berman (1)</v>
      </c>
      <c r="P109" s="8" t="str">
        <f t="shared" si="202"/>
        <v>Justin Baranowski (2)</v>
      </c>
      <c r="Q109" s="30" t="str">
        <f t="shared" si="202"/>
        <v/>
      </c>
      <c r="R109" s="8" t="str">
        <f t="shared" si="202"/>
        <v>Andy Booth</v>
      </c>
      <c r="S109" s="8" t="str">
        <f t="shared" si="202"/>
        <v>Sam Baranowski</v>
      </c>
      <c r="T109" s="8" t="str">
        <f t="shared" si="202"/>
        <v>Justin Baranowski</v>
      </c>
      <c r="U109" s="8" t="str">
        <f t="shared" si="202"/>
        <v/>
      </c>
      <c r="V109" s="8" t="str">
        <f t="shared" si="202"/>
        <v>Andy Booth</v>
      </c>
      <c r="W109" s="8" t="str">
        <f t="shared" si="202"/>
        <v>Sam Baranowski</v>
      </c>
      <c r="X109" s="8" t="str">
        <f t="shared" si="202"/>
        <v>Justin Baranowski (1)</v>
      </c>
      <c r="Y109" s="8" t="str">
        <f t="shared" si="202"/>
        <v/>
      </c>
      <c r="Z109" s="8" t="str">
        <f t="shared" si="202"/>
        <v>Andy Booth</v>
      </c>
      <c r="AA109" s="8" t="str">
        <f t="shared" si="202"/>
        <v>Lorenzo Balzarini (2)</v>
      </c>
      <c r="AB109" s="8" t="str">
        <f t="shared" si="202"/>
        <v>Justin Baranowski (1)</v>
      </c>
      <c r="AC109" s="8" t="str">
        <f t="shared" si="202"/>
        <v/>
      </c>
      <c r="AD109" s="8" t="str">
        <f t="shared" si="202"/>
        <v/>
      </c>
      <c r="AE109" s="8" t="str">
        <f t="shared" si="202"/>
        <v>Lorenzo Balzarini (1), Sam Baranowski</v>
      </c>
      <c r="AF109" s="8" t="str">
        <f t="shared" si="202"/>
        <v>Justin Baranowski (1)</v>
      </c>
      <c r="AG109" s="8" t="str">
        <f t="shared" si="202"/>
        <v/>
      </c>
      <c r="AH109" s="8" t="str">
        <f t="shared" si="202"/>
        <v/>
      </c>
      <c r="AI109" s="8" t="str">
        <f t="shared" si="202"/>
        <v/>
      </c>
      <c r="AJ109" s="8" t="str">
        <f t="shared" si="202"/>
        <v/>
      </c>
      <c r="AK109" s="8" t="str">
        <f t="shared" si="202"/>
        <v/>
      </c>
      <c r="AL109" s="8" t="str">
        <f t="shared" si="202"/>
        <v/>
      </c>
      <c r="AM109" s="8" t="str">
        <f t="shared" si="202"/>
        <v>Lorenzo Balzarini, Sam Baranowski, Andy Booth</v>
      </c>
      <c r="AN109" s="8" t="str">
        <f t="shared" si="202"/>
        <v>Justin Baranowski (2)</v>
      </c>
      <c r="AO109" s="8" t="str">
        <f t="shared" si="202"/>
        <v/>
      </c>
      <c r="AP109" s="8" t="str">
        <f t="shared" si="202"/>
        <v>Andy Booth</v>
      </c>
      <c r="AQ109" s="8" t="str">
        <f t="shared" si="202"/>
        <v>Lorenzo Balzarini, Sam Baranowski, Mike Barratt (1)</v>
      </c>
      <c r="AR109" s="8" t="str">
        <f t="shared" si="202"/>
        <v>Justin Baranowski (1)</v>
      </c>
      <c r="AS109" s="8" t="str">
        <f t="shared" si="202"/>
        <v/>
      </c>
      <c r="AT109" s="8" t="str">
        <f t="shared" si="202"/>
        <v>Andy Booth</v>
      </c>
      <c r="AU109" s="8" t="str">
        <f t="shared" si="202"/>
        <v>Lorenzo Balzarini, Mike Barratt (1), Lewis Blackshaw</v>
      </c>
      <c r="AV109" s="8" t="str">
        <f t="shared" si="202"/>
        <v>Justin Baranowski</v>
      </c>
      <c r="AW109" s="8" t="str">
        <f t="shared" si="202"/>
        <v/>
      </c>
      <c r="AX109" s="8" t="str">
        <f t="shared" si="202"/>
        <v/>
      </c>
      <c r="AY109" s="8" t="str">
        <f t="shared" si="202"/>
        <v>Jordan Anning, Lorenzo Balzarini (2)</v>
      </c>
      <c r="AZ109" s="8" t="str">
        <f t="shared" si="202"/>
        <v/>
      </c>
      <c r="BA109" s="8" t="str">
        <f t="shared" si="202"/>
        <v/>
      </c>
      <c r="BB109" s="8" t="str">
        <f t="shared" si="202"/>
        <v>Andy Booth</v>
      </c>
      <c r="BC109" s="8" t="str">
        <f t="shared" si="202"/>
        <v/>
      </c>
      <c r="BD109" s="8" t="str">
        <f t="shared" si="202"/>
        <v/>
      </c>
      <c r="BE109" s="8" t="str">
        <f t="shared" si="202"/>
        <v/>
      </c>
      <c r="BF109" s="8" t="str">
        <f t="shared" si="202"/>
        <v>Andy Booth</v>
      </c>
      <c r="BG109" s="8" t="str">
        <f t="shared" si="202"/>
        <v>Lorenzo Balzarini (1), Mike Barratt (3)</v>
      </c>
      <c r="BH109" s="8" t="str">
        <f t="shared" si="202"/>
        <v>Justin Baranowski (2)</v>
      </c>
      <c r="BI109" s="8" t="str">
        <f t="shared" si="202"/>
        <v/>
      </c>
      <c r="BJ109" s="8" t="str">
        <f t="shared" si="202"/>
        <v>Andy Booth</v>
      </c>
      <c r="BK109" s="8" t="str">
        <f t="shared" si="202"/>
        <v>Lorenzo Balzarini (1)</v>
      </c>
      <c r="BL109" s="8" t="str">
        <f t="shared" si="202"/>
        <v>Justin Baranowski</v>
      </c>
      <c r="BM109" s="8" t="str">
        <f t="shared" ref="BM109:CF109" si="203">IF(BM68="",BM108,IF(BM108="",BM68,BM108&amp;", "&amp;BM68))</f>
        <v/>
      </c>
      <c r="BN109" s="8" t="str">
        <f t="shared" si="203"/>
        <v/>
      </c>
      <c r="BO109" s="8" t="str">
        <f t="shared" si="203"/>
        <v/>
      </c>
      <c r="BP109" s="8" t="str">
        <f t="shared" si="203"/>
        <v/>
      </c>
      <c r="BQ109" s="8" t="str">
        <f t="shared" si="203"/>
        <v/>
      </c>
      <c r="BR109" s="8" t="str">
        <f t="shared" si="203"/>
        <v>Andy Booth</v>
      </c>
      <c r="BS109" s="8" t="str">
        <f t="shared" si="203"/>
        <v>Lorenzo Balzarini, Sam Baranowski</v>
      </c>
      <c r="BT109" s="8" t="str">
        <f t="shared" si="203"/>
        <v>Justin Baranowski</v>
      </c>
      <c r="BU109" s="8" t="str">
        <f t="shared" si="203"/>
        <v/>
      </c>
      <c r="BV109" s="8" t="str">
        <f t="shared" si="203"/>
        <v/>
      </c>
      <c r="BW109" s="8" t="str">
        <f t="shared" si="203"/>
        <v/>
      </c>
      <c r="BX109" s="8" t="str">
        <f t="shared" si="203"/>
        <v/>
      </c>
      <c r="BY109" s="8" t="str">
        <f t="shared" si="203"/>
        <v/>
      </c>
      <c r="BZ109" s="8" t="str">
        <f t="shared" si="203"/>
        <v/>
      </c>
      <c r="CA109" s="8" t="str">
        <f t="shared" si="203"/>
        <v/>
      </c>
      <c r="CB109" s="8" t="str">
        <f t="shared" si="203"/>
        <v/>
      </c>
      <c r="CC109" s="8" t="str">
        <f t="shared" si="203"/>
        <v/>
      </c>
      <c r="CD109" s="8" t="str">
        <f t="shared" si="203"/>
        <v/>
      </c>
      <c r="CE109" s="8" t="str">
        <f t="shared" si="203"/>
        <v>Sam Baranowski, Mike Barratt</v>
      </c>
      <c r="CF109" s="8" t="str">
        <f t="shared" si="203"/>
        <v>Justin Baranowski (2)</v>
      </c>
      <c r="CG109" s="8" t="str">
        <f t="shared" ref="CG109:CJ109" si="204">IF(CG68="",CG108,IF(CG108="",CG68,CG108&amp;", "&amp;CG68))</f>
        <v/>
      </c>
      <c r="CH109" s="8" t="str">
        <f t="shared" si="204"/>
        <v/>
      </c>
      <c r="CI109" s="8" t="str">
        <f t="shared" si="204"/>
        <v>Lorenzo Balzarini, Sam Baranowski, Mike Barratt (1)</v>
      </c>
      <c r="CJ109" s="8" t="str">
        <f t="shared" si="204"/>
        <v>Dave Berman (1)</v>
      </c>
    </row>
    <row r="110" spans="5:88">
      <c r="G110" s="8">
        <f t="shared" si="188"/>
        <v>9</v>
      </c>
      <c r="I110" s="8" t="str">
        <f t="shared" ref="I110:BL110" si="205">IF(I69="",I109,IF(I109="",I69,I109&amp;", "&amp;I69))</f>
        <v/>
      </c>
      <c r="J110" s="8" t="str">
        <f t="shared" si="205"/>
        <v>Andy Booth</v>
      </c>
      <c r="K110" s="8" t="str">
        <f t="shared" si="205"/>
        <v>Sam Baranowski, Dave Berman (2)</v>
      </c>
      <c r="L110" s="8" t="str">
        <f t="shared" si="205"/>
        <v>Justin Baranowski (2)</v>
      </c>
      <c r="M110" s="8" t="str">
        <f t="shared" si="205"/>
        <v/>
      </c>
      <c r="N110" s="8" t="str">
        <f t="shared" si="205"/>
        <v>Andy Booth</v>
      </c>
      <c r="O110" s="8" t="str">
        <f t="shared" si="205"/>
        <v>Sam Baranowski, Mike Barratt (2), Dave Berman (1)</v>
      </c>
      <c r="P110" s="8" t="str">
        <f t="shared" si="205"/>
        <v>Justin Baranowski (2)</v>
      </c>
      <c r="Q110" s="30" t="str">
        <f t="shared" si="205"/>
        <v/>
      </c>
      <c r="R110" s="8" t="str">
        <f t="shared" si="205"/>
        <v>Andy Booth</v>
      </c>
      <c r="S110" s="8" t="str">
        <f t="shared" si="205"/>
        <v>Sam Baranowski</v>
      </c>
      <c r="T110" s="8" t="str">
        <f t="shared" si="205"/>
        <v>Justin Baranowski</v>
      </c>
      <c r="U110" s="8" t="str">
        <f t="shared" si="205"/>
        <v>Lygon Bowen-west</v>
      </c>
      <c r="V110" s="8" t="str">
        <f t="shared" si="205"/>
        <v>Andy Booth</v>
      </c>
      <c r="W110" s="8" t="str">
        <f t="shared" si="205"/>
        <v>Sam Baranowski</v>
      </c>
      <c r="X110" s="8" t="str">
        <f t="shared" si="205"/>
        <v>Justin Baranowski (1)</v>
      </c>
      <c r="Y110" s="8" t="str">
        <f t="shared" si="205"/>
        <v/>
      </c>
      <c r="Z110" s="8" t="str">
        <f t="shared" si="205"/>
        <v>Andy Booth</v>
      </c>
      <c r="AA110" s="8" t="str">
        <f t="shared" si="205"/>
        <v>Lorenzo Balzarini (2)</v>
      </c>
      <c r="AB110" s="8" t="str">
        <f t="shared" si="205"/>
        <v>Justin Baranowski (1)</v>
      </c>
      <c r="AC110" s="8" t="str">
        <f t="shared" si="205"/>
        <v/>
      </c>
      <c r="AD110" s="8" t="str">
        <f t="shared" si="205"/>
        <v/>
      </c>
      <c r="AE110" s="8" t="str">
        <f t="shared" si="205"/>
        <v>Lorenzo Balzarini (1), Sam Baranowski</v>
      </c>
      <c r="AF110" s="8" t="str">
        <f t="shared" si="205"/>
        <v>Justin Baranowski (1)</v>
      </c>
      <c r="AG110" s="8" t="str">
        <f t="shared" si="205"/>
        <v/>
      </c>
      <c r="AH110" s="8" t="str">
        <f t="shared" si="205"/>
        <v/>
      </c>
      <c r="AI110" s="8" t="str">
        <f t="shared" si="205"/>
        <v/>
      </c>
      <c r="AJ110" s="8" t="str">
        <f t="shared" si="205"/>
        <v/>
      </c>
      <c r="AK110" s="8" t="str">
        <f t="shared" si="205"/>
        <v/>
      </c>
      <c r="AL110" s="8" t="str">
        <f t="shared" si="205"/>
        <v/>
      </c>
      <c r="AM110" s="8" t="str">
        <f t="shared" si="205"/>
        <v>Lorenzo Balzarini, Sam Baranowski, Andy Booth</v>
      </c>
      <c r="AN110" s="8" t="str">
        <f t="shared" si="205"/>
        <v>Justin Baranowski (2)</v>
      </c>
      <c r="AO110" s="8" t="str">
        <f t="shared" si="205"/>
        <v/>
      </c>
      <c r="AP110" s="8" t="str">
        <f t="shared" si="205"/>
        <v>Andy Booth</v>
      </c>
      <c r="AQ110" s="8" t="str">
        <f t="shared" si="205"/>
        <v>Lorenzo Balzarini, Sam Baranowski, Mike Barratt (1)</v>
      </c>
      <c r="AR110" s="8" t="str">
        <f t="shared" si="205"/>
        <v>Justin Baranowski (1)</v>
      </c>
      <c r="AS110" s="8" t="str">
        <f t="shared" si="205"/>
        <v/>
      </c>
      <c r="AT110" s="8" t="str">
        <f t="shared" si="205"/>
        <v>Andy Booth</v>
      </c>
      <c r="AU110" s="8" t="str">
        <f t="shared" si="205"/>
        <v>Lorenzo Balzarini, Mike Barratt (1), Lewis Blackshaw</v>
      </c>
      <c r="AV110" s="8" t="str">
        <f t="shared" si="205"/>
        <v>Justin Baranowski</v>
      </c>
      <c r="AW110" s="8" t="str">
        <f t="shared" si="205"/>
        <v/>
      </c>
      <c r="AX110" s="8" t="str">
        <f t="shared" si="205"/>
        <v/>
      </c>
      <c r="AY110" s="8" t="str">
        <f t="shared" si="205"/>
        <v>Jordan Anning, Lorenzo Balzarini (2)</v>
      </c>
      <c r="AZ110" s="8" t="str">
        <f t="shared" si="205"/>
        <v/>
      </c>
      <c r="BA110" s="8" t="str">
        <f t="shared" si="205"/>
        <v/>
      </c>
      <c r="BB110" s="8" t="str">
        <f t="shared" si="205"/>
        <v>Andy Booth</v>
      </c>
      <c r="BC110" s="8" t="str">
        <f t="shared" si="205"/>
        <v/>
      </c>
      <c r="BD110" s="8" t="str">
        <f t="shared" si="205"/>
        <v/>
      </c>
      <c r="BE110" s="8" t="str">
        <f t="shared" si="205"/>
        <v/>
      </c>
      <c r="BF110" s="8" t="str">
        <f t="shared" si="205"/>
        <v>Andy Booth</v>
      </c>
      <c r="BG110" s="8" t="str">
        <f t="shared" si="205"/>
        <v>Lorenzo Balzarini (1), Mike Barratt (3)</v>
      </c>
      <c r="BH110" s="8" t="str">
        <f t="shared" si="205"/>
        <v>Justin Baranowski (2)</v>
      </c>
      <c r="BI110" s="8" t="str">
        <f t="shared" si="205"/>
        <v/>
      </c>
      <c r="BJ110" s="8" t="str">
        <f t="shared" si="205"/>
        <v>Andy Booth</v>
      </c>
      <c r="BK110" s="8" t="str">
        <f t="shared" si="205"/>
        <v>Lorenzo Balzarini (1)</v>
      </c>
      <c r="BL110" s="8" t="str">
        <f t="shared" si="205"/>
        <v>Justin Baranowski</v>
      </c>
      <c r="BM110" s="8" t="str">
        <f t="shared" ref="BM110:CF110" si="206">IF(BM69="",BM109,IF(BM109="",BM69,BM109&amp;", "&amp;BM69))</f>
        <v/>
      </c>
      <c r="BN110" s="8" t="str">
        <f t="shared" si="206"/>
        <v/>
      </c>
      <c r="BO110" s="8" t="str">
        <f t="shared" si="206"/>
        <v/>
      </c>
      <c r="BP110" s="8" t="str">
        <f t="shared" si="206"/>
        <v/>
      </c>
      <c r="BQ110" s="8" t="str">
        <f t="shared" si="206"/>
        <v/>
      </c>
      <c r="BR110" s="8" t="str">
        <f t="shared" si="206"/>
        <v>Andy Booth</v>
      </c>
      <c r="BS110" s="8" t="str">
        <f t="shared" si="206"/>
        <v>Lorenzo Balzarini, Sam Baranowski</v>
      </c>
      <c r="BT110" s="8" t="str">
        <f t="shared" si="206"/>
        <v>Justin Baranowski</v>
      </c>
      <c r="BU110" s="8" t="str">
        <f t="shared" si="206"/>
        <v/>
      </c>
      <c r="BV110" s="8" t="str">
        <f t="shared" si="206"/>
        <v/>
      </c>
      <c r="BW110" s="8" t="str">
        <f t="shared" si="206"/>
        <v/>
      </c>
      <c r="BX110" s="8" t="str">
        <f t="shared" si="206"/>
        <v/>
      </c>
      <c r="BY110" s="8" t="str">
        <f t="shared" si="206"/>
        <v/>
      </c>
      <c r="BZ110" s="8" t="str">
        <f t="shared" si="206"/>
        <v/>
      </c>
      <c r="CA110" s="8" t="str">
        <f t="shared" si="206"/>
        <v/>
      </c>
      <c r="CB110" s="8" t="str">
        <f t="shared" si="206"/>
        <v/>
      </c>
      <c r="CC110" s="8" t="str">
        <f t="shared" si="206"/>
        <v/>
      </c>
      <c r="CD110" s="8" t="str">
        <f t="shared" si="206"/>
        <v/>
      </c>
      <c r="CE110" s="8" t="str">
        <f t="shared" si="206"/>
        <v>Sam Baranowski, Mike Barratt</v>
      </c>
      <c r="CF110" s="8" t="str">
        <f t="shared" si="206"/>
        <v>Justin Baranowski (2)</v>
      </c>
      <c r="CG110" s="8" t="str">
        <f t="shared" ref="CG110:CJ110" si="207">IF(CG69="",CG109,IF(CG109="",CG69,CG109&amp;", "&amp;CG69))</f>
        <v/>
      </c>
      <c r="CH110" s="8" t="str">
        <f t="shared" si="207"/>
        <v/>
      </c>
      <c r="CI110" s="8" t="str">
        <f t="shared" si="207"/>
        <v>Lorenzo Balzarini, Sam Baranowski, Mike Barratt (1)</v>
      </c>
      <c r="CJ110" s="8" t="str">
        <f t="shared" si="207"/>
        <v>Dave Berman (1)</v>
      </c>
    </row>
    <row r="111" spans="5:88">
      <c r="G111" s="8">
        <f t="shared" si="188"/>
        <v>10</v>
      </c>
      <c r="I111" s="8" t="str">
        <f t="shared" ref="I111:BL111" si="208">IF(I70="",I110,IF(I110="",I70,I110&amp;", "&amp;I70))</f>
        <v/>
      </c>
      <c r="J111" s="8" t="str">
        <f t="shared" si="208"/>
        <v>Andy Booth</v>
      </c>
      <c r="K111" s="8" t="str">
        <f t="shared" si="208"/>
        <v>Sam Baranowski, Dave Berman (2)</v>
      </c>
      <c r="L111" s="8" t="str">
        <f t="shared" si="208"/>
        <v>Justin Baranowski (2), Billy Camuso</v>
      </c>
      <c r="M111" s="8" t="str">
        <f t="shared" si="208"/>
        <v/>
      </c>
      <c r="N111" s="8" t="str">
        <f t="shared" si="208"/>
        <v>Andy Booth</v>
      </c>
      <c r="O111" s="8" t="str">
        <f t="shared" si="208"/>
        <v>Sam Baranowski, Mike Barratt (2), Dave Berman (1)</v>
      </c>
      <c r="P111" s="8" t="str">
        <f t="shared" si="208"/>
        <v>Justin Baranowski (2), Billy Camuso</v>
      </c>
      <c r="Q111" s="30" t="str">
        <f t="shared" si="208"/>
        <v/>
      </c>
      <c r="R111" s="8" t="str">
        <f t="shared" si="208"/>
        <v>Andy Booth</v>
      </c>
      <c r="S111" s="8" t="str">
        <f t="shared" si="208"/>
        <v>Sam Baranowski</v>
      </c>
      <c r="T111" s="8" t="str">
        <f t="shared" si="208"/>
        <v>Justin Baranowski, Billy Camuso</v>
      </c>
      <c r="U111" s="8" t="str">
        <f t="shared" si="208"/>
        <v>Lygon Bowen-west</v>
      </c>
      <c r="V111" s="8" t="str">
        <f t="shared" si="208"/>
        <v>Andy Booth</v>
      </c>
      <c r="W111" s="8" t="str">
        <f t="shared" si="208"/>
        <v>Sam Baranowski</v>
      </c>
      <c r="X111" s="8" t="str">
        <f t="shared" si="208"/>
        <v>Justin Baranowski (1)</v>
      </c>
      <c r="Y111" s="8" t="str">
        <f t="shared" si="208"/>
        <v/>
      </c>
      <c r="Z111" s="8" t="str">
        <f t="shared" si="208"/>
        <v>Andy Booth</v>
      </c>
      <c r="AA111" s="8" t="str">
        <f t="shared" si="208"/>
        <v>Lorenzo Balzarini (2)</v>
      </c>
      <c r="AB111" s="8" t="str">
        <f t="shared" si="208"/>
        <v>Justin Baranowski (1), Billy Camuso</v>
      </c>
      <c r="AC111" s="8" t="str">
        <f t="shared" si="208"/>
        <v/>
      </c>
      <c r="AD111" s="8" t="str">
        <f t="shared" si="208"/>
        <v/>
      </c>
      <c r="AE111" s="8" t="str">
        <f t="shared" si="208"/>
        <v>Lorenzo Balzarini (1), Sam Baranowski</v>
      </c>
      <c r="AF111" s="8" t="str">
        <f t="shared" si="208"/>
        <v>Justin Baranowski (1), Billy Camuso</v>
      </c>
      <c r="AG111" s="8" t="str">
        <f t="shared" si="208"/>
        <v/>
      </c>
      <c r="AH111" s="8" t="str">
        <f t="shared" si="208"/>
        <v/>
      </c>
      <c r="AI111" s="8" t="str">
        <f t="shared" si="208"/>
        <v/>
      </c>
      <c r="AJ111" s="8" t="str">
        <f t="shared" si="208"/>
        <v/>
      </c>
      <c r="AK111" s="8" t="str">
        <f t="shared" si="208"/>
        <v/>
      </c>
      <c r="AL111" s="8" t="str">
        <f t="shared" si="208"/>
        <v/>
      </c>
      <c r="AM111" s="8" t="str">
        <f t="shared" si="208"/>
        <v>Lorenzo Balzarini, Sam Baranowski, Andy Booth</v>
      </c>
      <c r="AN111" s="8" t="str">
        <f t="shared" si="208"/>
        <v>Justin Baranowski (2), Billy Camuso</v>
      </c>
      <c r="AO111" s="8" t="str">
        <f t="shared" si="208"/>
        <v/>
      </c>
      <c r="AP111" s="8" t="str">
        <f t="shared" si="208"/>
        <v>Andy Booth</v>
      </c>
      <c r="AQ111" s="8" t="str">
        <f t="shared" si="208"/>
        <v>Lorenzo Balzarini, Sam Baranowski, Mike Barratt (1)</v>
      </c>
      <c r="AR111" s="8" t="str">
        <f t="shared" si="208"/>
        <v>Justin Baranowski (1)</v>
      </c>
      <c r="AS111" s="8" t="str">
        <f t="shared" si="208"/>
        <v/>
      </c>
      <c r="AT111" s="8" t="str">
        <f t="shared" si="208"/>
        <v>Andy Booth</v>
      </c>
      <c r="AU111" s="8" t="str">
        <f t="shared" si="208"/>
        <v>Lorenzo Balzarini, Mike Barratt (1), Lewis Blackshaw</v>
      </c>
      <c r="AV111" s="8" t="str">
        <f t="shared" si="208"/>
        <v>Justin Baranowski</v>
      </c>
      <c r="AW111" s="8" t="str">
        <f t="shared" si="208"/>
        <v/>
      </c>
      <c r="AX111" s="8" t="str">
        <f t="shared" si="208"/>
        <v/>
      </c>
      <c r="AY111" s="8" t="str">
        <f t="shared" si="208"/>
        <v>Jordan Anning, Lorenzo Balzarini (2)</v>
      </c>
      <c r="AZ111" s="8" t="str">
        <f t="shared" si="208"/>
        <v/>
      </c>
      <c r="BA111" s="8" t="str">
        <f t="shared" si="208"/>
        <v/>
      </c>
      <c r="BB111" s="8" t="str">
        <f t="shared" si="208"/>
        <v>Andy Booth</v>
      </c>
      <c r="BC111" s="8" t="str">
        <f t="shared" si="208"/>
        <v/>
      </c>
      <c r="BD111" s="8" t="str">
        <f t="shared" si="208"/>
        <v/>
      </c>
      <c r="BE111" s="8" t="str">
        <f t="shared" si="208"/>
        <v/>
      </c>
      <c r="BF111" s="8" t="str">
        <f t="shared" si="208"/>
        <v>Andy Booth</v>
      </c>
      <c r="BG111" s="8" t="str">
        <f t="shared" si="208"/>
        <v>Lorenzo Balzarini (1), Mike Barratt (3)</v>
      </c>
      <c r="BH111" s="8" t="str">
        <f t="shared" si="208"/>
        <v>Justin Baranowski (2)</v>
      </c>
      <c r="BI111" s="8" t="str">
        <f t="shared" si="208"/>
        <v/>
      </c>
      <c r="BJ111" s="8" t="str">
        <f t="shared" si="208"/>
        <v>Andy Booth</v>
      </c>
      <c r="BK111" s="8" t="str">
        <f t="shared" si="208"/>
        <v>Lorenzo Balzarini (1)</v>
      </c>
      <c r="BL111" s="8" t="str">
        <f t="shared" si="208"/>
        <v>Justin Baranowski, Billy Camuso (1)</v>
      </c>
      <c r="BM111" s="8" t="str">
        <f t="shared" ref="BM111:CF111" si="209">IF(BM70="",BM110,IF(BM110="",BM70,BM110&amp;", "&amp;BM70))</f>
        <v/>
      </c>
      <c r="BN111" s="8" t="str">
        <f t="shared" si="209"/>
        <v/>
      </c>
      <c r="BO111" s="8" t="str">
        <f t="shared" si="209"/>
        <v/>
      </c>
      <c r="BP111" s="8" t="str">
        <f t="shared" si="209"/>
        <v/>
      </c>
      <c r="BQ111" s="8" t="str">
        <f t="shared" si="209"/>
        <v/>
      </c>
      <c r="BR111" s="8" t="str">
        <f t="shared" si="209"/>
        <v>Andy Booth</v>
      </c>
      <c r="BS111" s="8" t="str">
        <f t="shared" si="209"/>
        <v>Lorenzo Balzarini, Sam Baranowski</v>
      </c>
      <c r="BT111" s="8" t="str">
        <f t="shared" si="209"/>
        <v>Justin Baranowski, Billy Camuso (1)</v>
      </c>
      <c r="BU111" s="8" t="str">
        <f t="shared" si="209"/>
        <v/>
      </c>
      <c r="BV111" s="8" t="str">
        <f t="shared" si="209"/>
        <v/>
      </c>
      <c r="BW111" s="8" t="str">
        <f t="shared" si="209"/>
        <v/>
      </c>
      <c r="BX111" s="8" t="str">
        <f t="shared" si="209"/>
        <v/>
      </c>
      <c r="BY111" s="8" t="str">
        <f t="shared" si="209"/>
        <v/>
      </c>
      <c r="BZ111" s="8" t="str">
        <f t="shared" si="209"/>
        <v/>
      </c>
      <c r="CA111" s="8" t="str">
        <f t="shared" si="209"/>
        <v/>
      </c>
      <c r="CB111" s="8" t="str">
        <f t="shared" si="209"/>
        <v/>
      </c>
      <c r="CC111" s="8" t="str">
        <f t="shared" si="209"/>
        <v/>
      </c>
      <c r="CD111" s="8" t="str">
        <f t="shared" si="209"/>
        <v/>
      </c>
      <c r="CE111" s="8" t="str">
        <f t="shared" si="209"/>
        <v>Sam Baranowski, Mike Barratt</v>
      </c>
      <c r="CF111" s="8" t="str">
        <f t="shared" si="209"/>
        <v>Justin Baranowski (2)</v>
      </c>
      <c r="CG111" s="8" t="str">
        <f t="shared" ref="CG111:CJ111" si="210">IF(CG70="",CG110,IF(CG110="",CG70,CG110&amp;", "&amp;CG70))</f>
        <v/>
      </c>
      <c r="CH111" s="8" t="str">
        <f t="shared" si="210"/>
        <v/>
      </c>
      <c r="CI111" s="8" t="str">
        <f t="shared" si="210"/>
        <v>Lorenzo Balzarini, Sam Baranowski, Mike Barratt (1)</v>
      </c>
      <c r="CJ111" s="8" t="str">
        <f t="shared" si="210"/>
        <v>Dave Berman (1), Billy Camuso</v>
      </c>
    </row>
    <row r="112" spans="5:88">
      <c r="G112" s="8">
        <f t="shared" si="188"/>
        <v>11</v>
      </c>
      <c r="I112" s="8" t="str">
        <f t="shared" ref="I112:BL112" si="211">IF(I71="",I111,IF(I111="",I71,I111&amp;", "&amp;I71))</f>
        <v/>
      </c>
      <c r="J112" s="8" t="str">
        <f t="shared" si="211"/>
        <v>Andy Booth, David Copple</v>
      </c>
      <c r="K112" s="8" t="str">
        <f t="shared" si="211"/>
        <v>Sam Baranowski, Dave Berman (2)</v>
      </c>
      <c r="L112" s="8" t="str">
        <f t="shared" si="211"/>
        <v>Justin Baranowski (2), Billy Camuso</v>
      </c>
      <c r="M112" s="8" t="str">
        <f t="shared" si="211"/>
        <v/>
      </c>
      <c r="N112" s="8" t="str">
        <f t="shared" si="211"/>
        <v>Andy Booth, David Copple</v>
      </c>
      <c r="O112" s="8" t="str">
        <f t="shared" si="211"/>
        <v>Sam Baranowski, Mike Barratt (2), Dave Berman (1)</v>
      </c>
      <c r="P112" s="8" t="str">
        <f t="shared" si="211"/>
        <v>Justin Baranowski (2), Billy Camuso</v>
      </c>
      <c r="Q112" s="30" t="str">
        <f t="shared" si="211"/>
        <v/>
      </c>
      <c r="R112" s="8" t="str">
        <f t="shared" si="211"/>
        <v>Andy Booth, David Copple</v>
      </c>
      <c r="S112" s="8" t="str">
        <f t="shared" si="211"/>
        <v>Sam Baranowski</v>
      </c>
      <c r="T112" s="8" t="str">
        <f t="shared" si="211"/>
        <v>Justin Baranowski, Billy Camuso</v>
      </c>
      <c r="U112" s="8" t="str">
        <f t="shared" si="211"/>
        <v>Lygon Bowen-west</v>
      </c>
      <c r="V112" s="8" t="str">
        <f t="shared" si="211"/>
        <v>Andy Booth, David Copple</v>
      </c>
      <c r="W112" s="8" t="str">
        <f t="shared" si="211"/>
        <v>Sam Baranowski</v>
      </c>
      <c r="X112" s="8" t="str">
        <f t="shared" si="211"/>
        <v>Justin Baranowski (1)</v>
      </c>
      <c r="Y112" s="8" t="str">
        <f t="shared" si="211"/>
        <v/>
      </c>
      <c r="Z112" s="8" t="str">
        <f t="shared" si="211"/>
        <v>Andy Booth</v>
      </c>
      <c r="AA112" s="8" t="str">
        <f t="shared" si="211"/>
        <v>Lorenzo Balzarini (2)</v>
      </c>
      <c r="AB112" s="8" t="str">
        <f t="shared" si="211"/>
        <v>Justin Baranowski (1), Billy Camuso</v>
      </c>
      <c r="AC112" s="8" t="str">
        <f t="shared" si="211"/>
        <v/>
      </c>
      <c r="AD112" s="8" t="str">
        <f t="shared" si="211"/>
        <v>David Copple</v>
      </c>
      <c r="AE112" s="8" t="str">
        <f t="shared" si="211"/>
        <v>Lorenzo Balzarini (1), Sam Baranowski</v>
      </c>
      <c r="AF112" s="8" t="str">
        <f t="shared" si="211"/>
        <v>Justin Baranowski (1), Billy Camuso</v>
      </c>
      <c r="AG112" s="8" t="str">
        <f t="shared" si="211"/>
        <v/>
      </c>
      <c r="AH112" s="8" t="str">
        <f t="shared" si="211"/>
        <v/>
      </c>
      <c r="AI112" s="8" t="str">
        <f t="shared" si="211"/>
        <v/>
      </c>
      <c r="AJ112" s="8" t="str">
        <f t="shared" si="211"/>
        <v/>
      </c>
      <c r="AK112" s="8" t="str">
        <f t="shared" si="211"/>
        <v/>
      </c>
      <c r="AL112" s="8" t="str">
        <f t="shared" si="211"/>
        <v/>
      </c>
      <c r="AM112" s="8" t="str">
        <f t="shared" si="211"/>
        <v>Lorenzo Balzarini, Sam Baranowski, Andy Booth</v>
      </c>
      <c r="AN112" s="8" t="str">
        <f t="shared" si="211"/>
        <v>Justin Baranowski (2), Billy Camuso</v>
      </c>
      <c r="AO112" s="8" t="str">
        <f t="shared" si="211"/>
        <v/>
      </c>
      <c r="AP112" s="8" t="str">
        <f t="shared" si="211"/>
        <v>Andy Booth, David Copple</v>
      </c>
      <c r="AQ112" s="8" t="str">
        <f t="shared" si="211"/>
        <v>Lorenzo Balzarini, Sam Baranowski, Mike Barratt (1)</v>
      </c>
      <c r="AR112" s="8" t="str">
        <f t="shared" si="211"/>
        <v>Justin Baranowski (1)</v>
      </c>
      <c r="AS112" s="8" t="str">
        <f t="shared" si="211"/>
        <v/>
      </c>
      <c r="AT112" s="8" t="str">
        <f t="shared" si="211"/>
        <v>Andy Booth, David Copple</v>
      </c>
      <c r="AU112" s="8" t="str">
        <f t="shared" si="211"/>
        <v>Lorenzo Balzarini, Mike Barratt (1), Lewis Blackshaw</v>
      </c>
      <c r="AV112" s="8" t="str">
        <f t="shared" si="211"/>
        <v>Justin Baranowski</v>
      </c>
      <c r="AW112" s="8" t="str">
        <f t="shared" si="211"/>
        <v/>
      </c>
      <c r="AX112" s="8" t="str">
        <f t="shared" si="211"/>
        <v>David Copple</v>
      </c>
      <c r="AY112" s="8" t="str">
        <f t="shared" si="211"/>
        <v>Jordan Anning, Lorenzo Balzarini (2)</v>
      </c>
      <c r="AZ112" s="8" t="str">
        <f t="shared" si="211"/>
        <v/>
      </c>
      <c r="BA112" s="8" t="str">
        <f t="shared" si="211"/>
        <v/>
      </c>
      <c r="BB112" s="8" t="str">
        <f t="shared" si="211"/>
        <v>Andy Booth, David Copple</v>
      </c>
      <c r="BC112" s="8" t="str">
        <f t="shared" si="211"/>
        <v/>
      </c>
      <c r="BD112" s="8" t="str">
        <f t="shared" si="211"/>
        <v/>
      </c>
      <c r="BE112" s="8" t="str">
        <f t="shared" si="211"/>
        <v/>
      </c>
      <c r="BF112" s="8" t="str">
        <f t="shared" si="211"/>
        <v>Andy Booth, David Copple</v>
      </c>
      <c r="BG112" s="8" t="str">
        <f t="shared" si="211"/>
        <v>Lorenzo Balzarini (1), Mike Barratt (3)</v>
      </c>
      <c r="BH112" s="8" t="str">
        <f t="shared" si="211"/>
        <v>Justin Baranowski (2)</v>
      </c>
      <c r="BI112" s="8" t="str">
        <f t="shared" si="211"/>
        <v/>
      </c>
      <c r="BJ112" s="8" t="str">
        <f t="shared" si="211"/>
        <v>Andy Booth, David Copple</v>
      </c>
      <c r="BK112" s="8" t="str">
        <f t="shared" si="211"/>
        <v>Lorenzo Balzarini (1)</v>
      </c>
      <c r="BL112" s="8" t="str">
        <f t="shared" si="211"/>
        <v>Justin Baranowski, Billy Camuso (1)</v>
      </c>
      <c r="BM112" s="8" t="str">
        <f t="shared" ref="BM112:CF112" si="212">IF(BM71="",BM111,IF(BM111="",BM71,BM111&amp;", "&amp;BM71))</f>
        <v/>
      </c>
      <c r="BN112" s="8" t="str">
        <f t="shared" si="212"/>
        <v/>
      </c>
      <c r="BO112" s="8" t="str">
        <f t="shared" si="212"/>
        <v/>
      </c>
      <c r="BP112" s="8" t="str">
        <f t="shared" si="212"/>
        <v/>
      </c>
      <c r="BQ112" s="8" t="str">
        <f t="shared" si="212"/>
        <v/>
      </c>
      <c r="BR112" s="8" t="str">
        <f t="shared" si="212"/>
        <v>Andy Booth, David Copple</v>
      </c>
      <c r="BS112" s="8" t="str">
        <f t="shared" si="212"/>
        <v>Lorenzo Balzarini, Sam Baranowski</v>
      </c>
      <c r="BT112" s="8" t="str">
        <f t="shared" si="212"/>
        <v>Justin Baranowski, Billy Camuso (1)</v>
      </c>
      <c r="BU112" s="8" t="str">
        <f t="shared" si="212"/>
        <v/>
      </c>
      <c r="BV112" s="8" t="str">
        <f t="shared" si="212"/>
        <v/>
      </c>
      <c r="BW112" s="8" t="str">
        <f t="shared" si="212"/>
        <v/>
      </c>
      <c r="BX112" s="8" t="str">
        <f t="shared" si="212"/>
        <v/>
      </c>
      <c r="BY112" s="8" t="str">
        <f t="shared" si="212"/>
        <v/>
      </c>
      <c r="BZ112" s="8" t="str">
        <f t="shared" si="212"/>
        <v/>
      </c>
      <c r="CA112" s="8" t="str">
        <f t="shared" si="212"/>
        <v/>
      </c>
      <c r="CB112" s="8" t="str">
        <f t="shared" si="212"/>
        <v/>
      </c>
      <c r="CC112" s="8" t="str">
        <f t="shared" si="212"/>
        <v/>
      </c>
      <c r="CD112" s="8" t="str">
        <f t="shared" si="212"/>
        <v>David Copple</v>
      </c>
      <c r="CE112" s="8" t="str">
        <f t="shared" si="212"/>
        <v>Sam Baranowski, Mike Barratt</v>
      </c>
      <c r="CF112" s="8" t="str">
        <f t="shared" si="212"/>
        <v>Justin Baranowski (2)</v>
      </c>
      <c r="CG112" s="8" t="str">
        <f t="shared" ref="CG112:CJ112" si="213">IF(CG71="",CG111,IF(CG111="",CG71,CG111&amp;", "&amp;CG71))</f>
        <v/>
      </c>
      <c r="CH112" s="8" t="str">
        <f t="shared" si="213"/>
        <v>David Copple</v>
      </c>
      <c r="CI112" s="8" t="str">
        <f t="shared" si="213"/>
        <v>Lorenzo Balzarini, Sam Baranowski, Mike Barratt (1)</v>
      </c>
      <c r="CJ112" s="8" t="str">
        <f t="shared" si="213"/>
        <v>Dave Berman (1), Billy Camuso</v>
      </c>
    </row>
    <row r="113" spans="7:88">
      <c r="G113" s="8">
        <f t="shared" si="188"/>
        <v>12</v>
      </c>
      <c r="I113" s="8" t="str">
        <f t="shared" ref="I113:BL113" si="214">IF(I72="",I112,IF(I112="",I72,I112&amp;", "&amp;I72))</f>
        <v/>
      </c>
      <c r="J113" s="8" t="str">
        <f t="shared" si="214"/>
        <v>Andy Booth, David Copple</v>
      </c>
      <c r="K113" s="8" t="str">
        <f t="shared" si="214"/>
        <v>Sam Baranowski, Dave Berman (2)</v>
      </c>
      <c r="L113" s="8" t="str">
        <f t="shared" si="214"/>
        <v>Justin Baranowski (2), Billy Camuso</v>
      </c>
      <c r="M113" s="8" t="str">
        <f t="shared" si="214"/>
        <v/>
      </c>
      <c r="N113" s="8" t="str">
        <f t="shared" si="214"/>
        <v>Andy Booth, David Copple</v>
      </c>
      <c r="O113" s="8" t="str">
        <f t="shared" si="214"/>
        <v>Sam Baranowski, Mike Barratt (2), Dave Berman (1), Eddie Dale</v>
      </c>
      <c r="P113" s="8" t="str">
        <f t="shared" si="214"/>
        <v>Justin Baranowski (2), Billy Camuso</v>
      </c>
      <c r="Q113" s="30" t="str">
        <f t="shared" si="214"/>
        <v/>
      </c>
      <c r="R113" s="8" t="str">
        <f t="shared" si="214"/>
        <v>Andy Booth, David Copple</v>
      </c>
      <c r="S113" s="8" t="str">
        <f t="shared" si="214"/>
        <v>Sam Baranowski, Eddie Dale</v>
      </c>
      <c r="T113" s="8" t="str">
        <f t="shared" si="214"/>
        <v>Justin Baranowski, Billy Camuso</v>
      </c>
      <c r="U113" s="8" t="str">
        <f t="shared" si="214"/>
        <v>Lygon Bowen-west</v>
      </c>
      <c r="V113" s="8" t="str">
        <f t="shared" si="214"/>
        <v>Andy Booth, David Copple</v>
      </c>
      <c r="W113" s="8" t="str">
        <f t="shared" si="214"/>
        <v>Sam Baranowski, Eddie Dale</v>
      </c>
      <c r="X113" s="8" t="str">
        <f t="shared" si="214"/>
        <v>Justin Baranowski (1)</v>
      </c>
      <c r="Y113" s="8" t="str">
        <f t="shared" si="214"/>
        <v/>
      </c>
      <c r="Z113" s="8" t="str">
        <f t="shared" si="214"/>
        <v>Andy Booth</v>
      </c>
      <c r="AA113" s="8" t="str">
        <f t="shared" si="214"/>
        <v>Lorenzo Balzarini (2), Eddie Dale</v>
      </c>
      <c r="AB113" s="8" t="str">
        <f t="shared" si="214"/>
        <v>Justin Baranowski (1), Billy Camuso</v>
      </c>
      <c r="AC113" s="8" t="str">
        <f t="shared" si="214"/>
        <v/>
      </c>
      <c r="AD113" s="8" t="str">
        <f t="shared" si="214"/>
        <v>David Copple</v>
      </c>
      <c r="AE113" s="8" t="str">
        <f t="shared" si="214"/>
        <v>Lorenzo Balzarini (1), Sam Baranowski, Eddie Dale</v>
      </c>
      <c r="AF113" s="8" t="str">
        <f t="shared" si="214"/>
        <v>Justin Baranowski (1), Billy Camuso</v>
      </c>
      <c r="AG113" s="8" t="str">
        <f t="shared" si="214"/>
        <v/>
      </c>
      <c r="AH113" s="8" t="str">
        <f t="shared" si="214"/>
        <v/>
      </c>
      <c r="AI113" s="8" t="str">
        <f t="shared" si="214"/>
        <v/>
      </c>
      <c r="AJ113" s="8" t="str">
        <f t="shared" si="214"/>
        <v/>
      </c>
      <c r="AK113" s="8" t="str">
        <f t="shared" si="214"/>
        <v/>
      </c>
      <c r="AL113" s="8" t="str">
        <f t="shared" si="214"/>
        <v/>
      </c>
      <c r="AM113" s="8" t="str">
        <f t="shared" si="214"/>
        <v>Lorenzo Balzarini, Sam Baranowski, Andy Booth</v>
      </c>
      <c r="AN113" s="8" t="str">
        <f t="shared" si="214"/>
        <v>Justin Baranowski (2), Billy Camuso</v>
      </c>
      <c r="AO113" s="8" t="str">
        <f t="shared" si="214"/>
        <v/>
      </c>
      <c r="AP113" s="8" t="str">
        <f t="shared" si="214"/>
        <v>Andy Booth, David Copple</v>
      </c>
      <c r="AQ113" s="8" t="str">
        <f t="shared" si="214"/>
        <v>Lorenzo Balzarini, Sam Baranowski, Mike Barratt (1)</v>
      </c>
      <c r="AR113" s="8" t="str">
        <f t="shared" si="214"/>
        <v>Justin Baranowski (1)</v>
      </c>
      <c r="AS113" s="8" t="str">
        <f t="shared" si="214"/>
        <v/>
      </c>
      <c r="AT113" s="8" t="str">
        <f t="shared" si="214"/>
        <v>Andy Booth, David Copple</v>
      </c>
      <c r="AU113" s="8" t="str">
        <f t="shared" si="214"/>
        <v>Lorenzo Balzarini, Mike Barratt (1), Lewis Blackshaw</v>
      </c>
      <c r="AV113" s="8" t="str">
        <f t="shared" si="214"/>
        <v>Justin Baranowski</v>
      </c>
      <c r="AW113" s="8" t="str">
        <f t="shared" si="214"/>
        <v/>
      </c>
      <c r="AX113" s="8" t="str">
        <f t="shared" si="214"/>
        <v>David Copple</v>
      </c>
      <c r="AY113" s="8" t="str">
        <f t="shared" si="214"/>
        <v>Jordan Anning, Lorenzo Balzarini (2)</v>
      </c>
      <c r="AZ113" s="8" t="str">
        <f t="shared" si="214"/>
        <v/>
      </c>
      <c r="BA113" s="8" t="str">
        <f t="shared" si="214"/>
        <v/>
      </c>
      <c r="BB113" s="8" t="str">
        <f t="shared" si="214"/>
        <v>Andy Booth, David Copple</v>
      </c>
      <c r="BC113" s="8" t="str">
        <f t="shared" si="214"/>
        <v/>
      </c>
      <c r="BD113" s="8" t="str">
        <f t="shared" si="214"/>
        <v/>
      </c>
      <c r="BE113" s="8" t="str">
        <f t="shared" si="214"/>
        <v/>
      </c>
      <c r="BF113" s="8" t="str">
        <f t="shared" si="214"/>
        <v>Andy Booth, David Copple</v>
      </c>
      <c r="BG113" s="8" t="str">
        <f t="shared" si="214"/>
        <v>Lorenzo Balzarini (1), Mike Barratt (3)</v>
      </c>
      <c r="BH113" s="8" t="str">
        <f t="shared" si="214"/>
        <v>Justin Baranowski (2)</v>
      </c>
      <c r="BI113" s="8" t="str">
        <f t="shared" si="214"/>
        <v/>
      </c>
      <c r="BJ113" s="8" t="str">
        <f t="shared" si="214"/>
        <v>Andy Booth, David Copple</v>
      </c>
      <c r="BK113" s="8" t="str">
        <f t="shared" si="214"/>
        <v>Lorenzo Balzarini (1)</v>
      </c>
      <c r="BL113" s="8" t="str">
        <f t="shared" si="214"/>
        <v>Justin Baranowski, Billy Camuso (1)</v>
      </c>
      <c r="BM113" s="8" t="str">
        <f t="shared" ref="BM113:CF113" si="215">IF(BM72="",BM112,IF(BM112="",BM72,BM112&amp;", "&amp;BM72))</f>
        <v/>
      </c>
      <c r="BN113" s="8" t="str">
        <f t="shared" si="215"/>
        <v/>
      </c>
      <c r="BO113" s="8" t="str">
        <f t="shared" si="215"/>
        <v/>
      </c>
      <c r="BP113" s="8" t="str">
        <f t="shared" si="215"/>
        <v/>
      </c>
      <c r="BQ113" s="8" t="str">
        <f t="shared" si="215"/>
        <v/>
      </c>
      <c r="BR113" s="8" t="str">
        <f t="shared" si="215"/>
        <v>Andy Booth, David Copple</v>
      </c>
      <c r="BS113" s="8" t="str">
        <f t="shared" si="215"/>
        <v>Lorenzo Balzarini, Sam Baranowski</v>
      </c>
      <c r="BT113" s="8" t="str">
        <f t="shared" si="215"/>
        <v>Justin Baranowski, Billy Camuso (1)</v>
      </c>
      <c r="BU113" s="8" t="str">
        <f t="shared" si="215"/>
        <v/>
      </c>
      <c r="BV113" s="8" t="str">
        <f t="shared" si="215"/>
        <v/>
      </c>
      <c r="BW113" s="8" t="str">
        <f t="shared" si="215"/>
        <v/>
      </c>
      <c r="BX113" s="8" t="str">
        <f t="shared" si="215"/>
        <v/>
      </c>
      <c r="BY113" s="8" t="str">
        <f t="shared" si="215"/>
        <v/>
      </c>
      <c r="BZ113" s="8" t="str">
        <f t="shared" si="215"/>
        <v/>
      </c>
      <c r="CA113" s="8" t="str">
        <f t="shared" si="215"/>
        <v/>
      </c>
      <c r="CB113" s="8" t="str">
        <f t="shared" si="215"/>
        <v/>
      </c>
      <c r="CC113" s="8" t="str">
        <f t="shared" si="215"/>
        <v/>
      </c>
      <c r="CD113" s="8" t="str">
        <f t="shared" si="215"/>
        <v>David Copple</v>
      </c>
      <c r="CE113" s="8" t="str">
        <f t="shared" si="215"/>
        <v>Sam Baranowski, Mike Barratt</v>
      </c>
      <c r="CF113" s="8" t="str">
        <f t="shared" si="215"/>
        <v>Justin Baranowski (2)</v>
      </c>
      <c r="CG113" s="8" t="str">
        <f t="shared" ref="CG113:CJ113" si="216">IF(CG72="",CG112,IF(CG112="",CG72,CG112&amp;", "&amp;CG72))</f>
        <v/>
      </c>
      <c r="CH113" s="8" t="str">
        <f t="shared" si="216"/>
        <v>David Copple</v>
      </c>
      <c r="CI113" s="8" t="str">
        <f t="shared" si="216"/>
        <v>Lorenzo Balzarini, Sam Baranowski, Mike Barratt (1)</v>
      </c>
      <c r="CJ113" s="8" t="str">
        <f t="shared" si="216"/>
        <v>Dave Berman (1), Billy Camuso</v>
      </c>
    </row>
    <row r="114" spans="7:88">
      <c r="G114" s="8">
        <f t="shared" si="188"/>
        <v>13</v>
      </c>
      <c r="I114" s="8" t="str">
        <f t="shared" ref="I114:BL114" si="217">IF(I73="",I113,IF(I113="",I73,I113&amp;", "&amp;I73))</f>
        <v/>
      </c>
      <c r="J114" s="8" t="str">
        <f t="shared" si="217"/>
        <v>Andy Booth, David Copple</v>
      </c>
      <c r="K114" s="8" t="str">
        <f t="shared" si="217"/>
        <v>Sam Baranowski, Dave Berman (2)</v>
      </c>
      <c r="L114" s="8" t="str">
        <f t="shared" si="217"/>
        <v>Justin Baranowski (2), Billy Camuso</v>
      </c>
      <c r="M114" s="8" t="str">
        <f t="shared" si="217"/>
        <v/>
      </c>
      <c r="N114" s="8" t="str">
        <f t="shared" si="217"/>
        <v>Andy Booth, David Copple</v>
      </c>
      <c r="O114" s="8" t="str">
        <f t="shared" si="217"/>
        <v>Sam Baranowski, Mike Barratt (2), Dave Berman (1), Eddie Dale</v>
      </c>
      <c r="P114" s="8" t="str">
        <f t="shared" si="217"/>
        <v>Justin Baranowski (2), Billy Camuso</v>
      </c>
      <c r="Q114" s="30" t="str">
        <f t="shared" si="217"/>
        <v/>
      </c>
      <c r="R114" s="8" t="str">
        <f t="shared" si="217"/>
        <v>Andy Booth, David Copple</v>
      </c>
      <c r="S114" s="8" t="str">
        <f t="shared" si="217"/>
        <v>Sam Baranowski, Eddie Dale, Will Duval (1)</v>
      </c>
      <c r="T114" s="8" t="str">
        <f t="shared" si="217"/>
        <v>Justin Baranowski, Billy Camuso</v>
      </c>
      <c r="U114" s="8" t="str">
        <f t="shared" si="217"/>
        <v>Lygon Bowen-west</v>
      </c>
      <c r="V114" s="8" t="str">
        <f t="shared" si="217"/>
        <v>Andy Booth, David Copple</v>
      </c>
      <c r="W114" s="8" t="str">
        <f t="shared" si="217"/>
        <v>Sam Baranowski, Eddie Dale</v>
      </c>
      <c r="X114" s="8" t="str">
        <f t="shared" si="217"/>
        <v>Justin Baranowski (1)</v>
      </c>
      <c r="Y114" s="8" t="str">
        <f t="shared" si="217"/>
        <v/>
      </c>
      <c r="Z114" s="8" t="str">
        <f t="shared" si="217"/>
        <v>Andy Booth</v>
      </c>
      <c r="AA114" s="8" t="str">
        <f t="shared" si="217"/>
        <v>Lorenzo Balzarini (2), Eddie Dale</v>
      </c>
      <c r="AB114" s="8" t="str">
        <f t="shared" si="217"/>
        <v>Justin Baranowski (1), Billy Camuso</v>
      </c>
      <c r="AC114" s="8" t="str">
        <f t="shared" si="217"/>
        <v/>
      </c>
      <c r="AD114" s="8" t="str">
        <f t="shared" si="217"/>
        <v>David Copple</v>
      </c>
      <c r="AE114" s="8" t="str">
        <f t="shared" si="217"/>
        <v>Lorenzo Balzarini (1), Sam Baranowski, Eddie Dale</v>
      </c>
      <c r="AF114" s="8" t="str">
        <f t="shared" si="217"/>
        <v>Justin Baranowski (1), Billy Camuso</v>
      </c>
      <c r="AG114" s="8" t="str">
        <f t="shared" si="217"/>
        <v/>
      </c>
      <c r="AH114" s="8" t="str">
        <f t="shared" si="217"/>
        <v/>
      </c>
      <c r="AI114" s="8" t="str">
        <f t="shared" si="217"/>
        <v/>
      </c>
      <c r="AJ114" s="8" t="str">
        <f t="shared" si="217"/>
        <v/>
      </c>
      <c r="AK114" s="8" t="str">
        <f t="shared" si="217"/>
        <v/>
      </c>
      <c r="AL114" s="8" t="str">
        <f t="shared" si="217"/>
        <v/>
      </c>
      <c r="AM114" s="8" t="str">
        <f t="shared" si="217"/>
        <v>Lorenzo Balzarini, Sam Baranowski, Andy Booth</v>
      </c>
      <c r="AN114" s="8" t="str">
        <f t="shared" si="217"/>
        <v>Justin Baranowski (2), Billy Camuso</v>
      </c>
      <c r="AO114" s="8" t="str">
        <f t="shared" si="217"/>
        <v/>
      </c>
      <c r="AP114" s="8" t="str">
        <f t="shared" si="217"/>
        <v>Andy Booth, David Copple</v>
      </c>
      <c r="AQ114" s="8" t="str">
        <f t="shared" si="217"/>
        <v>Lorenzo Balzarini, Sam Baranowski, Mike Barratt (1)</v>
      </c>
      <c r="AR114" s="8" t="str">
        <f t="shared" si="217"/>
        <v>Justin Baranowski (1)</v>
      </c>
      <c r="AS114" s="8" t="str">
        <f t="shared" si="217"/>
        <v/>
      </c>
      <c r="AT114" s="8" t="str">
        <f t="shared" si="217"/>
        <v>Andy Booth, David Copple</v>
      </c>
      <c r="AU114" s="8" t="str">
        <f t="shared" si="217"/>
        <v>Lorenzo Balzarini, Mike Barratt (1), Lewis Blackshaw</v>
      </c>
      <c r="AV114" s="8" t="str">
        <f t="shared" si="217"/>
        <v>Justin Baranowski</v>
      </c>
      <c r="AW114" s="8" t="str">
        <f t="shared" si="217"/>
        <v/>
      </c>
      <c r="AX114" s="8" t="str">
        <f t="shared" si="217"/>
        <v>David Copple</v>
      </c>
      <c r="AY114" s="8" t="str">
        <f t="shared" si="217"/>
        <v>Jordan Anning, Lorenzo Balzarini (2)</v>
      </c>
      <c r="AZ114" s="8" t="str">
        <f t="shared" si="217"/>
        <v/>
      </c>
      <c r="BA114" s="8" t="str">
        <f t="shared" si="217"/>
        <v/>
      </c>
      <c r="BB114" s="8" t="str">
        <f t="shared" si="217"/>
        <v>Andy Booth, David Copple</v>
      </c>
      <c r="BC114" s="8" t="str">
        <f t="shared" si="217"/>
        <v/>
      </c>
      <c r="BD114" s="8" t="str">
        <f t="shared" si="217"/>
        <v/>
      </c>
      <c r="BE114" s="8" t="str">
        <f t="shared" si="217"/>
        <v/>
      </c>
      <c r="BF114" s="8" t="str">
        <f t="shared" si="217"/>
        <v>Andy Booth, David Copple</v>
      </c>
      <c r="BG114" s="8" t="str">
        <f t="shared" si="217"/>
        <v>Lorenzo Balzarini (1), Mike Barratt (3)</v>
      </c>
      <c r="BH114" s="8" t="str">
        <f t="shared" si="217"/>
        <v>Justin Baranowski (2)</v>
      </c>
      <c r="BI114" s="8" t="str">
        <f t="shared" si="217"/>
        <v/>
      </c>
      <c r="BJ114" s="8" t="str">
        <f t="shared" si="217"/>
        <v>Andy Booth, David Copple</v>
      </c>
      <c r="BK114" s="8" t="str">
        <f t="shared" si="217"/>
        <v>Lorenzo Balzarini (1)</v>
      </c>
      <c r="BL114" s="8" t="str">
        <f t="shared" si="217"/>
        <v>Justin Baranowski, Billy Camuso (1)</v>
      </c>
      <c r="BM114" s="8" t="str">
        <f t="shared" ref="BM114:CF114" si="218">IF(BM73="",BM113,IF(BM113="",BM73,BM113&amp;", "&amp;BM73))</f>
        <v/>
      </c>
      <c r="BN114" s="8" t="str">
        <f t="shared" si="218"/>
        <v/>
      </c>
      <c r="BO114" s="8" t="str">
        <f t="shared" si="218"/>
        <v/>
      </c>
      <c r="BP114" s="8" t="str">
        <f t="shared" si="218"/>
        <v/>
      </c>
      <c r="BQ114" s="8" t="str">
        <f t="shared" si="218"/>
        <v/>
      </c>
      <c r="BR114" s="8" t="str">
        <f t="shared" si="218"/>
        <v>Andy Booth, David Copple</v>
      </c>
      <c r="BS114" s="8" t="str">
        <f t="shared" si="218"/>
        <v>Lorenzo Balzarini, Sam Baranowski</v>
      </c>
      <c r="BT114" s="8" t="str">
        <f t="shared" si="218"/>
        <v>Justin Baranowski, Billy Camuso (1)</v>
      </c>
      <c r="BU114" s="8" t="str">
        <f t="shared" si="218"/>
        <v/>
      </c>
      <c r="BV114" s="8" t="str">
        <f t="shared" si="218"/>
        <v/>
      </c>
      <c r="BW114" s="8" t="str">
        <f t="shared" si="218"/>
        <v/>
      </c>
      <c r="BX114" s="8" t="str">
        <f t="shared" si="218"/>
        <v/>
      </c>
      <c r="BY114" s="8" t="str">
        <f t="shared" si="218"/>
        <v/>
      </c>
      <c r="BZ114" s="8" t="str">
        <f t="shared" si="218"/>
        <v/>
      </c>
      <c r="CA114" s="8" t="str">
        <f t="shared" si="218"/>
        <v/>
      </c>
      <c r="CB114" s="8" t="str">
        <f t="shared" si="218"/>
        <v/>
      </c>
      <c r="CC114" s="8" t="str">
        <f t="shared" si="218"/>
        <v/>
      </c>
      <c r="CD114" s="8" t="str">
        <f t="shared" si="218"/>
        <v>David Copple</v>
      </c>
      <c r="CE114" s="8" t="str">
        <f t="shared" si="218"/>
        <v>Sam Baranowski, Mike Barratt</v>
      </c>
      <c r="CF114" s="8" t="str">
        <f t="shared" si="218"/>
        <v>Justin Baranowski (2)</v>
      </c>
      <c r="CG114" s="8" t="str">
        <f t="shared" ref="CG114:CJ114" si="219">IF(CG73="",CG113,IF(CG113="",CG73,CG113&amp;", "&amp;CG73))</f>
        <v/>
      </c>
      <c r="CH114" s="8" t="str">
        <f t="shared" si="219"/>
        <v>David Copple</v>
      </c>
      <c r="CI114" s="8" t="str">
        <f t="shared" si="219"/>
        <v>Lorenzo Balzarini, Sam Baranowski, Mike Barratt (1)</v>
      </c>
      <c r="CJ114" s="8" t="str">
        <f t="shared" si="219"/>
        <v>Dave Berman (1), Billy Camuso</v>
      </c>
    </row>
    <row r="115" spans="7:88">
      <c r="G115" s="8">
        <f t="shared" si="188"/>
        <v>14</v>
      </c>
      <c r="I115" s="8" t="str">
        <f t="shared" ref="I115:BL115" si="220">IF(I74="",I114,IF(I114="",I74,I114&amp;", "&amp;I74))</f>
        <v/>
      </c>
      <c r="J115" s="8" t="str">
        <f t="shared" si="220"/>
        <v>Andy Booth, David Copple</v>
      </c>
      <c r="K115" s="8" t="str">
        <f t="shared" si="220"/>
        <v>Sam Baranowski, Dave Berman (2)</v>
      </c>
      <c r="L115" s="8" t="str">
        <f t="shared" si="220"/>
        <v>Justin Baranowski (2), Billy Camuso</v>
      </c>
      <c r="M115" s="8" t="str">
        <f t="shared" si="220"/>
        <v/>
      </c>
      <c r="N115" s="8" t="str">
        <f t="shared" si="220"/>
        <v>Andy Booth, David Copple</v>
      </c>
      <c r="O115" s="8" t="str">
        <f t="shared" si="220"/>
        <v>Sam Baranowski, Mike Barratt (2), Dave Berman (1), Eddie Dale</v>
      </c>
      <c r="P115" s="8" t="str">
        <f t="shared" si="220"/>
        <v>Justin Baranowski (2), Billy Camuso</v>
      </c>
      <c r="Q115" s="30" t="str">
        <f t="shared" si="220"/>
        <v/>
      </c>
      <c r="R115" s="8" t="str">
        <f t="shared" si="220"/>
        <v>Andy Booth, David Copple</v>
      </c>
      <c r="S115" s="8" t="str">
        <f t="shared" si="220"/>
        <v>Sam Baranowski, Eddie Dale, Will Duval (1), Eugene Fung</v>
      </c>
      <c r="T115" s="8" t="str">
        <f t="shared" si="220"/>
        <v>Justin Baranowski, Billy Camuso</v>
      </c>
      <c r="U115" s="8" t="str">
        <f t="shared" si="220"/>
        <v>Lygon Bowen-west</v>
      </c>
      <c r="V115" s="8" t="str">
        <f t="shared" si="220"/>
        <v>Andy Booth, David Copple</v>
      </c>
      <c r="W115" s="8" t="str">
        <f t="shared" si="220"/>
        <v>Sam Baranowski, Eddie Dale</v>
      </c>
      <c r="X115" s="8" t="str">
        <f t="shared" si="220"/>
        <v>Justin Baranowski (1)</v>
      </c>
      <c r="Y115" s="8" t="str">
        <f t="shared" si="220"/>
        <v/>
      </c>
      <c r="Z115" s="8" t="str">
        <f t="shared" si="220"/>
        <v>Andy Booth</v>
      </c>
      <c r="AA115" s="8" t="str">
        <f t="shared" si="220"/>
        <v>Lorenzo Balzarini (2), Eddie Dale</v>
      </c>
      <c r="AB115" s="8" t="str">
        <f t="shared" si="220"/>
        <v>Justin Baranowski (1), Billy Camuso</v>
      </c>
      <c r="AC115" s="8" t="str">
        <f t="shared" si="220"/>
        <v/>
      </c>
      <c r="AD115" s="8" t="str">
        <f t="shared" si="220"/>
        <v>David Copple</v>
      </c>
      <c r="AE115" s="8" t="str">
        <f t="shared" si="220"/>
        <v>Lorenzo Balzarini (1), Sam Baranowski, Eddie Dale</v>
      </c>
      <c r="AF115" s="8" t="str">
        <f t="shared" si="220"/>
        <v>Justin Baranowski (1), Billy Camuso</v>
      </c>
      <c r="AG115" s="8" t="str">
        <f t="shared" si="220"/>
        <v/>
      </c>
      <c r="AH115" s="8" t="str">
        <f t="shared" si="220"/>
        <v/>
      </c>
      <c r="AI115" s="8" t="str">
        <f t="shared" si="220"/>
        <v/>
      </c>
      <c r="AJ115" s="8" t="str">
        <f t="shared" si="220"/>
        <v/>
      </c>
      <c r="AK115" s="8" t="str">
        <f t="shared" si="220"/>
        <v/>
      </c>
      <c r="AL115" s="8" t="str">
        <f t="shared" si="220"/>
        <v/>
      </c>
      <c r="AM115" s="8" t="str">
        <f t="shared" si="220"/>
        <v>Lorenzo Balzarini, Sam Baranowski, Andy Booth</v>
      </c>
      <c r="AN115" s="8" t="str">
        <f t="shared" si="220"/>
        <v>Justin Baranowski (2), Billy Camuso</v>
      </c>
      <c r="AO115" s="8" t="str">
        <f t="shared" si="220"/>
        <v/>
      </c>
      <c r="AP115" s="8" t="str">
        <f t="shared" si="220"/>
        <v>Andy Booth, David Copple</v>
      </c>
      <c r="AQ115" s="8" t="str">
        <f t="shared" si="220"/>
        <v>Lorenzo Balzarini, Sam Baranowski, Mike Barratt (1)</v>
      </c>
      <c r="AR115" s="8" t="str">
        <f t="shared" si="220"/>
        <v>Justin Baranowski (1)</v>
      </c>
      <c r="AS115" s="8" t="str">
        <f t="shared" si="220"/>
        <v/>
      </c>
      <c r="AT115" s="8" t="str">
        <f t="shared" si="220"/>
        <v>Andy Booth, David Copple</v>
      </c>
      <c r="AU115" s="8" t="str">
        <f t="shared" si="220"/>
        <v>Lorenzo Balzarini, Mike Barratt (1), Lewis Blackshaw</v>
      </c>
      <c r="AV115" s="8" t="str">
        <f t="shared" si="220"/>
        <v>Justin Baranowski</v>
      </c>
      <c r="AW115" s="8" t="str">
        <f t="shared" si="220"/>
        <v/>
      </c>
      <c r="AX115" s="8" t="str">
        <f t="shared" si="220"/>
        <v>David Copple</v>
      </c>
      <c r="AY115" s="8" t="str">
        <f t="shared" si="220"/>
        <v>Jordan Anning, Lorenzo Balzarini (2)</v>
      </c>
      <c r="AZ115" s="8" t="str">
        <f t="shared" si="220"/>
        <v/>
      </c>
      <c r="BA115" s="8" t="str">
        <f t="shared" si="220"/>
        <v/>
      </c>
      <c r="BB115" s="8" t="str">
        <f t="shared" si="220"/>
        <v>Andy Booth, David Copple</v>
      </c>
      <c r="BC115" s="8" t="str">
        <f t="shared" si="220"/>
        <v/>
      </c>
      <c r="BD115" s="8" t="str">
        <f t="shared" si="220"/>
        <v/>
      </c>
      <c r="BE115" s="8" t="str">
        <f t="shared" si="220"/>
        <v/>
      </c>
      <c r="BF115" s="8" t="str">
        <f t="shared" si="220"/>
        <v>Andy Booth, David Copple</v>
      </c>
      <c r="BG115" s="8" t="str">
        <f t="shared" si="220"/>
        <v>Lorenzo Balzarini (1), Mike Barratt (3)</v>
      </c>
      <c r="BH115" s="8" t="str">
        <f t="shared" si="220"/>
        <v>Justin Baranowski (2)</v>
      </c>
      <c r="BI115" s="8" t="str">
        <f t="shared" si="220"/>
        <v/>
      </c>
      <c r="BJ115" s="8" t="str">
        <f t="shared" si="220"/>
        <v>Andy Booth, David Copple</v>
      </c>
      <c r="BK115" s="8" t="str">
        <f t="shared" si="220"/>
        <v>Lorenzo Balzarini (1)</v>
      </c>
      <c r="BL115" s="8" t="str">
        <f t="shared" si="220"/>
        <v>Justin Baranowski, Billy Camuso (1)</v>
      </c>
      <c r="BM115" s="8" t="str">
        <f t="shared" ref="BM115:CF115" si="221">IF(BM74="",BM114,IF(BM114="",BM74,BM114&amp;", "&amp;BM74))</f>
        <v/>
      </c>
      <c r="BN115" s="8" t="str">
        <f t="shared" si="221"/>
        <v/>
      </c>
      <c r="BO115" s="8" t="str">
        <f t="shared" si="221"/>
        <v/>
      </c>
      <c r="BP115" s="8" t="str">
        <f t="shared" si="221"/>
        <v/>
      </c>
      <c r="BQ115" s="8" t="str">
        <f t="shared" si="221"/>
        <v/>
      </c>
      <c r="BR115" s="8" t="str">
        <f t="shared" si="221"/>
        <v>Andy Booth, David Copple</v>
      </c>
      <c r="BS115" s="8" t="str">
        <f t="shared" si="221"/>
        <v>Lorenzo Balzarini, Sam Baranowski</v>
      </c>
      <c r="BT115" s="8" t="str">
        <f t="shared" si="221"/>
        <v>Justin Baranowski, Billy Camuso (1)</v>
      </c>
      <c r="BU115" s="8" t="str">
        <f t="shared" si="221"/>
        <v/>
      </c>
      <c r="BV115" s="8" t="str">
        <f t="shared" si="221"/>
        <v/>
      </c>
      <c r="BW115" s="8" t="str">
        <f t="shared" si="221"/>
        <v/>
      </c>
      <c r="BX115" s="8" t="str">
        <f t="shared" si="221"/>
        <v/>
      </c>
      <c r="BY115" s="8" t="str">
        <f t="shared" si="221"/>
        <v/>
      </c>
      <c r="BZ115" s="8" t="str">
        <f t="shared" si="221"/>
        <v/>
      </c>
      <c r="CA115" s="8" t="str">
        <f t="shared" si="221"/>
        <v/>
      </c>
      <c r="CB115" s="8" t="str">
        <f t="shared" si="221"/>
        <v/>
      </c>
      <c r="CC115" s="8" t="str">
        <f t="shared" si="221"/>
        <v/>
      </c>
      <c r="CD115" s="8" t="str">
        <f t="shared" si="221"/>
        <v>David Copple</v>
      </c>
      <c r="CE115" s="8" t="str">
        <f t="shared" si="221"/>
        <v>Sam Baranowski, Mike Barratt</v>
      </c>
      <c r="CF115" s="8" t="str">
        <f t="shared" si="221"/>
        <v>Justin Baranowski (2)</v>
      </c>
      <c r="CG115" s="8" t="str">
        <f t="shared" ref="CG115:CJ115" si="222">IF(CG74="",CG114,IF(CG114="",CG74,CG114&amp;", "&amp;CG74))</f>
        <v/>
      </c>
      <c r="CH115" s="8" t="str">
        <f t="shared" si="222"/>
        <v>David Copple</v>
      </c>
      <c r="CI115" s="8" t="str">
        <f t="shared" si="222"/>
        <v>Lorenzo Balzarini, Sam Baranowski, Mike Barratt (1)</v>
      </c>
      <c r="CJ115" s="8" t="str">
        <f t="shared" si="222"/>
        <v>Dave Berman (1), Billy Camuso</v>
      </c>
    </row>
    <row r="116" spans="7:88">
      <c r="G116" s="8">
        <f t="shared" si="188"/>
        <v>15</v>
      </c>
      <c r="I116" s="8" t="str">
        <f t="shared" ref="I116:BL116" si="223">IF(I75="",I115,IF(I115="",I75,I115&amp;", "&amp;I75))</f>
        <v/>
      </c>
      <c r="J116" s="8" t="str">
        <f t="shared" si="223"/>
        <v>Andy Booth, David Copple</v>
      </c>
      <c r="K116" s="8" t="str">
        <f t="shared" si="223"/>
        <v>Sam Baranowski, Dave Berman (2)</v>
      </c>
      <c r="L116" s="8" t="str">
        <f t="shared" si="223"/>
        <v>Justin Baranowski (2), Billy Camuso</v>
      </c>
      <c r="M116" s="8" t="str">
        <f t="shared" si="223"/>
        <v/>
      </c>
      <c r="N116" s="8" t="str">
        <f t="shared" si="223"/>
        <v>Andy Booth, David Copple</v>
      </c>
      <c r="O116" s="8" t="str">
        <f t="shared" si="223"/>
        <v>Sam Baranowski, Mike Barratt (2), Dave Berman (1), Eddie Dale</v>
      </c>
      <c r="P116" s="8" t="str">
        <f t="shared" si="223"/>
        <v>Justin Baranowski (2), Billy Camuso</v>
      </c>
      <c r="Q116" s="30" t="str">
        <f t="shared" si="223"/>
        <v/>
      </c>
      <c r="R116" s="8" t="str">
        <f t="shared" si="223"/>
        <v>Andy Booth, David Copple</v>
      </c>
      <c r="S116" s="8" t="str">
        <f t="shared" si="223"/>
        <v>Sam Baranowski, Eddie Dale, Will Duval (1), Eugene Fung</v>
      </c>
      <c r="T116" s="8" t="str">
        <f t="shared" si="223"/>
        <v>Justin Baranowski, Billy Camuso</v>
      </c>
      <c r="U116" s="8" t="str">
        <f t="shared" si="223"/>
        <v>Lygon Bowen-west</v>
      </c>
      <c r="V116" s="8" t="str">
        <f t="shared" si="223"/>
        <v>Andy Booth, David Copple</v>
      </c>
      <c r="W116" s="8" t="str">
        <f t="shared" si="223"/>
        <v>Sam Baranowski, Eddie Dale</v>
      </c>
      <c r="X116" s="8" t="str">
        <f t="shared" si="223"/>
        <v>Justin Baranowski (1)</v>
      </c>
      <c r="Y116" s="8" t="str">
        <f t="shared" si="223"/>
        <v/>
      </c>
      <c r="Z116" s="8" t="str">
        <f t="shared" si="223"/>
        <v>Andy Booth</v>
      </c>
      <c r="AA116" s="8" t="str">
        <f t="shared" si="223"/>
        <v>Lorenzo Balzarini (2), Eddie Dale</v>
      </c>
      <c r="AB116" s="8" t="str">
        <f t="shared" si="223"/>
        <v>Justin Baranowski (1), Billy Camuso</v>
      </c>
      <c r="AC116" s="8" t="str">
        <f t="shared" si="223"/>
        <v/>
      </c>
      <c r="AD116" s="8" t="str">
        <f t="shared" si="223"/>
        <v>David Copple</v>
      </c>
      <c r="AE116" s="8" t="str">
        <f t="shared" si="223"/>
        <v>Lorenzo Balzarini (1), Sam Baranowski, Eddie Dale</v>
      </c>
      <c r="AF116" s="8" t="str">
        <f t="shared" si="223"/>
        <v>Justin Baranowski (1), Billy Camuso</v>
      </c>
      <c r="AG116" s="8" t="str">
        <f t="shared" si="223"/>
        <v/>
      </c>
      <c r="AH116" s="8" t="str">
        <f t="shared" si="223"/>
        <v/>
      </c>
      <c r="AI116" s="8" t="str">
        <f t="shared" si="223"/>
        <v/>
      </c>
      <c r="AJ116" s="8" t="str">
        <f t="shared" si="223"/>
        <v/>
      </c>
      <c r="AK116" s="8" t="str">
        <f t="shared" si="223"/>
        <v/>
      </c>
      <c r="AL116" s="8" t="str">
        <f t="shared" si="223"/>
        <v/>
      </c>
      <c r="AM116" s="8" t="str">
        <f t="shared" si="223"/>
        <v>Lorenzo Balzarini, Sam Baranowski, Andy Booth</v>
      </c>
      <c r="AN116" s="8" t="str">
        <f t="shared" si="223"/>
        <v>Justin Baranowski (2), Billy Camuso</v>
      </c>
      <c r="AO116" s="8" t="str">
        <f t="shared" si="223"/>
        <v/>
      </c>
      <c r="AP116" s="8" t="str">
        <f t="shared" si="223"/>
        <v>Andy Booth, David Copple</v>
      </c>
      <c r="AQ116" s="8" t="str">
        <f t="shared" si="223"/>
        <v>Lorenzo Balzarini, Sam Baranowski, Mike Barratt (1)</v>
      </c>
      <c r="AR116" s="8" t="str">
        <f t="shared" si="223"/>
        <v>Justin Baranowski (1)</v>
      </c>
      <c r="AS116" s="8" t="str">
        <f t="shared" si="223"/>
        <v/>
      </c>
      <c r="AT116" s="8" t="str">
        <f t="shared" si="223"/>
        <v>Andy Booth, David Copple</v>
      </c>
      <c r="AU116" s="8" t="str">
        <f t="shared" si="223"/>
        <v>Lorenzo Balzarini, Mike Barratt (1), Lewis Blackshaw</v>
      </c>
      <c r="AV116" s="8" t="str">
        <f t="shared" si="223"/>
        <v>Justin Baranowski</v>
      </c>
      <c r="AW116" s="8" t="str">
        <f t="shared" si="223"/>
        <v/>
      </c>
      <c r="AX116" s="8" t="str">
        <f t="shared" si="223"/>
        <v>David Copple, Sam Guest (1)</v>
      </c>
      <c r="AY116" s="8" t="str">
        <f t="shared" si="223"/>
        <v>Jordan Anning, Lorenzo Balzarini (2)</v>
      </c>
      <c r="AZ116" s="8" t="str">
        <f t="shared" si="223"/>
        <v/>
      </c>
      <c r="BA116" s="8" t="str">
        <f t="shared" si="223"/>
        <v/>
      </c>
      <c r="BB116" s="8" t="str">
        <f t="shared" si="223"/>
        <v>Andy Booth, David Copple</v>
      </c>
      <c r="BC116" s="8" t="str">
        <f t="shared" si="223"/>
        <v/>
      </c>
      <c r="BD116" s="8" t="str">
        <f t="shared" si="223"/>
        <v/>
      </c>
      <c r="BE116" s="8" t="str">
        <f t="shared" si="223"/>
        <v/>
      </c>
      <c r="BF116" s="8" t="str">
        <f t="shared" si="223"/>
        <v>Andy Booth, David Copple, Sam Guest</v>
      </c>
      <c r="BG116" s="8" t="str">
        <f t="shared" si="223"/>
        <v>Lorenzo Balzarini (1), Mike Barratt (3)</v>
      </c>
      <c r="BH116" s="8" t="str">
        <f t="shared" si="223"/>
        <v>Justin Baranowski (2)</v>
      </c>
      <c r="BI116" s="8" t="str">
        <f t="shared" si="223"/>
        <v/>
      </c>
      <c r="BJ116" s="8" t="str">
        <f t="shared" si="223"/>
        <v>Andy Booth, David Copple</v>
      </c>
      <c r="BK116" s="8" t="str">
        <f t="shared" si="223"/>
        <v>Lorenzo Balzarini (1)</v>
      </c>
      <c r="BL116" s="8" t="str">
        <f t="shared" si="223"/>
        <v>Justin Baranowski, Billy Camuso (1)</v>
      </c>
      <c r="BM116" s="8" t="str">
        <f t="shared" ref="BM116:CF116" si="224">IF(BM75="",BM115,IF(BM115="",BM75,BM115&amp;", "&amp;BM75))</f>
        <v/>
      </c>
      <c r="BN116" s="8" t="str">
        <f t="shared" si="224"/>
        <v/>
      </c>
      <c r="BO116" s="8" t="str">
        <f t="shared" si="224"/>
        <v/>
      </c>
      <c r="BP116" s="8" t="str">
        <f t="shared" si="224"/>
        <v/>
      </c>
      <c r="BQ116" s="8" t="str">
        <f t="shared" si="224"/>
        <v/>
      </c>
      <c r="BR116" s="8" t="str">
        <f t="shared" si="224"/>
        <v>Andy Booth, David Copple</v>
      </c>
      <c r="BS116" s="8" t="str">
        <f t="shared" si="224"/>
        <v>Lorenzo Balzarini, Sam Baranowski</v>
      </c>
      <c r="BT116" s="8" t="str">
        <f t="shared" si="224"/>
        <v>Justin Baranowski, Billy Camuso (1)</v>
      </c>
      <c r="BU116" s="8" t="str">
        <f t="shared" si="224"/>
        <v/>
      </c>
      <c r="BV116" s="8" t="str">
        <f t="shared" si="224"/>
        <v/>
      </c>
      <c r="BW116" s="8" t="str">
        <f t="shared" si="224"/>
        <v/>
      </c>
      <c r="BX116" s="8" t="str">
        <f t="shared" si="224"/>
        <v/>
      </c>
      <c r="BY116" s="8" t="str">
        <f t="shared" si="224"/>
        <v/>
      </c>
      <c r="BZ116" s="8" t="str">
        <f t="shared" si="224"/>
        <v/>
      </c>
      <c r="CA116" s="8" t="str">
        <f t="shared" si="224"/>
        <v/>
      </c>
      <c r="CB116" s="8" t="str">
        <f t="shared" si="224"/>
        <v/>
      </c>
      <c r="CC116" s="8" t="str">
        <f t="shared" si="224"/>
        <v/>
      </c>
      <c r="CD116" s="8" t="str">
        <f t="shared" si="224"/>
        <v>David Copple</v>
      </c>
      <c r="CE116" s="8" t="str">
        <f t="shared" si="224"/>
        <v>Sam Baranowski, Mike Barratt</v>
      </c>
      <c r="CF116" s="8" t="str">
        <f t="shared" si="224"/>
        <v>Justin Baranowski (2)</v>
      </c>
      <c r="CG116" s="8" t="str">
        <f t="shared" ref="CG116:CJ116" si="225">IF(CG75="",CG115,IF(CG115="",CG75,CG115&amp;", "&amp;CG75))</f>
        <v/>
      </c>
      <c r="CH116" s="8" t="str">
        <f t="shared" si="225"/>
        <v>David Copple, Sam Guest</v>
      </c>
      <c r="CI116" s="8" t="str">
        <f t="shared" si="225"/>
        <v>Lorenzo Balzarini, Sam Baranowski, Mike Barratt (1)</v>
      </c>
      <c r="CJ116" s="8" t="str">
        <f t="shared" si="225"/>
        <v>Dave Berman (1), Billy Camuso</v>
      </c>
    </row>
    <row r="117" spans="7:88">
      <c r="G117" s="8">
        <f t="shared" si="188"/>
        <v>16</v>
      </c>
      <c r="I117" s="8" t="str">
        <f t="shared" ref="I117:BL117" si="226">IF(I76="",I116,IF(I116="",I76,I116&amp;", "&amp;I76))</f>
        <v/>
      </c>
      <c r="J117" s="8" t="str">
        <f t="shared" si="226"/>
        <v>Andy Booth, David Copple</v>
      </c>
      <c r="K117" s="8" t="str">
        <f t="shared" si="226"/>
        <v>Sam Baranowski, Dave Berman (2)</v>
      </c>
      <c r="L117" s="8" t="str">
        <f t="shared" si="226"/>
        <v>Justin Baranowski (2), Billy Camuso</v>
      </c>
      <c r="M117" s="8" t="str">
        <f t="shared" si="226"/>
        <v/>
      </c>
      <c r="N117" s="8" t="str">
        <f t="shared" si="226"/>
        <v>Andy Booth, David Copple</v>
      </c>
      <c r="O117" s="8" t="str">
        <f t="shared" si="226"/>
        <v>Sam Baranowski, Mike Barratt (2), Dave Berman (1), Eddie Dale</v>
      </c>
      <c r="P117" s="8" t="str">
        <f t="shared" si="226"/>
        <v>Justin Baranowski (2), Billy Camuso</v>
      </c>
      <c r="Q117" s="30" t="str">
        <f t="shared" si="226"/>
        <v/>
      </c>
      <c r="R117" s="8" t="str">
        <f t="shared" si="226"/>
        <v>Andy Booth, David Copple</v>
      </c>
      <c r="S117" s="8" t="str">
        <f t="shared" si="226"/>
        <v>Sam Baranowski, Eddie Dale, Will Duval (1), Eugene Fung</v>
      </c>
      <c r="T117" s="8" t="str">
        <f t="shared" si="226"/>
        <v>Justin Baranowski, Billy Camuso</v>
      </c>
      <c r="U117" s="8" t="str">
        <f t="shared" si="226"/>
        <v>Lygon Bowen-west</v>
      </c>
      <c r="V117" s="8" t="str">
        <f t="shared" si="226"/>
        <v>Andy Booth, David Copple</v>
      </c>
      <c r="W117" s="8" t="str">
        <f t="shared" si="226"/>
        <v>Sam Baranowski, Eddie Dale</v>
      </c>
      <c r="X117" s="8" t="str">
        <f t="shared" si="226"/>
        <v>Justin Baranowski (1)</v>
      </c>
      <c r="Y117" s="8" t="str">
        <f t="shared" si="226"/>
        <v/>
      </c>
      <c r="Z117" s="8" t="str">
        <f t="shared" si="226"/>
        <v>Andy Booth</v>
      </c>
      <c r="AA117" s="8" t="str">
        <f t="shared" si="226"/>
        <v>Lorenzo Balzarini (2), Eddie Dale, Jacob Hall (1)</v>
      </c>
      <c r="AB117" s="8" t="str">
        <f t="shared" si="226"/>
        <v>Justin Baranowski (1), Billy Camuso</v>
      </c>
      <c r="AC117" s="8" t="str">
        <f t="shared" si="226"/>
        <v/>
      </c>
      <c r="AD117" s="8" t="str">
        <f t="shared" si="226"/>
        <v>David Copple</v>
      </c>
      <c r="AE117" s="8" t="str">
        <f t="shared" si="226"/>
        <v>Lorenzo Balzarini (1), Sam Baranowski, Eddie Dale</v>
      </c>
      <c r="AF117" s="8" t="str">
        <f t="shared" si="226"/>
        <v>Justin Baranowski (1), Billy Camuso</v>
      </c>
      <c r="AG117" s="8" t="str">
        <f t="shared" si="226"/>
        <v/>
      </c>
      <c r="AH117" s="8" t="str">
        <f t="shared" si="226"/>
        <v/>
      </c>
      <c r="AI117" s="8" t="str">
        <f t="shared" si="226"/>
        <v/>
      </c>
      <c r="AJ117" s="8" t="str">
        <f t="shared" si="226"/>
        <v/>
      </c>
      <c r="AK117" s="8" t="str">
        <f t="shared" si="226"/>
        <v/>
      </c>
      <c r="AL117" s="8" t="str">
        <f t="shared" si="226"/>
        <v/>
      </c>
      <c r="AM117" s="8" t="str">
        <f t="shared" si="226"/>
        <v>Lorenzo Balzarini, Sam Baranowski, Andy Booth, Jacob Hall</v>
      </c>
      <c r="AN117" s="8" t="str">
        <f t="shared" si="226"/>
        <v>Justin Baranowski (2), Billy Camuso</v>
      </c>
      <c r="AO117" s="8" t="str">
        <f t="shared" si="226"/>
        <v/>
      </c>
      <c r="AP117" s="8" t="str">
        <f t="shared" si="226"/>
        <v>Andy Booth, David Copple</v>
      </c>
      <c r="AQ117" s="8" t="str">
        <f t="shared" si="226"/>
        <v>Lorenzo Balzarini, Sam Baranowski, Mike Barratt (1)</v>
      </c>
      <c r="AR117" s="8" t="str">
        <f t="shared" si="226"/>
        <v>Justin Baranowski (1)</v>
      </c>
      <c r="AS117" s="8" t="str">
        <f t="shared" si="226"/>
        <v/>
      </c>
      <c r="AT117" s="8" t="str">
        <f t="shared" si="226"/>
        <v>Andy Booth, David Copple</v>
      </c>
      <c r="AU117" s="8" t="str">
        <f t="shared" si="226"/>
        <v>Lorenzo Balzarini, Mike Barratt (1), Lewis Blackshaw</v>
      </c>
      <c r="AV117" s="8" t="str">
        <f t="shared" si="226"/>
        <v>Justin Baranowski</v>
      </c>
      <c r="AW117" s="8" t="str">
        <f t="shared" si="226"/>
        <v/>
      </c>
      <c r="AX117" s="8" t="str">
        <f t="shared" si="226"/>
        <v>David Copple, Sam Guest (1)</v>
      </c>
      <c r="AY117" s="8" t="str">
        <f t="shared" si="226"/>
        <v>Jordan Anning, Lorenzo Balzarini (2), Jacob Hall</v>
      </c>
      <c r="AZ117" s="8" t="str">
        <f t="shared" si="226"/>
        <v/>
      </c>
      <c r="BA117" s="8" t="str">
        <f t="shared" si="226"/>
        <v/>
      </c>
      <c r="BB117" s="8" t="str">
        <f t="shared" si="226"/>
        <v>Andy Booth, David Copple</v>
      </c>
      <c r="BC117" s="8" t="str">
        <f t="shared" si="226"/>
        <v>Jacob Hall</v>
      </c>
      <c r="BD117" s="8" t="str">
        <f t="shared" si="226"/>
        <v/>
      </c>
      <c r="BE117" s="8" t="str">
        <f t="shared" si="226"/>
        <v/>
      </c>
      <c r="BF117" s="8" t="str">
        <f t="shared" si="226"/>
        <v>Andy Booth, David Copple, Sam Guest</v>
      </c>
      <c r="BG117" s="8" t="str">
        <f t="shared" si="226"/>
        <v>Lorenzo Balzarini (1), Mike Barratt (3), Jacob Hall</v>
      </c>
      <c r="BH117" s="8" t="str">
        <f t="shared" si="226"/>
        <v>Justin Baranowski (2)</v>
      </c>
      <c r="BI117" s="8" t="str">
        <f t="shared" si="226"/>
        <v/>
      </c>
      <c r="BJ117" s="8" t="str">
        <f t="shared" si="226"/>
        <v>Andy Booth, David Copple</v>
      </c>
      <c r="BK117" s="8" t="str">
        <f t="shared" si="226"/>
        <v>Lorenzo Balzarini (1)</v>
      </c>
      <c r="BL117" s="8" t="str">
        <f t="shared" si="226"/>
        <v>Justin Baranowski, Billy Camuso (1)</v>
      </c>
      <c r="BM117" s="8" t="str">
        <f t="shared" ref="BM117:CF117" si="227">IF(BM76="",BM116,IF(BM116="",BM76,BM116&amp;", "&amp;BM76))</f>
        <v/>
      </c>
      <c r="BN117" s="8" t="str">
        <f t="shared" si="227"/>
        <v/>
      </c>
      <c r="BO117" s="8" t="str">
        <f t="shared" si="227"/>
        <v/>
      </c>
      <c r="BP117" s="8" t="str">
        <f t="shared" si="227"/>
        <v/>
      </c>
      <c r="BQ117" s="8" t="str">
        <f t="shared" si="227"/>
        <v/>
      </c>
      <c r="BR117" s="8" t="str">
        <f t="shared" si="227"/>
        <v>Andy Booth, David Copple</v>
      </c>
      <c r="BS117" s="8" t="str">
        <f t="shared" si="227"/>
        <v>Lorenzo Balzarini, Sam Baranowski</v>
      </c>
      <c r="BT117" s="8" t="str">
        <f t="shared" si="227"/>
        <v>Justin Baranowski, Billy Camuso (1)</v>
      </c>
      <c r="BU117" s="8" t="str">
        <f t="shared" si="227"/>
        <v/>
      </c>
      <c r="BV117" s="8" t="str">
        <f t="shared" si="227"/>
        <v/>
      </c>
      <c r="BW117" s="8" t="str">
        <f t="shared" si="227"/>
        <v/>
      </c>
      <c r="BX117" s="8" t="str">
        <f t="shared" si="227"/>
        <v/>
      </c>
      <c r="BY117" s="8" t="str">
        <f t="shared" si="227"/>
        <v/>
      </c>
      <c r="BZ117" s="8" t="str">
        <f t="shared" si="227"/>
        <v/>
      </c>
      <c r="CA117" s="8" t="str">
        <f t="shared" si="227"/>
        <v/>
      </c>
      <c r="CB117" s="8" t="str">
        <f t="shared" si="227"/>
        <v/>
      </c>
      <c r="CC117" s="8" t="str">
        <f t="shared" si="227"/>
        <v/>
      </c>
      <c r="CD117" s="8" t="str">
        <f t="shared" si="227"/>
        <v>David Copple</v>
      </c>
      <c r="CE117" s="8" t="str">
        <f t="shared" si="227"/>
        <v>Sam Baranowski, Mike Barratt</v>
      </c>
      <c r="CF117" s="8" t="str">
        <f t="shared" si="227"/>
        <v>Justin Baranowski (2)</v>
      </c>
      <c r="CG117" s="8" t="str">
        <f t="shared" ref="CG117:CJ117" si="228">IF(CG76="",CG116,IF(CG116="",CG76,CG116&amp;", "&amp;CG76))</f>
        <v/>
      </c>
      <c r="CH117" s="8" t="str">
        <f t="shared" si="228"/>
        <v>David Copple, Sam Guest</v>
      </c>
      <c r="CI117" s="8" t="str">
        <f t="shared" si="228"/>
        <v>Lorenzo Balzarini, Sam Baranowski, Mike Barratt (1)</v>
      </c>
      <c r="CJ117" s="8" t="str">
        <f t="shared" si="228"/>
        <v>Dave Berman (1), Billy Camuso</v>
      </c>
    </row>
    <row r="118" spans="7:88">
      <c r="G118" s="8">
        <f t="shared" si="188"/>
        <v>17</v>
      </c>
      <c r="I118" s="8" t="str">
        <f t="shared" ref="I118:BL118" si="229">IF(I77="",I117,IF(I117="",I77,I117&amp;", "&amp;I77))</f>
        <v/>
      </c>
      <c r="J118" s="8" t="str">
        <f t="shared" si="229"/>
        <v>Andy Booth, David Copple</v>
      </c>
      <c r="K118" s="8" t="str">
        <f t="shared" si="229"/>
        <v>Sam Baranowski, Dave Berman (2)</v>
      </c>
      <c r="L118" s="8" t="str">
        <f t="shared" si="229"/>
        <v>Justin Baranowski (2), Billy Camuso</v>
      </c>
      <c r="M118" s="8" t="str">
        <f t="shared" si="229"/>
        <v/>
      </c>
      <c r="N118" s="8" t="str">
        <f t="shared" si="229"/>
        <v>Andy Booth, David Copple</v>
      </c>
      <c r="O118" s="8" t="str">
        <f t="shared" si="229"/>
        <v>Sam Baranowski, Mike Barratt (2), Dave Berman (1), Eddie Dale</v>
      </c>
      <c r="P118" s="8" t="str">
        <f t="shared" si="229"/>
        <v>Justin Baranowski (2), Billy Camuso</v>
      </c>
      <c r="Q118" s="30" t="str">
        <f t="shared" si="229"/>
        <v/>
      </c>
      <c r="R118" s="8" t="str">
        <f t="shared" si="229"/>
        <v>Andy Booth, David Copple</v>
      </c>
      <c r="S118" s="8" t="str">
        <f t="shared" si="229"/>
        <v>Sam Baranowski, Eddie Dale, Will Duval (1), Eugene Fung</v>
      </c>
      <c r="T118" s="8" t="str">
        <f t="shared" si="229"/>
        <v>Justin Baranowski, Billy Camuso</v>
      </c>
      <c r="U118" s="8" t="str">
        <f t="shared" si="229"/>
        <v>Lygon Bowen-west</v>
      </c>
      <c r="V118" s="8" t="str">
        <f t="shared" si="229"/>
        <v>Andy Booth, David Copple</v>
      </c>
      <c r="W118" s="8" t="str">
        <f t="shared" si="229"/>
        <v>Sam Baranowski, Eddie Dale</v>
      </c>
      <c r="X118" s="8" t="str">
        <f t="shared" si="229"/>
        <v>Justin Baranowski (1)</v>
      </c>
      <c r="Y118" s="8" t="str">
        <f t="shared" si="229"/>
        <v/>
      </c>
      <c r="Z118" s="8" t="str">
        <f t="shared" si="229"/>
        <v>Andy Booth</v>
      </c>
      <c r="AA118" s="8" t="str">
        <f t="shared" si="229"/>
        <v>Lorenzo Balzarini (2), Eddie Dale, Jacob Hall (1)</v>
      </c>
      <c r="AB118" s="8" t="str">
        <f t="shared" si="229"/>
        <v>Justin Baranowski (1), Billy Camuso</v>
      </c>
      <c r="AC118" s="8" t="str">
        <f t="shared" si="229"/>
        <v/>
      </c>
      <c r="AD118" s="8" t="str">
        <f t="shared" si="229"/>
        <v>David Copple</v>
      </c>
      <c r="AE118" s="8" t="str">
        <f t="shared" si="229"/>
        <v>Lorenzo Balzarini (1), Sam Baranowski, Eddie Dale</v>
      </c>
      <c r="AF118" s="8" t="str">
        <f t="shared" si="229"/>
        <v>Justin Baranowski (1), Billy Camuso</v>
      </c>
      <c r="AG118" s="8" t="str">
        <f t="shared" si="229"/>
        <v/>
      </c>
      <c r="AH118" s="8" t="str">
        <f t="shared" si="229"/>
        <v/>
      </c>
      <c r="AI118" s="8" t="str">
        <f t="shared" si="229"/>
        <v/>
      </c>
      <c r="AJ118" s="8" t="str">
        <f t="shared" si="229"/>
        <v/>
      </c>
      <c r="AK118" s="8" t="str">
        <f t="shared" si="229"/>
        <v/>
      </c>
      <c r="AL118" s="8" t="str">
        <f t="shared" si="229"/>
        <v/>
      </c>
      <c r="AM118" s="8" t="str">
        <f t="shared" si="229"/>
        <v>Lorenzo Balzarini, Sam Baranowski, Andy Booth, Jacob Hall</v>
      </c>
      <c r="AN118" s="8" t="str">
        <f t="shared" si="229"/>
        <v>Justin Baranowski (2), Billy Camuso</v>
      </c>
      <c r="AO118" s="8" t="str">
        <f t="shared" si="229"/>
        <v/>
      </c>
      <c r="AP118" s="8" t="str">
        <f t="shared" si="229"/>
        <v>Andy Booth, David Copple</v>
      </c>
      <c r="AQ118" s="8" t="str">
        <f t="shared" si="229"/>
        <v>Lorenzo Balzarini, Sam Baranowski, Mike Barratt (1)</v>
      </c>
      <c r="AR118" s="8" t="str">
        <f t="shared" si="229"/>
        <v>Justin Baranowski (1)</v>
      </c>
      <c r="AS118" s="8" t="str">
        <f t="shared" si="229"/>
        <v/>
      </c>
      <c r="AT118" s="8" t="str">
        <f t="shared" si="229"/>
        <v>Andy Booth, David Copple</v>
      </c>
      <c r="AU118" s="8" t="str">
        <f t="shared" si="229"/>
        <v>Lorenzo Balzarini, Mike Barratt (1), Lewis Blackshaw</v>
      </c>
      <c r="AV118" s="8" t="str">
        <f t="shared" si="229"/>
        <v>Justin Baranowski</v>
      </c>
      <c r="AW118" s="8" t="str">
        <f t="shared" si="229"/>
        <v/>
      </c>
      <c r="AX118" s="8" t="str">
        <f t="shared" si="229"/>
        <v>David Copple, Sam Guest (1)</v>
      </c>
      <c r="AY118" s="8" t="str">
        <f t="shared" si="229"/>
        <v>Jordan Anning, Lorenzo Balzarini (2), Jacob Hall</v>
      </c>
      <c r="AZ118" s="8" t="str">
        <f t="shared" si="229"/>
        <v/>
      </c>
      <c r="BA118" s="8" t="str">
        <f t="shared" si="229"/>
        <v/>
      </c>
      <c r="BB118" s="8" t="str">
        <f t="shared" si="229"/>
        <v>Andy Booth, David Copple</v>
      </c>
      <c r="BC118" s="8" t="str">
        <f t="shared" si="229"/>
        <v>Jacob Hall</v>
      </c>
      <c r="BD118" s="8" t="str">
        <f t="shared" si="229"/>
        <v/>
      </c>
      <c r="BE118" s="8" t="str">
        <f t="shared" si="229"/>
        <v/>
      </c>
      <c r="BF118" s="8" t="str">
        <f t="shared" si="229"/>
        <v>Andy Booth, David Copple, Sam Guest</v>
      </c>
      <c r="BG118" s="8" t="str">
        <f t="shared" si="229"/>
        <v>Lorenzo Balzarini (1), Mike Barratt (3), Jacob Hall</v>
      </c>
      <c r="BH118" s="8" t="str">
        <f t="shared" si="229"/>
        <v>Justin Baranowski (2)</v>
      </c>
      <c r="BI118" s="8" t="str">
        <f t="shared" si="229"/>
        <v/>
      </c>
      <c r="BJ118" s="8" t="str">
        <f t="shared" si="229"/>
        <v>Andy Booth, David Copple</v>
      </c>
      <c r="BK118" s="8" t="str">
        <f t="shared" si="229"/>
        <v>Lorenzo Balzarini (1)</v>
      </c>
      <c r="BL118" s="8" t="str">
        <f t="shared" si="229"/>
        <v>Justin Baranowski, Billy Camuso (1)</v>
      </c>
      <c r="BM118" s="8" t="str">
        <f t="shared" ref="BM118:CF118" si="230">IF(BM77="",BM117,IF(BM117="",BM77,BM117&amp;", "&amp;BM77))</f>
        <v/>
      </c>
      <c r="BN118" s="8" t="str">
        <f t="shared" si="230"/>
        <v/>
      </c>
      <c r="BO118" s="8" t="str">
        <f t="shared" si="230"/>
        <v/>
      </c>
      <c r="BP118" s="8" t="str">
        <f t="shared" si="230"/>
        <v/>
      </c>
      <c r="BQ118" s="8" t="str">
        <f t="shared" si="230"/>
        <v/>
      </c>
      <c r="BR118" s="8" t="str">
        <f t="shared" si="230"/>
        <v>Andy Booth, David Copple</v>
      </c>
      <c r="BS118" s="8" t="str">
        <f t="shared" si="230"/>
        <v>Lorenzo Balzarini, Sam Baranowski</v>
      </c>
      <c r="BT118" s="8" t="str">
        <f t="shared" si="230"/>
        <v>Justin Baranowski, Billy Camuso (1), Sam Hallows</v>
      </c>
      <c r="BU118" s="8" t="str">
        <f t="shared" si="230"/>
        <v/>
      </c>
      <c r="BV118" s="8" t="str">
        <f t="shared" si="230"/>
        <v/>
      </c>
      <c r="BW118" s="8" t="str">
        <f t="shared" si="230"/>
        <v/>
      </c>
      <c r="BX118" s="8" t="str">
        <f t="shared" si="230"/>
        <v/>
      </c>
      <c r="BY118" s="8" t="str">
        <f t="shared" si="230"/>
        <v/>
      </c>
      <c r="BZ118" s="8" t="str">
        <f t="shared" si="230"/>
        <v/>
      </c>
      <c r="CA118" s="8" t="str">
        <f t="shared" si="230"/>
        <v/>
      </c>
      <c r="CB118" s="8" t="str">
        <f t="shared" si="230"/>
        <v/>
      </c>
      <c r="CC118" s="8" t="str">
        <f t="shared" si="230"/>
        <v/>
      </c>
      <c r="CD118" s="8" t="str">
        <f t="shared" si="230"/>
        <v>David Copple</v>
      </c>
      <c r="CE118" s="8" t="str">
        <f t="shared" si="230"/>
        <v>Sam Baranowski, Mike Barratt</v>
      </c>
      <c r="CF118" s="8" t="str">
        <f t="shared" si="230"/>
        <v>Justin Baranowski (2), Sam Hallows</v>
      </c>
      <c r="CG118" s="8" t="str">
        <f t="shared" ref="CG118:CJ118" si="231">IF(CG77="",CG117,IF(CG117="",CG77,CG117&amp;", "&amp;CG77))</f>
        <v/>
      </c>
      <c r="CH118" s="8" t="str">
        <f t="shared" si="231"/>
        <v>David Copple, Sam Guest</v>
      </c>
      <c r="CI118" s="8" t="str">
        <f t="shared" si="231"/>
        <v>Lorenzo Balzarini, Sam Baranowski, Mike Barratt (1)</v>
      </c>
      <c r="CJ118" s="8" t="str">
        <f t="shared" si="231"/>
        <v>Dave Berman (1), Billy Camuso, Sam Hallows</v>
      </c>
    </row>
    <row r="119" spans="7:88">
      <c r="G119" s="8">
        <f t="shared" si="188"/>
        <v>18</v>
      </c>
      <c r="I119" s="8" t="str">
        <f t="shared" ref="I119:BL119" si="232">IF(I78="",I118,IF(I118="",I78,I118&amp;", "&amp;I78))</f>
        <v/>
      </c>
      <c r="J119" s="8" t="str">
        <f t="shared" si="232"/>
        <v>Andy Booth, David Copple</v>
      </c>
      <c r="K119" s="8" t="str">
        <f t="shared" si="232"/>
        <v>Sam Baranowski, Dave Berman (2)</v>
      </c>
      <c r="L119" s="8" t="str">
        <f t="shared" si="232"/>
        <v>Justin Baranowski (2), Billy Camuso</v>
      </c>
      <c r="M119" s="8" t="str">
        <f t="shared" si="232"/>
        <v/>
      </c>
      <c r="N119" s="8" t="str">
        <f t="shared" si="232"/>
        <v>Andy Booth, David Copple</v>
      </c>
      <c r="O119" s="8" t="str">
        <f t="shared" si="232"/>
        <v>Sam Baranowski, Mike Barratt (2), Dave Berman (1), Eddie Dale</v>
      </c>
      <c r="P119" s="8" t="str">
        <f t="shared" si="232"/>
        <v>Justin Baranowski (2), Billy Camuso</v>
      </c>
      <c r="Q119" s="30" t="str">
        <f t="shared" si="232"/>
        <v/>
      </c>
      <c r="R119" s="8" t="str">
        <f t="shared" si="232"/>
        <v>Andy Booth, David Copple</v>
      </c>
      <c r="S119" s="8" t="str">
        <f t="shared" si="232"/>
        <v>Sam Baranowski, Eddie Dale, Will Duval (1), Eugene Fung</v>
      </c>
      <c r="T119" s="8" t="str">
        <f t="shared" si="232"/>
        <v>Justin Baranowski, Billy Camuso</v>
      </c>
      <c r="U119" s="8" t="str">
        <f t="shared" si="232"/>
        <v>Lygon Bowen-west</v>
      </c>
      <c r="V119" s="8" t="str">
        <f t="shared" si="232"/>
        <v>Andy Booth, David Copple</v>
      </c>
      <c r="W119" s="8" t="str">
        <f t="shared" si="232"/>
        <v>Sam Baranowski, Eddie Dale</v>
      </c>
      <c r="X119" s="8" t="str">
        <f t="shared" si="232"/>
        <v>Justin Baranowski (1)</v>
      </c>
      <c r="Y119" s="8" t="str">
        <f t="shared" si="232"/>
        <v/>
      </c>
      <c r="Z119" s="8" t="str">
        <f t="shared" si="232"/>
        <v>Andy Booth</v>
      </c>
      <c r="AA119" s="8" t="str">
        <f t="shared" si="232"/>
        <v>Lorenzo Balzarini (2), Eddie Dale, Jacob Hall (1)</v>
      </c>
      <c r="AB119" s="8" t="str">
        <f t="shared" si="232"/>
        <v>Justin Baranowski (1), Billy Camuso</v>
      </c>
      <c r="AC119" s="8" t="str">
        <f t="shared" si="232"/>
        <v/>
      </c>
      <c r="AD119" s="8" t="str">
        <f t="shared" si="232"/>
        <v>David Copple</v>
      </c>
      <c r="AE119" s="8" t="str">
        <f t="shared" si="232"/>
        <v>Lorenzo Balzarini (1), Sam Baranowski, Eddie Dale</v>
      </c>
      <c r="AF119" s="8" t="str">
        <f t="shared" si="232"/>
        <v>Justin Baranowski (1), Billy Camuso</v>
      </c>
      <c r="AG119" s="8" t="str">
        <f t="shared" si="232"/>
        <v/>
      </c>
      <c r="AH119" s="8" t="str">
        <f t="shared" si="232"/>
        <v/>
      </c>
      <c r="AI119" s="8" t="str">
        <f t="shared" si="232"/>
        <v/>
      </c>
      <c r="AJ119" s="8" t="str">
        <f t="shared" si="232"/>
        <v/>
      </c>
      <c r="AK119" s="8" t="str">
        <f t="shared" si="232"/>
        <v/>
      </c>
      <c r="AL119" s="8" t="str">
        <f t="shared" si="232"/>
        <v/>
      </c>
      <c r="AM119" s="8" t="str">
        <f t="shared" si="232"/>
        <v>Lorenzo Balzarini, Sam Baranowski, Andy Booth, Jacob Hall</v>
      </c>
      <c r="AN119" s="8" t="str">
        <f t="shared" si="232"/>
        <v>Justin Baranowski (2), Billy Camuso</v>
      </c>
      <c r="AO119" s="8" t="str">
        <f t="shared" si="232"/>
        <v/>
      </c>
      <c r="AP119" s="8" t="str">
        <f t="shared" si="232"/>
        <v>Andy Booth, David Copple</v>
      </c>
      <c r="AQ119" s="8" t="str">
        <f t="shared" si="232"/>
        <v>Lorenzo Balzarini, Sam Baranowski, Mike Barratt (1)</v>
      </c>
      <c r="AR119" s="8" t="str">
        <f t="shared" si="232"/>
        <v>Justin Baranowski (1)</v>
      </c>
      <c r="AS119" s="8" t="str">
        <f t="shared" si="232"/>
        <v/>
      </c>
      <c r="AT119" s="8" t="str">
        <f t="shared" si="232"/>
        <v>Andy Booth, David Copple</v>
      </c>
      <c r="AU119" s="8" t="str">
        <f t="shared" si="232"/>
        <v>Lorenzo Balzarini, Mike Barratt (1), Lewis Blackshaw</v>
      </c>
      <c r="AV119" s="8" t="str">
        <f t="shared" si="232"/>
        <v>Justin Baranowski</v>
      </c>
      <c r="AW119" s="8" t="str">
        <f t="shared" si="232"/>
        <v/>
      </c>
      <c r="AX119" s="8" t="str">
        <f t="shared" si="232"/>
        <v>David Copple, Sam Guest (1)</v>
      </c>
      <c r="AY119" s="8" t="str">
        <f t="shared" si="232"/>
        <v>Jordan Anning, Lorenzo Balzarini (2), Jacob Hall</v>
      </c>
      <c r="AZ119" s="8" t="str">
        <f t="shared" si="232"/>
        <v/>
      </c>
      <c r="BA119" s="8" t="str">
        <f t="shared" si="232"/>
        <v/>
      </c>
      <c r="BB119" s="8" t="str">
        <f t="shared" si="232"/>
        <v>Andy Booth, David Copple</v>
      </c>
      <c r="BC119" s="8" t="str">
        <f t="shared" si="232"/>
        <v>Jacob Hall</v>
      </c>
      <c r="BD119" s="8" t="str">
        <f t="shared" si="232"/>
        <v/>
      </c>
      <c r="BE119" s="8" t="str">
        <f t="shared" si="232"/>
        <v/>
      </c>
      <c r="BF119" s="8" t="str">
        <f t="shared" si="232"/>
        <v>Andy Booth, David Copple, Sam Guest</v>
      </c>
      <c r="BG119" s="8" t="str">
        <f t="shared" si="232"/>
        <v>Lorenzo Balzarini (1), Mike Barratt (3), Jacob Hall</v>
      </c>
      <c r="BH119" s="8" t="str">
        <f t="shared" si="232"/>
        <v>Justin Baranowski (2)</v>
      </c>
      <c r="BI119" s="8" t="str">
        <f t="shared" si="232"/>
        <v/>
      </c>
      <c r="BJ119" s="8" t="str">
        <f t="shared" si="232"/>
        <v>Andy Booth, David Copple</v>
      </c>
      <c r="BK119" s="8" t="str">
        <f t="shared" si="232"/>
        <v>Lorenzo Balzarini (1)</v>
      </c>
      <c r="BL119" s="8" t="str">
        <f t="shared" si="232"/>
        <v>Justin Baranowski, Billy Camuso (1)</v>
      </c>
      <c r="BM119" s="8" t="str">
        <f t="shared" ref="BM119:CF119" si="233">IF(BM78="",BM118,IF(BM118="",BM78,BM118&amp;", "&amp;BM78))</f>
        <v/>
      </c>
      <c r="BN119" s="8" t="str">
        <f t="shared" si="233"/>
        <v/>
      </c>
      <c r="BO119" s="8" t="str">
        <f t="shared" si="233"/>
        <v/>
      </c>
      <c r="BP119" s="8" t="str">
        <f t="shared" si="233"/>
        <v/>
      </c>
      <c r="BQ119" s="8" t="str">
        <f t="shared" si="233"/>
        <v/>
      </c>
      <c r="BR119" s="8" t="str">
        <f t="shared" si="233"/>
        <v>Andy Booth, David Copple</v>
      </c>
      <c r="BS119" s="8" t="str">
        <f t="shared" si="233"/>
        <v>Lorenzo Balzarini, Sam Baranowski</v>
      </c>
      <c r="BT119" s="8" t="str">
        <f t="shared" si="233"/>
        <v>Justin Baranowski, Billy Camuso (1), Sam Hallows</v>
      </c>
      <c r="BU119" s="8" t="str">
        <f t="shared" si="233"/>
        <v/>
      </c>
      <c r="BV119" s="8" t="str">
        <f t="shared" si="233"/>
        <v/>
      </c>
      <c r="BW119" s="8" t="str">
        <f t="shared" si="233"/>
        <v/>
      </c>
      <c r="BX119" s="8" t="str">
        <f t="shared" si="233"/>
        <v/>
      </c>
      <c r="BY119" s="8" t="str">
        <f t="shared" si="233"/>
        <v/>
      </c>
      <c r="BZ119" s="8" t="str">
        <f t="shared" si="233"/>
        <v/>
      </c>
      <c r="CA119" s="8" t="str">
        <f t="shared" si="233"/>
        <v/>
      </c>
      <c r="CB119" s="8" t="str">
        <f t="shared" si="233"/>
        <v/>
      </c>
      <c r="CC119" s="8" t="str">
        <f t="shared" si="233"/>
        <v/>
      </c>
      <c r="CD119" s="8" t="str">
        <f t="shared" si="233"/>
        <v>David Copple</v>
      </c>
      <c r="CE119" s="8" t="str">
        <f t="shared" si="233"/>
        <v>Sam Baranowski, Mike Barratt</v>
      </c>
      <c r="CF119" s="8" t="str">
        <f t="shared" si="233"/>
        <v>Justin Baranowski (2), Sam Hallows</v>
      </c>
      <c r="CG119" s="8" t="str">
        <f t="shared" ref="CG119:CJ119" si="234">IF(CG78="",CG118,IF(CG118="",CG78,CG118&amp;", "&amp;CG78))</f>
        <v/>
      </c>
      <c r="CH119" s="8" t="str">
        <f t="shared" si="234"/>
        <v>David Copple, Sam Guest</v>
      </c>
      <c r="CI119" s="8" t="str">
        <f t="shared" si="234"/>
        <v>Lorenzo Balzarini, Sam Baranowski, Mike Barratt (1), David Hudson</v>
      </c>
      <c r="CJ119" s="8" t="str">
        <f t="shared" si="234"/>
        <v>Dave Berman (1), Billy Camuso, Sam Hallows</v>
      </c>
    </row>
    <row r="120" spans="7:88">
      <c r="G120" s="8">
        <f t="shared" si="188"/>
        <v>19</v>
      </c>
      <c r="I120" s="8" t="str">
        <f t="shared" ref="I120:BL120" si="235">IF(I79="",I119,IF(I119="",I79,I119&amp;", "&amp;I79))</f>
        <v/>
      </c>
      <c r="J120" s="8" t="str">
        <f t="shared" si="235"/>
        <v>Andy Booth, David Copple</v>
      </c>
      <c r="K120" s="8" t="str">
        <f t="shared" si="235"/>
        <v>Sam Baranowski, Dave Berman (2)</v>
      </c>
      <c r="L120" s="8" t="str">
        <f t="shared" si="235"/>
        <v>Justin Baranowski (2), Billy Camuso</v>
      </c>
      <c r="M120" s="8" t="str">
        <f t="shared" si="235"/>
        <v/>
      </c>
      <c r="N120" s="8" t="str">
        <f t="shared" si="235"/>
        <v>Andy Booth, David Copple</v>
      </c>
      <c r="O120" s="8" t="str">
        <f t="shared" si="235"/>
        <v>Sam Baranowski, Mike Barratt (2), Dave Berman (1), Eddie Dale, Ben Iremonger (2)</v>
      </c>
      <c r="P120" s="8" t="str">
        <f t="shared" si="235"/>
        <v>Justin Baranowski (2), Billy Camuso</v>
      </c>
      <c r="Q120" s="30" t="str">
        <f t="shared" si="235"/>
        <v/>
      </c>
      <c r="R120" s="8" t="str">
        <f t="shared" si="235"/>
        <v>Andy Booth, David Copple</v>
      </c>
      <c r="S120" s="8" t="str">
        <f t="shared" si="235"/>
        <v>Sam Baranowski, Eddie Dale, Will Duval (1), Eugene Fung, Ben Iremonger</v>
      </c>
      <c r="T120" s="8" t="str">
        <f t="shared" si="235"/>
        <v>Justin Baranowski, Billy Camuso</v>
      </c>
      <c r="U120" s="8" t="str">
        <f t="shared" si="235"/>
        <v>Lygon Bowen-west</v>
      </c>
      <c r="V120" s="8" t="str">
        <f t="shared" si="235"/>
        <v>Andy Booth, David Copple</v>
      </c>
      <c r="W120" s="8" t="str">
        <f t="shared" si="235"/>
        <v>Sam Baranowski, Eddie Dale, Ben Iremonger (1)</v>
      </c>
      <c r="X120" s="8" t="str">
        <f t="shared" si="235"/>
        <v>Justin Baranowski (1)</v>
      </c>
      <c r="Y120" s="8" t="str">
        <f t="shared" si="235"/>
        <v/>
      </c>
      <c r="Z120" s="8" t="str">
        <f t="shared" si="235"/>
        <v>Andy Booth</v>
      </c>
      <c r="AA120" s="8" t="str">
        <f t="shared" si="235"/>
        <v>Lorenzo Balzarini (2), Eddie Dale, Jacob Hall (1), Ben Iremonger</v>
      </c>
      <c r="AB120" s="8" t="str">
        <f t="shared" si="235"/>
        <v>Justin Baranowski (1), Billy Camuso</v>
      </c>
      <c r="AC120" s="8" t="str">
        <f t="shared" si="235"/>
        <v/>
      </c>
      <c r="AD120" s="8" t="str">
        <f t="shared" si="235"/>
        <v>David Copple</v>
      </c>
      <c r="AE120" s="8" t="str">
        <f t="shared" si="235"/>
        <v>Lorenzo Balzarini (1), Sam Baranowski, Eddie Dale</v>
      </c>
      <c r="AF120" s="8" t="str">
        <f t="shared" si="235"/>
        <v>Justin Baranowski (1), Billy Camuso</v>
      </c>
      <c r="AG120" s="8" t="str">
        <f t="shared" si="235"/>
        <v/>
      </c>
      <c r="AH120" s="8" t="str">
        <f t="shared" si="235"/>
        <v/>
      </c>
      <c r="AI120" s="8" t="str">
        <f t="shared" si="235"/>
        <v/>
      </c>
      <c r="AJ120" s="8" t="str">
        <f t="shared" si="235"/>
        <v/>
      </c>
      <c r="AK120" s="8" t="str">
        <f t="shared" si="235"/>
        <v/>
      </c>
      <c r="AL120" s="8" t="str">
        <f t="shared" si="235"/>
        <v/>
      </c>
      <c r="AM120" s="8" t="str">
        <f t="shared" si="235"/>
        <v>Lorenzo Balzarini, Sam Baranowski, Andy Booth, Jacob Hall</v>
      </c>
      <c r="AN120" s="8" t="str">
        <f t="shared" si="235"/>
        <v>Justin Baranowski (2), Billy Camuso</v>
      </c>
      <c r="AO120" s="8" t="str">
        <f t="shared" si="235"/>
        <v/>
      </c>
      <c r="AP120" s="8" t="str">
        <f t="shared" si="235"/>
        <v>Andy Booth, David Copple</v>
      </c>
      <c r="AQ120" s="8" t="str">
        <f t="shared" si="235"/>
        <v>Lorenzo Balzarini, Sam Baranowski, Mike Barratt (1)</v>
      </c>
      <c r="AR120" s="8" t="str">
        <f t="shared" si="235"/>
        <v>Justin Baranowski (1)</v>
      </c>
      <c r="AS120" s="8" t="str">
        <f t="shared" si="235"/>
        <v/>
      </c>
      <c r="AT120" s="8" t="str">
        <f t="shared" si="235"/>
        <v>Andy Booth, David Copple</v>
      </c>
      <c r="AU120" s="8" t="str">
        <f t="shared" si="235"/>
        <v>Lorenzo Balzarini, Mike Barratt (1), Lewis Blackshaw, Ben Iremonger</v>
      </c>
      <c r="AV120" s="8" t="str">
        <f t="shared" si="235"/>
        <v>Justin Baranowski</v>
      </c>
      <c r="AW120" s="8" t="str">
        <f t="shared" si="235"/>
        <v/>
      </c>
      <c r="AX120" s="8" t="str">
        <f t="shared" si="235"/>
        <v>David Copple, Sam Guest (1)</v>
      </c>
      <c r="AY120" s="8" t="str">
        <f t="shared" si="235"/>
        <v>Jordan Anning, Lorenzo Balzarini (2), Jacob Hall</v>
      </c>
      <c r="AZ120" s="8" t="str">
        <f t="shared" si="235"/>
        <v/>
      </c>
      <c r="BA120" s="8" t="str">
        <f t="shared" si="235"/>
        <v/>
      </c>
      <c r="BB120" s="8" t="str">
        <f t="shared" si="235"/>
        <v>Andy Booth, David Copple</v>
      </c>
      <c r="BC120" s="8" t="str">
        <f t="shared" si="235"/>
        <v>Jacob Hall, Ben Iremonger (4)</v>
      </c>
      <c r="BD120" s="8" t="str">
        <f t="shared" si="235"/>
        <v/>
      </c>
      <c r="BE120" s="8" t="str">
        <f t="shared" si="235"/>
        <v/>
      </c>
      <c r="BF120" s="8" t="str">
        <f t="shared" si="235"/>
        <v>Andy Booth, David Copple, Sam Guest</v>
      </c>
      <c r="BG120" s="8" t="str">
        <f t="shared" si="235"/>
        <v>Lorenzo Balzarini (1), Mike Barratt (3), Jacob Hall, Ben Iremonger (1)</v>
      </c>
      <c r="BH120" s="8" t="str">
        <f t="shared" si="235"/>
        <v>Justin Baranowski (2)</v>
      </c>
      <c r="BI120" s="8" t="str">
        <f t="shared" si="235"/>
        <v/>
      </c>
      <c r="BJ120" s="8" t="str">
        <f t="shared" si="235"/>
        <v>Andy Booth, David Copple</v>
      </c>
      <c r="BK120" s="8" t="str">
        <f t="shared" si="235"/>
        <v>Lorenzo Balzarini (1)</v>
      </c>
      <c r="BL120" s="8" t="str">
        <f t="shared" si="235"/>
        <v>Justin Baranowski, Billy Camuso (1)</v>
      </c>
      <c r="BM120" s="8" t="str">
        <f t="shared" ref="BM120:CF120" si="236">IF(BM79="",BM119,IF(BM119="",BM79,BM119&amp;", "&amp;BM79))</f>
        <v/>
      </c>
      <c r="BN120" s="8" t="str">
        <f t="shared" si="236"/>
        <v/>
      </c>
      <c r="BO120" s="8" t="str">
        <f t="shared" si="236"/>
        <v/>
      </c>
      <c r="BP120" s="8" t="str">
        <f t="shared" si="236"/>
        <v/>
      </c>
      <c r="BQ120" s="8" t="str">
        <f t="shared" si="236"/>
        <v/>
      </c>
      <c r="BR120" s="8" t="str">
        <f t="shared" si="236"/>
        <v>Andy Booth, David Copple</v>
      </c>
      <c r="BS120" s="8" t="str">
        <f t="shared" si="236"/>
        <v>Lorenzo Balzarini, Sam Baranowski</v>
      </c>
      <c r="BT120" s="8" t="str">
        <f t="shared" si="236"/>
        <v>Justin Baranowski, Billy Camuso (1), Sam Hallows</v>
      </c>
      <c r="BU120" s="8" t="str">
        <f t="shared" si="236"/>
        <v/>
      </c>
      <c r="BV120" s="8" t="str">
        <f t="shared" si="236"/>
        <v/>
      </c>
      <c r="BW120" s="8" t="str">
        <f t="shared" si="236"/>
        <v/>
      </c>
      <c r="BX120" s="8" t="str">
        <f t="shared" si="236"/>
        <v/>
      </c>
      <c r="BY120" s="8" t="str">
        <f t="shared" si="236"/>
        <v/>
      </c>
      <c r="BZ120" s="8" t="str">
        <f t="shared" si="236"/>
        <v/>
      </c>
      <c r="CA120" s="8" t="str">
        <f t="shared" si="236"/>
        <v/>
      </c>
      <c r="CB120" s="8" t="str">
        <f t="shared" si="236"/>
        <v/>
      </c>
      <c r="CC120" s="8" t="str">
        <f t="shared" si="236"/>
        <v/>
      </c>
      <c r="CD120" s="8" t="str">
        <f t="shared" si="236"/>
        <v>David Copple</v>
      </c>
      <c r="CE120" s="8" t="str">
        <f t="shared" si="236"/>
        <v>Sam Baranowski, Mike Barratt</v>
      </c>
      <c r="CF120" s="8" t="str">
        <f t="shared" si="236"/>
        <v>Justin Baranowski (2), Sam Hallows</v>
      </c>
      <c r="CG120" s="8" t="str">
        <f t="shared" ref="CG120:CJ120" si="237">IF(CG79="",CG119,IF(CG119="",CG79,CG119&amp;", "&amp;CG79))</f>
        <v/>
      </c>
      <c r="CH120" s="8" t="str">
        <f t="shared" si="237"/>
        <v>David Copple, Sam Guest</v>
      </c>
      <c r="CI120" s="8" t="str">
        <f t="shared" si="237"/>
        <v>Lorenzo Balzarini, Sam Baranowski, Mike Barratt (1), David Hudson</v>
      </c>
      <c r="CJ120" s="8" t="str">
        <f t="shared" si="237"/>
        <v>Dave Berman (1), Billy Camuso, Sam Hallows</v>
      </c>
    </row>
    <row r="121" spans="7:88">
      <c r="G121" s="8">
        <f t="shared" si="188"/>
        <v>20</v>
      </c>
      <c r="I121" s="8" t="str">
        <f t="shared" ref="I121:BL121" si="238">IF(I80="",I120,IF(I120="",I80,I120&amp;", "&amp;I80))</f>
        <v/>
      </c>
      <c r="J121" s="8" t="str">
        <f t="shared" si="238"/>
        <v>Andy Booth, David Copple</v>
      </c>
      <c r="K121" s="8" t="str">
        <f t="shared" si="238"/>
        <v>Sam Baranowski, Dave Berman (2)</v>
      </c>
      <c r="L121" s="8" t="str">
        <f t="shared" si="238"/>
        <v>Justin Baranowski (2), Billy Camuso, Luke Johnstone (1)</v>
      </c>
      <c r="M121" s="8" t="str">
        <f t="shared" si="238"/>
        <v/>
      </c>
      <c r="N121" s="8" t="str">
        <f t="shared" si="238"/>
        <v>Andy Booth, David Copple</v>
      </c>
      <c r="O121" s="8" t="str">
        <f t="shared" si="238"/>
        <v>Sam Baranowski, Mike Barratt (2), Dave Berman (1), Eddie Dale, Ben Iremonger (2)</v>
      </c>
      <c r="P121" s="8" t="str">
        <f t="shared" si="238"/>
        <v>Justin Baranowski (2), Billy Camuso</v>
      </c>
      <c r="Q121" s="30" t="str">
        <f t="shared" si="238"/>
        <v/>
      </c>
      <c r="R121" s="8" t="str">
        <f t="shared" si="238"/>
        <v>Andy Booth, David Copple</v>
      </c>
      <c r="S121" s="8" t="str">
        <f t="shared" si="238"/>
        <v>Sam Baranowski, Eddie Dale, Will Duval (1), Eugene Fung, Ben Iremonger</v>
      </c>
      <c r="T121" s="8" t="str">
        <f t="shared" si="238"/>
        <v>Justin Baranowski, Billy Camuso</v>
      </c>
      <c r="U121" s="8" t="str">
        <f t="shared" si="238"/>
        <v>Lygon Bowen-west</v>
      </c>
      <c r="V121" s="8" t="str">
        <f t="shared" si="238"/>
        <v>Andy Booth, David Copple</v>
      </c>
      <c r="W121" s="8" t="str">
        <f t="shared" si="238"/>
        <v>Sam Baranowski, Eddie Dale, Ben Iremonger (1)</v>
      </c>
      <c r="X121" s="8" t="str">
        <f t="shared" si="238"/>
        <v>Justin Baranowski (1), Luke Johnstone (2)</v>
      </c>
      <c r="Y121" s="8" t="str">
        <f t="shared" si="238"/>
        <v/>
      </c>
      <c r="Z121" s="8" t="str">
        <f t="shared" si="238"/>
        <v>Andy Booth</v>
      </c>
      <c r="AA121" s="8" t="str">
        <f t="shared" si="238"/>
        <v>Lorenzo Balzarini (2), Eddie Dale, Jacob Hall (1), Ben Iremonger</v>
      </c>
      <c r="AB121" s="8" t="str">
        <f t="shared" si="238"/>
        <v>Justin Baranowski (1), Billy Camuso</v>
      </c>
      <c r="AC121" s="8" t="str">
        <f t="shared" si="238"/>
        <v/>
      </c>
      <c r="AD121" s="8" t="str">
        <f t="shared" si="238"/>
        <v>David Copple</v>
      </c>
      <c r="AE121" s="8" t="str">
        <f t="shared" si="238"/>
        <v>Lorenzo Balzarini (1), Sam Baranowski, Eddie Dale</v>
      </c>
      <c r="AF121" s="8" t="str">
        <f t="shared" si="238"/>
        <v>Justin Baranowski (1), Billy Camuso</v>
      </c>
      <c r="AG121" s="8" t="str">
        <f t="shared" si="238"/>
        <v/>
      </c>
      <c r="AH121" s="8" t="str">
        <f t="shared" si="238"/>
        <v/>
      </c>
      <c r="AI121" s="8" t="str">
        <f t="shared" si="238"/>
        <v/>
      </c>
      <c r="AJ121" s="8" t="str">
        <f t="shared" si="238"/>
        <v/>
      </c>
      <c r="AK121" s="8" t="str">
        <f t="shared" si="238"/>
        <v/>
      </c>
      <c r="AL121" s="8" t="str">
        <f t="shared" si="238"/>
        <v/>
      </c>
      <c r="AM121" s="8" t="str">
        <f t="shared" si="238"/>
        <v>Lorenzo Balzarini, Sam Baranowski, Andy Booth, Jacob Hall</v>
      </c>
      <c r="AN121" s="8" t="str">
        <f t="shared" si="238"/>
        <v>Justin Baranowski (2), Billy Camuso</v>
      </c>
      <c r="AO121" s="8" t="str">
        <f t="shared" si="238"/>
        <v/>
      </c>
      <c r="AP121" s="8" t="str">
        <f t="shared" si="238"/>
        <v>Andy Booth, David Copple</v>
      </c>
      <c r="AQ121" s="8" t="str">
        <f t="shared" si="238"/>
        <v>Lorenzo Balzarini, Sam Baranowski, Mike Barratt (1)</v>
      </c>
      <c r="AR121" s="8" t="str">
        <f t="shared" si="238"/>
        <v>Justin Baranowski (1)</v>
      </c>
      <c r="AS121" s="8" t="str">
        <f t="shared" si="238"/>
        <v/>
      </c>
      <c r="AT121" s="8" t="str">
        <f t="shared" si="238"/>
        <v>Andy Booth, David Copple</v>
      </c>
      <c r="AU121" s="8" t="str">
        <f t="shared" si="238"/>
        <v>Lorenzo Balzarini, Mike Barratt (1), Lewis Blackshaw, Ben Iremonger</v>
      </c>
      <c r="AV121" s="8" t="str">
        <f t="shared" si="238"/>
        <v>Justin Baranowski</v>
      </c>
      <c r="AW121" s="8" t="str">
        <f t="shared" si="238"/>
        <v/>
      </c>
      <c r="AX121" s="8" t="str">
        <f t="shared" si="238"/>
        <v>David Copple, Sam Guest (1)</v>
      </c>
      <c r="AY121" s="8" t="str">
        <f t="shared" si="238"/>
        <v>Jordan Anning, Lorenzo Balzarini (2), Jacob Hall</v>
      </c>
      <c r="AZ121" s="8" t="str">
        <f t="shared" si="238"/>
        <v/>
      </c>
      <c r="BA121" s="8" t="str">
        <f t="shared" si="238"/>
        <v/>
      </c>
      <c r="BB121" s="8" t="str">
        <f t="shared" si="238"/>
        <v>Andy Booth, David Copple</v>
      </c>
      <c r="BC121" s="8" t="str">
        <f t="shared" si="238"/>
        <v>Jacob Hall, Ben Iremonger (4)</v>
      </c>
      <c r="BD121" s="8" t="str">
        <f t="shared" si="238"/>
        <v/>
      </c>
      <c r="BE121" s="8" t="str">
        <f t="shared" si="238"/>
        <v/>
      </c>
      <c r="BF121" s="8" t="str">
        <f t="shared" si="238"/>
        <v>Andy Booth, David Copple, Sam Guest</v>
      </c>
      <c r="BG121" s="8" t="str">
        <f t="shared" si="238"/>
        <v>Lorenzo Balzarini (1), Mike Barratt (3), Jacob Hall, Ben Iremonger (1)</v>
      </c>
      <c r="BH121" s="8" t="str">
        <f t="shared" si="238"/>
        <v>Justin Baranowski (2)</v>
      </c>
      <c r="BI121" s="8" t="str">
        <f t="shared" si="238"/>
        <v/>
      </c>
      <c r="BJ121" s="8" t="str">
        <f t="shared" si="238"/>
        <v>Andy Booth, David Copple</v>
      </c>
      <c r="BK121" s="8" t="str">
        <f t="shared" si="238"/>
        <v>Lorenzo Balzarini (1)</v>
      </c>
      <c r="BL121" s="8" t="str">
        <f t="shared" si="238"/>
        <v>Justin Baranowski, Billy Camuso (1)</v>
      </c>
      <c r="BM121" s="8" t="str">
        <f t="shared" ref="BM121:CF121" si="239">IF(BM80="",BM120,IF(BM120="",BM80,BM120&amp;", "&amp;BM80))</f>
        <v/>
      </c>
      <c r="BN121" s="8" t="str">
        <f t="shared" si="239"/>
        <v/>
      </c>
      <c r="BO121" s="8" t="str">
        <f t="shared" si="239"/>
        <v/>
      </c>
      <c r="BP121" s="8" t="str">
        <f t="shared" si="239"/>
        <v/>
      </c>
      <c r="BQ121" s="8" t="str">
        <f t="shared" si="239"/>
        <v/>
      </c>
      <c r="BR121" s="8" t="str">
        <f t="shared" si="239"/>
        <v>Andy Booth, David Copple</v>
      </c>
      <c r="BS121" s="8" t="str">
        <f t="shared" si="239"/>
        <v>Lorenzo Balzarini, Sam Baranowski</v>
      </c>
      <c r="BT121" s="8" t="str">
        <f t="shared" si="239"/>
        <v>Justin Baranowski, Billy Camuso (1), Sam Hallows</v>
      </c>
      <c r="BU121" s="8" t="str">
        <f t="shared" si="239"/>
        <v/>
      </c>
      <c r="BV121" s="8" t="str">
        <f t="shared" si="239"/>
        <v/>
      </c>
      <c r="BW121" s="8" t="str">
        <f t="shared" si="239"/>
        <v/>
      </c>
      <c r="BX121" s="8" t="str">
        <f t="shared" si="239"/>
        <v/>
      </c>
      <c r="BY121" s="8" t="str">
        <f t="shared" si="239"/>
        <v/>
      </c>
      <c r="BZ121" s="8" t="str">
        <f t="shared" si="239"/>
        <v/>
      </c>
      <c r="CA121" s="8" t="str">
        <f t="shared" si="239"/>
        <v/>
      </c>
      <c r="CB121" s="8" t="str">
        <f t="shared" si="239"/>
        <v/>
      </c>
      <c r="CC121" s="8" t="str">
        <f t="shared" si="239"/>
        <v/>
      </c>
      <c r="CD121" s="8" t="str">
        <f t="shared" si="239"/>
        <v>David Copple</v>
      </c>
      <c r="CE121" s="8" t="str">
        <f t="shared" si="239"/>
        <v>Sam Baranowski, Mike Barratt</v>
      </c>
      <c r="CF121" s="8" t="str">
        <f t="shared" si="239"/>
        <v>Justin Baranowski (2), Sam Hallows</v>
      </c>
      <c r="CG121" s="8" t="str">
        <f t="shared" ref="CG121:CJ121" si="240">IF(CG80="",CG120,IF(CG120="",CG80,CG120&amp;", "&amp;CG80))</f>
        <v/>
      </c>
      <c r="CH121" s="8" t="str">
        <f t="shared" si="240"/>
        <v>David Copple, Sam Guest</v>
      </c>
      <c r="CI121" s="8" t="str">
        <f t="shared" si="240"/>
        <v>Lorenzo Balzarini, Sam Baranowski, Mike Barratt (1), David Hudson</v>
      </c>
      <c r="CJ121" s="8" t="str">
        <f t="shared" si="240"/>
        <v>Dave Berman (1), Billy Camuso, Sam Hallows, Luke Johnstone</v>
      </c>
    </row>
    <row r="122" spans="7:88">
      <c r="G122" s="8">
        <f t="shared" si="188"/>
        <v>21</v>
      </c>
      <c r="I122" s="8" t="str">
        <f t="shared" ref="I122:BL122" si="241">IF(I81="",I121,IF(I121="",I81,I121&amp;", "&amp;I81))</f>
        <v/>
      </c>
      <c r="J122" s="8" t="str">
        <f t="shared" si="241"/>
        <v>Andy Booth, David Copple</v>
      </c>
      <c r="K122" s="8" t="str">
        <f t="shared" si="241"/>
        <v>Sam Baranowski, Dave Berman (2), Myles Johnstone (1)</v>
      </c>
      <c r="L122" s="8" t="str">
        <f t="shared" si="241"/>
        <v>Justin Baranowski (2), Billy Camuso, Luke Johnstone (1)</v>
      </c>
      <c r="M122" s="8" t="str">
        <f t="shared" si="241"/>
        <v/>
      </c>
      <c r="N122" s="8" t="str">
        <f t="shared" si="241"/>
        <v>Andy Booth, David Copple</v>
      </c>
      <c r="O122" s="8" t="str">
        <f t="shared" si="241"/>
        <v>Sam Baranowski, Mike Barratt (2), Dave Berman (1), Eddie Dale, Ben Iremonger (2), Myles Johnstone</v>
      </c>
      <c r="P122" s="8" t="str">
        <f t="shared" si="241"/>
        <v>Justin Baranowski (2), Billy Camuso</v>
      </c>
      <c r="Q122" s="30" t="str">
        <f t="shared" si="241"/>
        <v/>
      </c>
      <c r="R122" s="8" t="str">
        <f t="shared" si="241"/>
        <v>Andy Booth, David Copple</v>
      </c>
      <c r="S122" s="8" t="str">
        <f t="shared" si="241"/>
        <v>Sam Baranowski, Eddie Dale, Will Duval (1), Eugene Fung, Ben Iremonger, Myles Johnstone</v>
      </c>
      <c r="T122" s="8" t="str">
        <f t="shared" si="241"/>
        <v>Justin Baranowski, Billy Camuso</v>
      </c>
      <c r="U122" s="8" t="str">
        <f t="shared" si="241"/>
        <v>Lygon Bowen-west</v>
      </c>
      <c r="V122" s="8" t="str">
        <f t="shared" si="241"/>
        <v>Andy Booth, David Copple</v>
      </c>
      <c r="W122" s="8" t="str">
        <f t="shared" si="241"/>
        <v>Sam Baranowski, Eddie Dale, Ben Iremonger (1), Myles Johnstone (1)</v>
      </c>
      <c r="X122" s="8" t="str">
        <f t="shared" si="241"/>
        <v>Justin Baranowski (1), Luke Johnstone (2)</v>
      </c>
      <c r="Y122" s="8" t="str">
        <f t="shared" si="241"/>
        <v/>
      </c>
      <c r="Z122" s="8" t="str">
        <f t="shared" si="241"/>
        <v>Andy Booth</v>
      </c>
      <c r="AA122" s="8" t="str">
        <f t="shared" si="241"/>
        <v>Lorenzo Balzarini (2), Eddie Dale, Jacob Hall (1), Ben Iremonger, Myles Johnstone (1)</v>
      </c>
      <c r="AB122" s="8" t="str">
        <f t="shared" si="241"/>
        <v>Justin Baranowski (1), Billy Camuso</v>
      </c>
      <c r="AC122" s="8" t="str">
        <f t="shared" si="241"/>
        <v/>
      </c>
      <c r="AD122" s="8" t="str">
        <f t="shared" si="241"/>
        <v>David Copple</v>
      </c>
      <c r="AE122" s="8" t="str">
        <f t="shared" si="241"/>
        <v>Lorenzo Balzarini (1), Sam Baranowski, Eddie Dale, Myles Johnstone</v>
      </c>
      <c r="AF122" s="8" t="str">
        <f t="shared" si="241"/>
        <v>Justin Baranowski (1), Billy Camuso</v>
      </c>
      <c r="AG122" s="8" t="str">
        <f t="shared" si="241"/>
        <v/>
      </c>
      <c r="AH122" s="8" t="str">
        <f t="shared" si="241"/>
        <v/>
      </c>
      <c r="AI122" s="8" t="str">
        <f t="shared" si="241"/>
        <v/>
      </c>
      <c r="AJ122" s="8" t="str">
        <f t="shared" si="241"/>
        <v/>
      </c>
      <c r="AK122" s="8" t="str">
        <f t="shared" si="241"/>
        <v/>
      </c>
      <c r="AL122" s="8" t="str">
        <f t="shared" si="241"/>
        <v/>
      </c>
      <c r="AM122" s="8" t="str">
        <f t="shared" si="241"/>
        <v>Lorenzo Balzarini, Sam Baranowski, Andy Booth, Jacob Hall, Myles Johnstone (1)</v>
      </c>
      <c r="AN122" s="8" t="str">
        <f t="shared" si="241"/>
        <v>Justin Baranowski (2), Billy Camuso</v>
      </c>
      <c r="AO122" s="8" t="str">
        <f t="shared" si="241"/>
        <v/>
      </c>
      <c r="AP122" s="8" t="str">
        <f t="shared" si="241"/>
        <v>Andy Booth, David Copple</v>
      </c>
      <c r="AQ122" s="8" t="str">
        <f t="shared" si="241"/>
        <v>Lorenzo Balzarini, Sam Baranowski, Mike Barratt (1)</v>
      </c>
      <c r="AR122" s="8" t="str">
        <f t="shared" si="241"/>
        <v>Justin Baranowski (1), Myles Johnstone</v>
      </c>
      <c r="AS122" s="8" t="str">
        <f t="shared" si="241"/>
        <v/>
      </c>
      <c r="AT122" s="8" t="str">
        <f t="shared" si="241"/>
        <v>Andy Booth, David Copple</v>
      </c>
      <c r="AU122" s="8" t="str">
        <f t="shared" si="241"/>
        <v>Lorenzo Balzarini, Mike Barratt (1), Lewis Blackshaw, Ben Iremonger</v>
      </c>
      <c r="AV122" s="8" t="str">
        <f t="shared" si="241"/>
        <v>Justin Baranowski, Myles Johnstone</v>
      </c>
      <c r="AW122" s="8" t="str">
        <f t="shared" si="241"/>
        <v/>
      </c>
      <c r="AX122" s="8" t="str">
        <f t="shared" si="241"/>
        <v>David Copple, Sam Guest (1)</v>
      </c>
      <c r="AY122" s="8" t="str">
        <f t="shared" si="241"/>
        <v>Jordan Anning, Lorenzo Balzarini (2), Jacob Hall</v>
      </c>
      <c r="AZ122" s="8" t="str">
        <f t="shared" si="241"/>
        <v>Myles Johnstone</v>
      </c>
      <c r="BA122" s="8" t="str">
        <f t="shared" si="241"/>
        <v/>
      </c>
      <c r="BB122" s="8" t="str">
        <f t="shared" si="241"/>
        <v>Andy Booth, David Copple</v>
      </c>
      <c r="BC122" s="8" t="str">
        <f t="shared" si="241"/>
        <v>Jacob Hall, Ben Iremonger (4)</v>
      </c>
      <c r="BD122" s="8" t="str">
        <f t="shared" si="241"/>
        <v>Myles Johnstone (1)</v>
      </c>
      <c r="BE122" s="8" t="str">
        <f t="shared" si="241"/>
        <v/>
      </c>
      <c r="BF122" s="8" t="str">
        <f t="shared" si="241"/>
        <v>Andy Booth, David Copple, Sam Guest</v>
      </c>
      <c r="BG122" s="8" t="str">
        <f t="shared" si="241"/>
        <v>Lorenzo Balzarini (1), Mike Barratt (3), Jacob Hall, Ben Iremonger (1)</v>
      </c>
      <c r="BH122" s="8" t="str">
        <f t="shared" si="241"/>
        <v>Justin Baranowski (2), Myles Johnstone (1)</v>
      </c>
      <c r="BI122" s="8" t="str">
        <f t="shared" si="241"/>
        <v/>
      </c>
      <c r="BJ122" s="8" t="str">
        <f t="shared" si="241"/>
        <v>Andy Booth, David Copple</v>
      </c>
      <c r="BK122" s="8" t="str">
        <f t="shared" si="241"/>
        <v>Lorenzo Balzarini (1)</v>
      </c>
      <c r="BL122" s="8" t="str">
        <f t="shared" si="241"/>
        <v>Justin Baranowski, Billy Camuso (1), Myles Johnstone</v>
      </c>
      <c r="BM122" s="8" t="str">
        <f t="shared" ref="BM122:CF122" si="242">IF(BM81="",BM121,IF(BM121="",BM81,BM121&amp;", "&amp;BM81))</f>
        <v/>
      </c>
      <c r="BN122" s="8" t="str">
        <f t="shared" si="242"/>
        <v/>
      </c>
      <c r="BO122" s="8" t="str">
        <f t="shared" si="242"/>
        <v/>
      </c>
      <c r="BP122" s="8" t="str">
        <f t="shared" si="242"/>
        <v/>
      </c>
      <c r="BQ122" s="8" t="str">
        <f t="shared" si="242"/>
        <v/>
      </c>
      <c r="BR122" s="8" t="str">
        <f t="shared" si="242"/>
        <v>Andy Booth, David Copple</v>
      </c>
      <c r="BS122" s="8" t="str">
        <f t="shared" si="242"/>
        <v>Lorenzo Balzarini, Sam Baranowski</v>
      </c>
      <c r="BT122" s="8" t="str">
        <f t="shared" si="242"/>
        <v>Justin Baranowski, Billy Camuso (1), Sam Hallows</v>
      </c>
      <c r="BU122" s="8" t="str">
        <f t="shared" si="242"/>
        <v/>
      </c>
      <c r="BV122" s="8" t="str">
        <f t="shared" si="242"/>
        <v/>
      </c>
      <c r="BW122" s="8" t="str">
        <f t="shared" si="242"/>
        <v/>
      </c>
      <c r="BX122" s="8" t="str">
        <f t="shared" si="242"/>
        <v/>
      </c>
      <c r="BY122" s="8" t="str">
        <f t="shared" si="242"/>
        <v/>
      </c>
      <c r="BZ122" s="8" t="str">
        <f t="shared" si="242"/>
        <v/>
      </c>
      <c r="CA122" s="8" t="str">
        <f t="shared" si="242"/>
        <v/>
      </c>
      <c r="CB122" s="8" t="str">
        <f t="shared" si="242"/>
        <v/>
      </c>
      <c r="CC122" s="8" t="str">
        <f t="shared" si="242"/>
        <v/>
      </c>
      <c r="CD122" s="8" t="str">
        <f t="shared" si="242"/>
        <v>David Copple</v>
      </c>
      <c r="CE122" s="8" t="str">
        <f t="shared" si="242"/>
        <v>Sam Baranowski, Mike Barratt, Myles Johnstone</v>
      </c>
      <c r="CF122" s="8" t="str">
        <f t="shared" si="242"/>
        <v>Justin Baranowski (2), Sam Hallows</v>
      </c>
      <c r="CG122" s="8" t="str">
        <f t="shared" ref="CG122:CJ122" si="243">IF(CG81="",CG121,IF(CG121="",CG81,CG121&amp;", "&amp;CG81))</f>
        <v/>
      </c>
      <c r="CH122" s="8" t="str">
        <f t="shared" si="243"/>
        <v>David Copple, Sam Guest</v>
      </c>
      <c r="CI122" s="8" t="str">
        <f t="shared" si="243"/>
        <v>Lorenzo Balzarini, Sam Baranowski, Mike Barratt (1), David Hudson, Myles Johnstone (1)</v>
      </c>
      <c r="CJ122" s="8" t="str">
        <f t="shared" si="243"/>
        <v>Dave Berman (1), Billy Camuso, Sam Hallows, Luke Johnstone</v>
      </c>
    </row>
    <row r="123" spans="7:88">
      <c r="G123" s="8">
        <f t="shared" si="188"/>
        <v>22</v>
      </c>
      <c r="I123" s="8" t="str">
        <f t="shared" ref="I123:BL123" si="244">IF(I82="",I122,IF(I122="",I82,I122&amp;", "&amp;I82))</f>
        <v/>
      </c>
      <c r="J123" s="8" t="str">
        <f t="shared" si="244"/>
        <v>Andy Booth, David Copple</v>
      </c>
      <c r="K123" s="8" t="str">
        <f t="shared" si="244"/>
        <v>Sam Baranowski, Dave Berman (2), Myles Johnstone (1)</v>
      </c>
      <c r="L123" s="8" t="str">
        <f t="shared" si="244"/>
        <v>Justin Baranowski (2), Billy Camuso, Luke Johnstone (1)</v>
      </c>
      <c r="M123" s="8" t="str">
        <f t="shared" si="244"/>
        <v/>
      </c>
      <c r="N123" s="8" t="str">
        <f t="shared" si="244"/>
        <v>Andy Booth, David Copple</v>
      </c>
      <c r="O123" s="8" t="str">
        <f t="shared" si="244"/>
        <v>Sam Baranowski, Mike Barratt (2), Dave Berman (1), Eddie Dale, Ben Iremonger (2), Myles Johnstone</v>
      </c>
      <c r="P123" s="8" t="str">
        <f t="shared" si="244"/>
        <v>Justin Baranowski (2), Billy Camuso</v>
      </c>
      <c r="Q123" s="30" t="str">
        <f t="shared" si="244"/>
        <v/>
      </c>
      <c r="R123" s="8" t="str">
        <f t="shared" si="244"/>
        <v>Andy Booth, David Copple</v>
      </c>
      <c r="S123" s="8" t="str">
        <f t="shared" si="244"/>
        <v>Sam Baranowski, Eddie Dale, Will Duval (1), Eugene Fung, Ben Iremonger, Myles Johnstone</v>
      </c>
      <c r="T123" s="8" t="str">
        <f t="shared" si="244"/>
        <v>Justin Baranowski, Billy Camuso</v>
      </c>
      <c r="U123" s="8" t="str">
        <f t="shared" si="244"/>
        <v>Lygon Bowen-west</v>
      </c>
      <c r="V123" s="8" t="str">
        <f t="shared" si="244"/>
        <v>Andy Booth, David Copple</v>
      </c>
      <c r="W123" s="8" t="str">
        <f t="shared" si="244"/>
        <v>Sam Baranowski, Eddie Dale, Ben Iremonger (1), Myles Johnstone (1)</v>
      </c>
      <c r="X123" s="8" t="str">
        <f t="shared" si="244"/>
        <v>Justin Baranowski (1), Luke Johnstone (2)</v>
      </c>
      <c r="Y123" s="8" t="str">
        <f t="shared" si="244"/>
        <v/>
      </c>
      <c r="Z123" s="8" t="str">
        <f t="shared" si="244"/>
        <v>Andy Booth</v>
      </c>
      <c r="AA123" s="8" t="str">
        <f t="shared" si="244"/>
        <v>Lorenzo Balzarini (2), Eddie Dale, Jacob Hall (1), Ben Iremonger, Myles Johnstone (1)</v>
      </c>
      <c r="AB123" s="8" t="str">
        <f t="shared" si="244"/>
        <v>Justin Baranowski (1), Billy Camuso</v>
      </c>
      <c r="AC123" s="8" t="str">
        <f t="shared" si="244"/>
        <v/>
      </c>
      <c r="AD123" s="8" t="str">
        <f t="shared" si="244"/>
        <v>David Copple</v>
      </c>
      <c r="AE123" s="8" t="str">
        <f t="shared" si="244"/>
        <v>Lorenzo Balzarini (1), Sam Baranowski, Eddie Dale, Myles Johnstone</v>
      </c>
      <c r="AF123" s="8" t="str">
        <f t="shared" si="244"/>
        <v>Justin Baranowski (1), Billy Camuso</v>
      </c>
      <c r="AG123" s="8" t="str">
        <f t="shared" si="244"/>
        <v/>
      </c>
      <c r="AH123" s="8" t="str">
        <f t="shared" si="244"/>
        <v/>
      </c>
      <c r="AI123" s="8" t="str">
        <f t="shared" si="244"/>
        <v/>
      </c>
      <c r="AJ123" s="8" t="str">
        <f t="shared" si="244"/>
        <v/>
      </c>
      <c r="AK123" s="8" t="str">
        <f t="shared" si="244"/>
        <v/>
      </c>
      <c r="AL123" s="8" t="str">
        <f t="shared" si="244"/>
        <v>Will Lucas</v>
      </c>
      <c r="AM123" s="8" t="str">
        <f t="shared" si="244"/>
        <v>Lorenzo Balzarini, Sam Baranowski, Andy Booth, Jacob Hall, Myles Johnstone (1)</v>
      </c>
      <c r="AN123" s="8" t="str">
        <f t="shared" si="244"/>
        <v>Justin Baranowski (2), Billy Camuso</v>
      </c>
      <c r="AO123" s="8" t="str">
        <f t="shared" si="244"/>
        <v/>
      </c>
      <c r="AP123" s="8" t="str">
        <f t="shared" si="244"/>
        <v>Andy Booth, David Copple</v>
      </c>
      <c r="AQ123" s="8" t="str">
        <f t="shared" si="244"/>
        <v>Lorenzo Balzarini, Sam Baranowski, Mike Barratt (1)</v>
      </c>
      <c r="AR123" s="8" t="str">
        <f t="shared" si="244"/>
        <v>Justin Baranowski (1), Myles Johnstone</v>
      </c>
      <c r="AS123" s="8" t="str">
        <f t="shared" si="244"/>
        <v/>
      </c>
      <c r="AT123" s="8" t="str">
        <f t="shared" si="244"/>
        <v>Andy Booth, David Copple</v>
      </c>
      <c r="AU123" s="8" t="str">
        <f t="shared" si="244"/>
        <v>Lorenzo Balzarini, Mike Barratt (1), Lewis Blackshaw, Ben Iremonger</v>
      </c>
      <c r="AV123" s="8" t="str">
        <f t="shared" si="244"/>
        <v>Justin Baranowski, Myles Johnstone</v>
      </c>
      <c r="AW123" s="8" t="str">
        <f t="shared" si="244"/>
        <v/>
      </c>
      <c r="AX123" s="8" t="str">
        <f t="shared" si="244"/>
        <v>David Copple, Sam Guest (1)</v>
      </c>
      <c r="AY123" s="8" t="str">
        <f t="shared" si="244"/>
        <v>Jordan Anning, Lorenzo Balzarini (2), Jacob Hall</v>
      </c>
      <c r="AZ123" s="8" t="str">
        <f t="shared" si="244"/>
        <v>Myles Johnstone</v>
      </c>
      <c r="BA123" s="8" t="str">
        <f t="shared" si="244"/>
        <v/>
      </c>
      <c r="BB123" s="8" t="str">
        <f t="shared" si="244"/>
        <v>Andy Booth, David Copple</v>
      </c>
      <c r="BC123" s="8" t="str">
        <f t="shared" si="244"/>
        <v>Jacob Hall, Ben Iremonger (4)</v>
      </c>
      <c r="BD123" s="8" t="str">
        <f t="shared" si="244"/>
        <v>Myles Johnstone (1)</v>
      </c>
      <c r="BE123" s="8" t="str">
        <f t="shared" si="244"/>
        <v/>
      </c>
      <c r="BF123" s="8" t="str">
        <f t="shared" si="244"/>
        <v>Andy Booth, David Copple, Sam Guest</v>
      </c>
      <c r="BG123" s="8" t="str">
        <f t="shared" si="244"/>
        <v>Lorenzo Balzarini (1), Mike Barratt (3), Jacob Hall, Ben Iremonger (1)</v>
      </c>
      <c r="BH123" s="8" t="str">
        <f t="shared" si="244"/>
        <v>Justin Baranowski (2), Myles Johnstone (1)</v>
      </c>
      <c r="BI123" s="8" t="str">
        <f t="shared" si="244"/>
        <v/>
      </c>
      <c r="BJ123" s="8" t="str">
        <f t="shared" si="244"/>
        <v>Andy Booth, David Copple</v>
      </c>
      <c r="BK123" s="8" t="str">
        <f t="shared" si="244"/>
        <v>Lorenzo Balzarini (1)</v>
      </c>
      <c r="BL123" s="8" t="str">
        <f t="shared" si="244"/>
        <v>Justin Baranowski, Billy Camuso (1), Myles Johnstone</v>
      </c>
      <c r="BM123" s="8" t="str">
        <f t="shared" ref="BM123:CF123" si="245">IF(BM82="",BM122,IF(BM122="",BM82,BM122&amp;", "&amp;BM82))</f>
        <v/>
      </c>
      <c r="BN123" s="8" t="str">
        <f t="shared" si="245"/>
        <v/>
      </c>
      <c r="BO123" s="8" t="str">
        <f t="shared" si="245"/>
        <v/>
      </c>
      <c r="BP123" s="8" t="str">
        <f t="shared" si="245"/>
        <v/>
      </c>
      <c r="BQ123" s="8" t="str">
        <f t="shared" si="245"/>
        <v/>
      </c>
      <c r="BR123" s="8" t="str">
        <f t="shared" si="245"/>
        <v>Andy Booth, David Copple</v>
      </c>
      <c r="BS123" s="8" t="str">
        <f t="shared" si="245"/>
        <v>Lorenzo Balzarini, Sam Baranowski</v>
      </c>
      <c r="BT123" s="8" t="str">
        <f t="shared" si="245"/>
        <v>Justin Baranowski, Billy Camuso (1), Sam Hallows</v>
      </c>
      <c r="BU123" s="8" t="str">
        <f t="shared" si="245"/>
        <v/>
      </c>
      <c r="BV123" s="8" t="str">
        <f t="shared" si="245"/>
        <v/>
      </c>
      <c r="BW123" s="8" t="str">
        <f t="shared" si="245"/>
        <v/>
      </c>
      <c r="BX123" s="8" t="str">
        <f t="shared" si="245"/>
        <v/>
      </c>
      <c r="BY123" s="8" t="str">
        <f t="shared" si="245"/>
        <v/>
      </c>
      <c r="BZ123" s="8" t="str">
        <f t="shared" si="245"/>
        <v/>
      </c>
      <c r="CA123" s="8" t="str">
        <f t="shared" si="245"/>
        <v/>
      </c>
      <c r="CB123" s="8" t="str">
        <f t="shared" si="245"/>
        <v/>
      </c>
      <c r="CC123" s="8" t="str">
        <f t="shared" si="245"/>
        <v/>
      </c>
      <c r="CD123" s="8" t="str">
        <f t="shared" si="245"/>
        <v>David Copple, Will Lucas</v>
      </c>
      <c r="CE123" s="8" t="str">
        <f t="shared" si="245"/>
        <v>Sam Baranowski, Mike Barratt, Myles Johnstone</v>
      </c>
      <c r="CF123" s="8" t="str">
        <f t="shared" si="245"/>
        <v>Justin Baranowski (2), Sam Hallows</v>
      </c>
      <c r="CG123" s="8" t="str">
        <f t="shared" ref="CG123:CJ123" si="246">IF(CG82="",CG122,IF(CG122="",CG82,CG122&amp;", "&amp;CG82))</f>
        <v/>
      </c>
      <c r="CH123" s="8" t="str">
        <f t="shared" si="246"/>
        <v>David Copple, Sam Guest, Will Lucas</v>
      </c>
      <c r="CI123" s="8" t="str">
        <f t="shared" si="246"/>
        <v>Lorenzo Balzarini, Sam Baranowski, Mike Barratt (1), David Hudson, Myles Johnstone (1)</v>
      </c>
      <c r="CJ123" s="8" t="str">
        <f t="shared" si="246"/>
        <v>Dave Berman (1), Billy Camuso, Sam Hallows, Luke Johnstone</v>
      </c>
    </row>
    <row r="124" spans="7:88">
      <c r="G124" s="8">
        <f t="shared" si="188"/>
        <v>23</v>
      </c>
      <c r="I124" s="8" t="str">
        <f t="shared" ref="I124:BL124" si="247">IF(I83="",I123,IF(I123="",I83,I123&amp;", "&amp;I83))</f>
        <v/>
      </c>
      <c r="J124" s="8" t="str">
        <f t="shared" si="247"/>
        <v>Andy Booth, David Copple</v>
      </c>
      <c r="K124" s="8" t="str">
        <f t="shared" si="247"/>
        <v>Sam Baranowski, Dave Berman (2), Myles Johnstone (1)</v>
      </c>
      <c r="L124" s="8" t="str">
        <f t="shared" si="247"/>
        <v>Justin Baranowski (2), Billy Camuso, Luke Johnstone (1)</v>
      </c>
      <c r="M124" s="8" t="str">
        <f t="shared" si="247"/>
        <v/>
      </c>
      <c r="N124" s="8" t="str">
        <f t="shared" si="247"/>
        <v>Andy Booth, David Copple</v>
      </c>
      <c r="O124" s="8" t="str">
        <f t="shared" si="247"/>
        <v>Sam Baranowski, Mike Barratt (2), Dave Berman (1), Eddie Dale, Ben Iremonger (2), Myles Johnstone</v>
      </c>
      <c r="P124" s="8" t="str">
        <f t="shared" si="247"/>
        <v>Justin Baranowski (2), Billy Camuso</v>
      </c>
      <c r="Q124" s="30" t="str">
        <f t="shared" si="247"/>
        <v/>
      </c>
      <c r="R124" s="8" t="str">
        <f t="shared" si="247"/>
        <v>Andy Booth, David Copple</v>
      </c>
      <c r="S124" s="8" t="str">
        <f t="shared" si="247"/>
        <v>Sam Baranowski, Eddie Dale, Will Duval (1), Eugene Fung, Ben Iremonger, Myles Johnstone</v>
      </c>
      <c r="T124" s="8" t="str">
        <f t="shared" si="247"/>
        <v>Justin Baranowski, Billy Camuso</v>
      </c>
      <c r="U124" s="8" t="str">
        <f t="shared" si="247"/>
        <v>Lygon Bowen-west</v>
      </c>
      <c r="V124" s="8" t="str">
        <f t="shared" si="247"/>
        <v>Andy Booth, David Copple</v>
      </c>
      <c r="W124" s="8" t="str">
        <f t="shared" si="247"/>
        <v>Sam Baranowski, Eddie Dale, Ben Iremonger (1), Myles Johnstone (1)</v>
      </c>
      <c r="X124" s="8" t="str">
        <f t="shared" si="247"/>
        <v>Justin Baranowski (1), Luke Johnstone (2)</v>
      </c>
      <c r="Y124" s="8" t="str">
        <f t="shared" si="247"/>
        <v/>
      </c>
      <c r="Z124" s="8" t="str">
        <f t="shared" si="247"/>
        <v>Andy Booth</v>
      </c>
      <c r="AA124" s="8" t="str">
        <f t="shared" si="247"/>
        <v>Lorenzo Balzarini (2), Eddie Dale, Jacob Hall (1), Ben Iremonger, Myles Johnstone (1)</v>
      </c>
      <c r="AB124" s="8" t="str">
        <f t="shared" si="247"/>
        <v>Justin Baranowski (1), Billy Camuso</v>
      </c>
      <c r="AC124" s="8" t="str">
        <f t="shared" si="247"/>
        <v/>
      </c>
      <c r="AD124" s="8" t="str">
        <f t="shared" si="247"/>
        <v>David Copple</v>
      </c>
      <c r="AE124" s="8" t="str">
        <f t="shared" si="247"/>
        <v>Lorenzo Balzarini (1), Sam Baranowski, Eddie Dale, Myles Johnstone</v>
      </c>
      <c r="AF124" s="8" t="str">
        <f t="shared" si="247"/>
        <v>Justin Baranowski (1), Billy Camuso</v>
      </c>
      <c r="AG124" s="8" t="str">
        <f t="shared" si="247"/>
        <v/>
      </c>
      <c r="AH124" s="8" t="str">
        <f t="shared" si="247"/>
        <v/>
      </c>
      <c r="AI124" s="8" t="str">
        <f t="shared" si="247"/>
        <v/>
      </c>
      <c r="AJ124" s="8" t="str">
        <f t="shared" si="247"/>
        <v/>
      </c>
      <c r="AK124" s="8" t="str">
        <f t="shared" si="247"/>
        <v/>
      </c>
      <c r="AL124" s="8" t="str">
        <f t="shared" si="247"/>
        <v>Will Lucas</v>
      </c>
      <c r="AM124" s="8" t="str">
        <f t="shared" si="247"/>
        <v>Lorenzo Balzarini, Sam Baranowski, Andy Booth, Jacob Hall, Myles Johnstone (1)</v>
      </c>
      <c r="AN124" s="8" t="str">
        <f t="shared" si="247"/>
        <v>Justin Baranowski (2), Billy Camuso</v>
      </c>
      <c r="AO124" s="8" t="str">
        <f t="shared" si="247"/>
        <v/>
      </c>
      <c r="AP124" s="8" t="str">
        <f t="shared" si="247"/>
        <v>Andy Booth, David Copple</v>
      </c>
      <c r="AQ124" s="8" t="str">
        <f t="shared" si="247"/>
        <v>Lorenzo Balzarini, Sam Baranowski, Mike Barratt (1)</v>
      </c>
      <c r="AR124" s="8" t="str">
        <f t="shared" si="247"/>
        <v>Justin Baranowski (1), Myles Johnstone</v>
      </c>
      <c r="AS124" s="8" t="str">
        <f t="shared" si="247"/>
        <v/>
      </c>
      <c r="AT124" s="8" t="str">
        <f t="shared" si="247"/>
        <v>Andy Booth, David Copple</v>
      </c>
      <c r="AU124" s="8" t="str">
        <f t="shared" si="247"/>
        <v>Lorenzo Balzarini, Mike Barratt (1), Lewis Blackshaw, Ben Iremonger</v>
      </c>
      <c r="AV124" s="8" t="str">
        <f t="shared" si="247"/>
        <v>Justin Baranowski, Myles Johnstone</v>
      </c>
      <c r="AW124" s="8" t="str">
        <f t="shared" si="247"/>
        <v/>
      </c>
      <c r="AX124" s="8" t="str">
        <f t="shared" si="247"/>
        <v>David Copple, Sam Guest (1)</v>
      </c>
      <c r="AY124" s="8" t="str">
        <f t="shared" si="247"/>
        <v>Jordan Anning, Lorenzo Balzarini (2), Jacob Hall</v>
      </c>
      <c r="AZ124" s="8" t="str">
        <f t="shared" si="247"/>
        <v>Myles Johnstone</v>
      </c>
      <c r="BA124" s="8" t="str">
        <f t="shared" si="247"/>
        <v/>
      </c>
      <c r="BB124" s="8" t="str">
        <f t="shared" si="247"/>
        <v>Andy Booth, David Copple</v>
      </c>
      <c r="BC124" s="8" t="str">
        <f t="shared" si="247"/>
        <v>Jacob Hall, Ben Iremonger (4)</v>
      </c>
      <c r="BD124" s="8" t="str">
        <f t="shared" si="247"/>
        <v>Myles Johnstone (1)</v>
      </c>
      <c r="BE124" s="8" t="str">
        <f t="shared" si="247"/>
        <v/>
      </c>
      <c r="BF124" s="8" t="str">
        <f t="shared" si="247"/>
        <v>Andy Booth, David Copple, Sam Guest</v>
      </c>
      <c r="BG124" s="8" t="str">
        <f t="shared" si="247"/>
        <v>Lorenzo Balzarini (1), Mike Barratt (3), Jacob Hall, Ben Iremonger (1)</v>
      </c>
      <c r="BH124" s="8" t="str">
        <f t="shared" si="247"/>
        <v>Justin Baranowski (2), Myles Johnstone (1)</v>
      </c>
      <c r="BI124" s="8" t="str">
        <f t="shared" si="247"/>
        <v/>
      </c>
      <c r="BJ124" s="8" t="str">
        <f t="shared" si="247"/>
        <v>Andy Booth, David Copple</v>
      </c>
      <c r="BK124" s="8" t="str">
        <f t="shared" si="247"/>
        <v>Lorenzo Balzarini (1)</v>
      </c>
      <c r="BL124" s="8" t="str">
        <f t="shared" si="247"/>
        <v>Justin Baranowski, Billy Camuso (1), Myles Johnstone</v>
      </c>
      <c r="BM124" s="8" t="str">
        <f t="shared" ref="BM124:CF124" si="248">IF(BM83="",BM123,IF(BM123="",BM83,BM123&amp;", "&amp;BM83))</f>
        <v/>
      </c>
      <c r="BN124" s="8" t="str">
        <f t="shared" si="248"/>
        <v/>
      </c>
      <c r="BO124" s="8" t="str">
        <f t="shared" si="248"/>
        <v/>
      </c>
      <c r="BP124" s="8" t="str">
        <f t="shared" si="248"/>
        <v/>
      </c>
      <c r="BQ124" s="8" t="str">
        <f t="shared" si="248"/>
        <v/>
      </c>
      <c r="BR124" s="8" t="str">
        <f t="shared" si="248"/>
        <v>Andy Booth, David Copple</v>
      </c>
      <c r="BS124" s="8" t="str">
        <f t="shared" si="248"/>
        <v>Lorenzo Balzarini, Sam Baranowski, Kieran Kershaw</v>
      </c>
      <c r="BT124" s="8" t="str">
        <f t="shared" si="248"/>
        <v>Justin Baranowski, Billy Camuso (1), Sam Hallows</v>
      </c>
      <c r="BU124" s="8" t="str">
        <f t="shared" si="248"/>
        <v/>
      </c>
      <c r="BV124" s="8" t="str">
        <f t="shared" si="248"/>
        <v/>
      </c>
      <c r="BW124" s="8" t="str">
        <f t="shared" si="248"/>
        <v/>
      </c>
      <c r="BX124" s="8" t="str">
        <f t="shared" si="248"/>
        <v/>
      </c>
      <c r="BY124" s="8" t="str">
        <f t="shared" si="248"/>
        <v/>
      </c>
      <c r="BZ124" s="8" t="str">
        <f t="shared" si="248"/>
        <v/>
      </c>
      <c r="CA124" s="8" t="str">
        <f t="shared" si="248"/>
        <v/>
      </c>
      <c r="CB124" s="8" t="str">
        <f t="shared" si="248"/>
        <v/>
      </c>
      <c r="CC124" s="8" t="str">
        <f t="shared" si="248"/>
        <v/>
      </c>
      <c r="CD124" s="8" t="str">
        <f t="shared" si="248"/>
        <v>David Copple, Will Lucas</v>
      </c>
      <c r="CE124" s="8" t="str">
        <f t="shared" si="248"/>
        <v>Sam Baranowski, Mike Barratt, Myles Johnstone</v>
      </c>
      <c r="CF124" s="8" t="str">
        <f t="shared" si="248"/>
        <v>Justin Baranowski (2), Sam Hallows</v>
      </c>
      <c r="CG124" s="8" t="str">
        <f t="shared" ref="CG124:CJ124" si="249">IF(CG83="",CG123,IF(CG123="",CG83,CG123&amp;", "&amp;CG83))</f>
        <v/>
      </c>
      <c r="CH124" s="8" t="str">
        <f t="shared" si="249"/>
        <v>David Copple, Sam Guest, Will Lucas</v>
      </c>
      <c r="CI124" s="8" t="str">
        <f t="shared" si="249"/>
        <v>Lorenzo Balzarini, Sam Baranowski, Mike Barratt (1), David Hudson, Myles Johnstone (1)</v>
      </c>
      <c r="CJ124" s="8" t="str">
        <f t="shared" si="249"/>
        <v>Dave Berman (1), Billy Camuso, Sam Hallows, Luke Johnstone</v>
      </c>
    </row>
    <row r="125" spans="7:88">
      <c r="G125" s="8">
        <f t="shared" si="188"/>
        <v>24</v>
      </c>
      <c r="I125" s="8" t="str">
        <f t="shared" ref="I125:BL125" si="250">IF(I84="",I124,IF(I124="",I84,I124&amp;", "&amp;I84))</f>
        <v/>
      </c>
      <c r="J125" s="8" t="str">
        <f t="shared" si="250"/>
        <v>Andy Booth, David Copple</v>
      </c>
      <c r="K125" s="8" t="str">
        <f t="shared" si="250"/>
        <v>Sam Baranowski, Dave Berman (2), Myles Johnstone (1)</v>
      </c>
      <c r="L125" s="8" t="str">
        <f t="shared" si="250"/>
        <v>Justin Baranowski (2), Billy Camuso, Luke Johnstone (1)</v>
      </c>
      <c r="M125" s="8" t="str">
        <f t="shared" si="250"/>
        <v/>
      </c>
      <c r="N125" s="8" t="str">
        <f t="shared" si="250"/>
        <v>Andy Booth, David Copple</v>
      </c>
      <c r="O125" s="8" t="str">
        <f t="shared" si="250"/>
        <v>Sam Baranowski, Mike Barratt (2), Dave Berman (1), Eddie Dale, Ben Iremonger (2), Myles Johnstone</v>
      </c>
      <c r="P125" s="8" t="str">
        <f t="shared" si="250"/>
        <v>Justin Baranowski (2), Billy Camuso</v>
      </c>
      <c r="Q125" s="30" t="str">
        <f t="shared" si="250"/>
        <v/>
      </c>
      <c r="R125" s="8" t="str">
        <f t="shared" si="250"/>
        <v>Andy Booth, David Copple</v>
      </c>
      <c r="S125" s="8" t="str">
        <f t="shared" si="250"/>
        <v>Sam Baranowski, Eddie Dale, Will Duval (1), Eugene Fung, Ben Iremonger, Myles Johnstone</v>
      </c>
      <c r="T125" s="8" t="str">
        <f t="shared" si="250"/>
        <v>Justin Baranowski, Billy Camuso</v>
      </c>
      <c r="U125" s="8" t="str">
        <f t="shared" si="250"/>
        <v>Lygon Bowen-west</v>
      </c>
      <c r="V125" s="8" t="str">
        <f t="shared" si="250"/>
        <v>Andy Booth, David Copple, Charlie Merry</v>
      </c>
      <c r="W125" s="8" t="str">
        <f t="shared" si="250"/>
        <v>Sam Baranowski, Eddie Dale, Ben Iremonger (1), Myles Johnstone (1)</v>
      </c>
      <c r="X125" s="8" t="str">
        <f t="shared" si="250"/>
        <v>Justin Baranowski (1), Luke Johnstone (2)</v>
      </c>
      <c r="Y125" s="8" t="str">
        <f t="shared" si="250"/>
        <v/>
      </c>
      <c r="Z125" s="8" t="str">
        <f t="shared" si="250"/>
        <v>Andy Booth</v>
      </c>
      <c r="AA125" s="8" t="str">
        <f t="shared" si="250"/>
        <v>Lorenzo Balzarini (2), Eddie Dale, Jacob Hall (1), Ben Iremonger, Myles Johnstone (1)</v>
      </c>
      <c r="AB125" s="8" t="str">
        <f t="shared" si="250"/>
        <v>Justin Baranowski (1), Billy Camuso</v>
      </c>
      <c r="AC125" s="8" t="str">
        <f t="shared" si="250"/>
        <v/>
      </c>
      <c r="AD125" s="8" t="str">
        <f t="shared" si="250"/>
        <v>David Copple</v>
      </c>
      <c r="AE125" s="8" t="str">
        <f t="shared" si="250"/>
        <v>Lorenzo Balzarini (1), Sam Baranowski, Eddie Dale, Myles Johnstone</v>
      </c>
      <c r="AF125" s="8" t="str">
        <f t="shared" si="250"/>
        <v>Justin Baranowski (1), Billy Camuso</v>
      </c>
      <c r="AG125" s="8" t="str">
        <f t="shared" si="250"/>
        <v/>
      </c>
      <c r="AH125" s="8" t="str">
        <f t="shared" si="250"/>
        <v/>
      </c>
      <c r="AI125" s="8" t="str">
        <f t="shared" si="250"/>
        <v/>
      </c>
      <c r="AJ125" s="8" t="str">
        <f t="shared" si="250"/>
        <v/>
      </c>
      <c r="AK125" s="8" t="str">
        <f t="shared" si="250"/>
        <v/>
      </c>
      <c r="AL125" s="8" t="str">
        <f t="shared" si="250"/>
        <v>Will Lucas</v>
      </c>
      <c r="AM125" s="8" t="str">
        <f t="shared" si="250"/>
        <v>Lorenzo Balzarini, Sam Baranowski, Andy Booth, Jacob Hall, Myles Johnstone (1)</v>
      </c>
      <c r="AN125" s="8" t="str">
        <f t="shared" si="250"/>
        <v>Justin Baranowski (2), Billy Camuso</v>
      </c>
      <c r="AO125" s="8" t="str">
        <f t="shared" si="250"/>
        <v/>
      </c>
      <c r="AP125" s="8" t="str">
        <f t="shared" si="250"/>
        <v>Andy Booth, David Copple</v>
      </c>
      <c r="AQ125" s="8" t="str">
        <f t="shared" si="250"/>
        <v>Lorenzo Balzarini, Sam Baranowski, Mike Barratt (1)</v>
      </c>
      <c r="AR125" s="8" t="str">
        <f t="shared" si="250"/>
        <v>Justin Baranowski (1), Myles Johnstone</v>
      </c>
      <c r="AS125" s="8" t="str">
        <f t="shared" si="250"/>
        <v/>
      </c>
      <c r="AT125" s="8" t="str">
        <f t="shared" si="250"/>
        <v>Andy Booth, David Copple</v>
      </c>
      <c r="AU125" s="8" t="str">
        <f t="shared" si="250"/>
        <v>Lorenzo Balzarini, Mike Barratt (1), Lewis Blackshaw, Ben Iremonger</v>
      </c>
      <c r="AV125" s="8" t="str">
        <f t="shared" si="250"/>
        <v>Justin Baranowski, Myles Johnstone</v>
      </c>
      <c r="AW125" s="8" t="str">
        <f t="shared" si="250"/>
        <v/>
      </c>
      <c r="AX125" s="8" t="str">
        <f t="shared" si="250"/>
        <v>David Copple, Sam Guest (1)</v>
      </c>
      <c r="AY125" s="8" t="str">
        <f t="shared" si="250"/>
        <v>Jordan Anning, Lorenzo Balzarini (2), Jacob Hall</v>
      </c>
      <c r="AZ125" s="8" t="str">
        <f t="shared" si="250"/>
        <v>Myles Johnstone</v>
      </c>
      <c r="BA125" s="8" t="str">
        <f t="shared" si="250"/>
        <v/>
      </c>
      <c r="BB125" s="8" t="str">
        <f t="shared" si="250"/>
        <v>Andy Booth, David Copple</v>
      </c>
      <c r="BC125" s="8" t="str">
        <f t="shared" si="250"/>
        <v>Jacob Hall, Ben Iremonger (4)</v>
      </c>
      <c r="BD125" s="8" t="str">
        <f t="shared" si="250"/>
        <v>Myles Johnstone (1)</v>
      </c>
      <c r="BE125" s="8" t="str">
        <f t="shared" si="250"/>
        <v/>
      </c>
      <c r="BF125" s="8" t="str">
        <f t="shared" si="250"/>
        <v>Andy Booth, David Copple, Sam Guest</v>
      </c>
      <c r="BG125" s="8" t="str">
        <f t="shared" si="250"/>
        <v>Lorenzo Balzarini (1), Mike Barratt (3), Jacob Hall, Ben Iremonger (1)</v>
      </c>
      <c r="BH125" s="8" t="str">
        <f t="shared" si="250"/>
        <v>Justin Baranowski (2), Myles Johnstone (1)</v>
      </c>
      <c r="BI125" s="8" t="str">
        <f t="shared" si="250"/>
        <v/>
      </c>
      <c r="BJ125" s="8" t="str">
        <f t="shared" si="250"/>
        <v>Andy Booth, David Copple</v>
      </c>
      <c r="BK125" s="8" t="str">
        <f t="shared" si="250"/>
        <v>Lorenzo Balzarini (1)</v>
      </c>
      <c r="BL125" s="8" t="str">
        <f t="shared" si="250"/>
        <v>Justin Baranowski, Billy Camuso (1), Myles Johnstone</v>
      </c>
      <c r="BM125" s="8" t="str">
        <f t="shared" ref="BM125:CF125" si="251">IF(BM84="",BM124,IF(BM124="",BM84,BM124&amp;", "&amp;BM84))</f>
        <v/>
      </c>
      <c r="BN125" s="8" t="str">
        <f t="shared" si="251"/>
        <v/>
      </c>
      <c r="BO125" s="8" t="str">
        <f t="shared" si="251"/>
        <v/>
      </c>
      <c r="BP125" s="8" t="str">
        <f t="shared" si="251"/>
        <v/>
      </c>
      <c r="BQ125" s="8" t="str">
        <f t="shared" si="251"/>
        <v/>
      </c>
      <c r="BR125" s="8" t="str">
        <f t="shared" si="251"/>
        <v>Andy Booth, David Copple</v>
      </c>
      <c r="BS125" s="8" t="str">
        <f t="shared" si="251"/>
        <v>Lorenzo Balzarini, Sam Baranowski, Kieran Kershaw</v>
      </c>
      <c r="BT125" s="8" t="str">
        <f t="shared" si="251"/>
        <v>Justin Baranowski, Billy Camuso (1), Sam Hallows</v>
      </c>
      <c r="BU125" s="8" t="str">
        <f t="shared" si="251"/>
        <v/>
      </c>
      <c r="BV125" s="8" t="str">
        <f t="shared" si="251"/>
        <v/>
      </c>
      <c r="BW125" s="8" t="str">
        <f t="shared" si="251"/>
        <v/>
      </c>
      <c r="BX125" s="8" t="str">
        <f t="shared" si="251"/>
        <v/>
      </c>
      <c r="BY125" s="8" t="str">
        <f t="shared" si="251"/>
        <v/>
      </c>
      <c r="BZ125" s="8" t="str">
        <f t="shared" si="251"/>
        <v/>
      </c>
      <c r="CA125" s="8" t="str">
        <f t="shared" si="251"/>
        <v/>
      </c>
      <c r="CB125" s="8" t="str">
        <f t="shared" si="251"/>
        <v/>
      </c>
      <c r="CC125" s="8" t="str">
        <f t="shared" si="251"/>
        <v/>
      </c>
      <c r="CD125" s="8" t="str">
        <f t="shared" si="251"/>
        <v>David Copple, Will Lucas</v>
      </c>
      <c r="CE125" s="8" t="str">
        <f t="shared" si="251"/>
        <v>Sam Baranowski, Mike Barratt, Myles Johnstone</v>
      </c>
      <c r="CF125" s="8" t="str">
        <f t="shared" si="251"/>
        <v>Justin Baranowski (2), Sam Hallows</v>
      </c>
      <c r="CG125" s="8" t="str">
        <f t="shared" ref="CG125:CJ125" si="252">IF(CG84="",CG124,IF(CG124="",CG84,CG124&amp;", "&amp;CG84))</f>
        <v/>
      </c>
      <c r="CH125" s="8" t="str">
        <f t="shared" si="252"/>
        <v>David Copple, Sam Guest, Will Lucas</v>
      </c>
      <c r="CI125" s="8" t="str">
        <f t="shared" si="252"/>
        <v>Lorenzo Balzarini, Sam Baranowski, Mike Barratt (1), David Hudson, Myles Johnstone (1)</v>
      </c>
      <c r="CJ125" s="8" t="str">
        <f t="shared" si="252"/>
        <v>Dave Berman (1), Billy Camuso, Sam Hallows, Luke Johnstone</v>
      </c>
    </row>
    <row r="126" spans="7:88">
      <c r="G126" s="8">
        <f t="shared" si="188"/>
        <v>25</v>
      </c>
      <c r="I126" s="8" t="str">
        <f t="shared" ref="I126:BL126" si="253">IF(I85="",I125,IF(I125="",I85,I125&amp;", "&amp;I85))</f>
        <v/>
      </c>
      <c r="J126" s="8" t="str">
        <f t="shared" si="253"/>
        <v>Andy Booth, David Copple</v>
      </c>
      <c r="K126" s="8" t="str">
        <f t="shared" si="253"/>
        <v>Sam Baranowski, Dave Berman (2), Myles Johnstone (1)</v>
      </c>
      <c r="L126" s="8" t="str">
        <f t="shared" si="253"/>
        <v>Justin Baranowski (2), Billy Camuso, Luke Johnstone (1)</v>
      </c>
      <c r="M126" s="8" t="str">
        <f t="shared" si="253"/>
        <v/>
      </c>
      <c r="N126" s="8" t="str">
        <f t="shared" si="253"/>
        <v>Andy Booth, David Copple</v>
      </c>
      <c r="O126" s="8" t="str">
        <f t="shared" si="253"/>
        <v>Sam Baranowski, Mike Barratt (2), Dave Berman (1), Eddie Dale, Ben Iremonger (2), Myles Johnstone</v>
      </c>
      <c r="P126" s="8" t="str">
        <f t="shared" si="253"/>
        <v>Justin Baranowski (2), Billy Camuso</v>
      </c>
      <c r="Q126" s="30" t="str">
        <f t="shared" si="253"/>
        <v/>
      </c>
      <c r="R126" s="8" t="str">
        <f t="shared" si="253"/>
        <v>Andy Booth, David Copple</v>
      </c>
      <c r="S126" s="8" t="str">
        <f t="shared" si="253"/>
        <v>Sam Baranowski, Eddie Dale, Will Duval (1), Eugene Fung, Ben Iremonger, Myles Johnstone</v>
      </c>
      <c r="T126" s="8" t="str">
        <f t="shared" si="253"/>
        <v>Justin Baranowski, Billy Camuso</v>
      </c>
      <c r="U126" s="8" t="str">
        <f t="shared" si="253"/>
        <v>Lygon Bowen-west</v>
      </c>
      <c r="V126" s="8" t="str">
        <f t="shared" si="253"/>
        <v>Andy Booth, David Copple, Charlie Merry</v>
      </c>
      <c r="W126" s="8" t="str">
        <f t="shared" si="253"/>
        <v>Sam Baranowski, Eddie Dale, Ben Iremonger (1), Myles Johnstone (1)</v>
      </c>
      <c r="X126" s="8" t="str">
        <f t="shared" si="253"/>
        <v>Justin Baranowski (1), Luke Johnstone (2)</v>
      </c>
      <c r="Y126" s="8" t="str">
        <f t="shared" si="253"/>
        <v/>
      </c>
      <c r="Z126" s="8" t="str">
        <f t="shared" si="253"/>
        <v>Andy Booth, Conor Mills</v>
      </c>
      <c r="AA126" s="8" t="str">
        <f t="shared" si="253"/>
        <v>Lorenzo Balzarini (2), Eddie Dale, Jacob Hall (1), Ben Iremonger, Myles Johnstone (1)</v>
      </c>
      <c r="AB126" s="8" t="str">
        <f t="shared" si="253"/>
        <v>Justin Baranowski (1), Billy Camuso</v>
      </c>
      <c r="AC126" s="8" t="str">
        <f t="shared" si="253"/>
        <v/>
      </c>
      <c r="AD126" s="8" t="str">
        <f t="shared" si="253"/>
        <v>David Copple</v>
      </c>
      <c r="AE126" s="8" t="str">
        <f t="shared" si="253"/>
        <v>Lorenzo Balzarini (1), Sam Baranowski, Eddie Dale, Myles Johnstone</v>
      </c>
      <c r="AF126" s="8" t="str">
        <f t="shared" si="253"/>
        <v>Justin Baranowski (1), Billy Camuso</v>
      </c>
      <c r="AG126" s="8" t="str">
        <f t="shared" si="253"/>
        <v/>
      </c>
      <c r="AH126" s="8" t="str">
        <f t="shared" si="253"/>
        <v/>
      </c>
      <c r="AI126" s="8" t="str">
        <f t="shared" si="253"/>
        <v/>
      </c>
      <c r="AJ126" s="8" t="str">
        <f t="shared" si="253"/>
        <v/>
      </c>
      <c r="AK126" s="8" t="str">
        <f t="shared" si="253"/>
        <v/>
      </c>
      <c r="AL126" s="8" t="str">
        <f t="shared" si="253"/>
        <v>Will Lucas, Conor Mills</v>
      </c>
      <c r="AM126" s="8" t="str">
        <f t="shared" si="253"/>
        <v>Lorenzo Balzarini, Sam Baranowski, Andy Booth, Jacob Hall, Myles Johnstone (1)</v>
      </c>
      <c r="AN126" s="8" t="str">
        <f t="shared" si="253"/>
        <v>Justin Baranowski (2), Billy Camuso</v>
      </c>
      <c r="AO126" s="8" t="str">
        <f t="shared" si="253"/>
        <v/>
      </c>
      <c r="AP126" s="8" t="str">
        <f t="shared" si="253"/>
        <v>Andy Booth, David Copple, Conor Mills</v>
      </c>
      <c r="AQ126" s="8" t="str">
        <f t="shared" si="253"/>
        <v>Lorenzo Balzarini, Sam Baranowski, Mike Barratt (1)</v>
      </c>
      <c r="AR126" s="8" t="str">
        <f t="shared" si="253"/>
        <v>Justin Baranowski (1), Myles Johnstone</v>
      </c>
      <c r="AS126" s="8" t="str">
        <f t="shared" si="253"/>
        <v/>
      </c>
      <c r="AT126" s="8" t="str">
        <f t="shared" si="253"/>
        <v>Andy Booth, David Copple</v>
      </c>
      <c r="AU126" s="8" t="str">
        <f t="shared" si="253"/>
        <v>Lorenzo Balzarini, Mike Barratt (1), Lewis Blackshaw, Ben Iremonger</v>
      </c>
      <c r="AV126" s="8" t="str">
        <f t="shared" si="253"/>
        <v>Justin Baranowski, Myles Johnstone</v>
      </c>
      <c r="AW126" s="8" t="str">
        <f t="shared" si="253"/>
        <v/>
      </c>
      <c r="AX126" s="8" t="str">
        <f t="shared" si="253"/>
        <v>David Copple, Sam Guest (1)</v>
      </c>
      <c r="AY126" s="8" t="str">
        <f t="shared" si="253"/>
        <v>Jordan Anning, Lorenzo Balzarini (2), Jacob Hall</v>
      </c>
      <c r="AZ126" s="8" t="str">
        <f t="shared" si="253"/>
        <v>Myles Johnstone</v>
      </c>
      <c r="BA126" s="8" t="str">
        <f t="shared" si="253"/>
        <v/>
      </c>
      <c r="BB126" s="8" t="str">
        <f t="shared" si="253"/>
        <v>Andy Booth, David Copple, Conor Mills</v>
      </c>
      <c r="BC126" s="8" t="str">
        <f t="shared" si="253"/>
        <v>Jacob Hall, Ben Iremonger (4)</v>
      </c>
      <c r="BD126" s="8" t="str">
        <f t="shared" si="253"/>
        <v>Myles Johnstone (1)</v>
      </c>
      <c r="BE126" s="8" t="str">
        <f t="shared" si="253"/>
        <v/>
      </c>
      <c r="BF126" s="8" t="str">
        <f t="shared" si="253"/>
        <v>Andy Booth, David Copple, Sam Guest</v>
      </c>
      <c r="BG126" s="8" t="str">
        <f t="shared" si="253"/>
        <v>Lorenzo Balzarini (1), Mike Barratt (3), Jacob Hall, Ben Iremonger (1)</v>
      </c>
      <c r="BH126" s="8" t="str">
        <f t="shared" si="253"/>
        <v>Justin Baranowski (2), Myles Johnstone (1)</v>
      </c>
      <c r="BI126" s="8" t="str">
        <f t="shared" si="253"/>
        <v/>
      </c>
      <c r="BJ126" s="8" t="str">
        <f t="shared" si="253"/>
        <v>Andy Booth, David Copple</v>
      </c>
      <c r="BK126" s="8" t="str">
        <f t="shared" si="253"/>
        <v>Lorenzo Balzarini (1)</v>
      </c>
      <c r="BL126" s="8" t="str">
        <f t="shared" si="253"/>
        <v>Justin Baranowski, Billy Camuso (1), Myles Johnstone</v>
      </c>
      <c r="BM126" s="8" t="str">
        <f t="shared" ref="BM126:CF126" si="254">IF(BM85="",BM125,IF(BM125="",BM85,BM125&amp;", "&amp;BM85))</f>
        <v/>
      </c>
      <c r="BN126" s="8" t="str">
        <f t="shared" si="254"/>
        <v/>
      </c>
      <c r="BO126" s="8" t="str">
        <f t="shared" si="254"/>
        <v/>
      </c>
      <c r="BP126" s="8" t="str">
        <f t="shared" si="254"/>
        <v/>
      </c>
      <c r="BQ126" s="8" t="str">
        <f t="shared" si="254"/>
        <v/>
      </c>
      <c r="BR126" s="8" t="str">
        <f t="shared" si="254"/>
        <v>Andy Booth, David Copple, Conor Mills</v>
      </c>
      <c r="BS126" s="8" t="str">
        <f t="shared" si="254"/>
        <v>Lorenzo Balzarini, Sam Baranowski, Kieran Kershaw</v>
      </c>
      <c r="BT126" s="8" t="str">
        <f t="shared" si="254"/>
        <v>Justin Baranowski, Billy Camuso (1), Sam Hallows</v>
      </c>
      <c r="BU126" s="8" t="str">
        <f t="shared" si="254"/>
        <v/>
      </c>
      <c r="BV126" s="8" t="str">
        <f t="shared" si="254"/>
        <v/>
      </c>
      <c r="BW126" s="8" t="str">
        <f t="shared" si="254"/>
        <v/>
      </c>
      <c r="BX126" s="8" t="str">
        <f t="shared" si="254"/>
        <v/>
      </c>
      <c r="BY126" s="8" t="str">
        <f t="shared" si="254"/>
        <v/>
      </c>
      <c r="BZ126" s="8" t="str">
        <f t="shared" si="254"/>
        <v/>
      </c>
      <c r="CA126" s="8" t="str">
        <f t="shared" si="254"/>
        <v/>
      </c>
      <c r="CB126" s="8" t="str">
        <f t="shared" si="254"/>
        <v/>
      </c>
      <c r="CC126" s="8" t="str">
        <f t="shared" si="254"/>
        <v/>
      </c>
      <c r="CD126" s="8" t="str">
        <f t="shared" si="254"/>
        <v>David Copple, Will Lucas, Conor Mills</v>
      </c>
      <c r="CE126" s="8" t="str">
        <f t="shared" si="254"/>
        <v>Sam Baranowski, Mike Barratt, Myles Johnstone</v>
      </c>
      <c r="CF126" s="8" t="str">
        <f t="shared" si="254"/>
        <v>Justin Baranowski (2), Sam Hallows</v>
      </c>
      <c r="CG126" s="8" t="str">
        <f t="shared" ref="CG126:CJ126" si="255">IF(CG85="",CG125,IF(CG125="",CG85,CG125&amp;", "&amp;CG85))</f>
        <v/>
      </c>
      <c r="CH126" s="8" t="str">
        <f t="shared" si="255"/>
        <v>David Copple, Sam Guest, Will Lucas, Conor Mills</v>
      </c>
      <c r="CI126" s="8" t="str">
        <f t="shared" si="255"/>
        <v>Lorenzo Balzarini, Sam Baranowski, Mike Barratt (1), David Hudson, Myles Johnstone (1)</v>
      </c>
      <c r="CJ126" s="8" t="str">
        <f t="shared" si="255"/>
        <v>Dave Berman (1), Billy Camuso, Sam Hallows, Luke Johnstone</v>
      </c>
    </row>
    <row r="127" spans="7:88">
      <c r="G127" s="8">
        <f t="shared" si="188"/>
        <v>26</v>
      </c>
      <c r="I127" s="8" t="str">
        <f t="shared" ref="I127:BL127" si="256">IF(I86="",I126,IF(I126="",I86,I126&amp;", "&amp;I86))</f>
        <v/>
      </c>
      <c r="J127" s="8" t="str">
        <f t="shared" si="256"/>
        <v>Andy Booth, David Copple</v>
      </c>
      <c r="K127" s="8" t="str">
        <f t="shared" si="256"/>
        <v>Sam Baranowski, Dave Berman (2), Myles Johnstone (1)</v>
      </c>
      <c r="L127" s="8" t="str">
        <f t="shared" si="256"/>
        <v>Justin Baranowski (2), Billy Camuso, Luke Johnstone (1)</v>
      </c>
      <c r="M127" s="8" t="str">
        <f t="shared" si="256"/>
        <v/>
      </c>
      <c r="N127" s="8" t="str">
        <f t="shared" si="256"/>
        <v>Andy Booth, David Copple</v>
      </c>
      <c r="O127" s="8" t="str">
        <f t="shared" si="256"/>
        <v>Sam Baranowski, Mike Barratt (2), Dave Berman (1), Eddie Dale, Ben Iremonger (2), Myles Johnstone</v>
      </c>
      <c r="P127" s="8" t="str">
        <f t="shared" si="256"/>
        <v>Justin Baranowski (2), Billy Camuso, Matt Payne (5)</v>
      </c>
      <c r="Q127" s="30" t="str">
        <f t="shared" si="256"/>
        <v/>
      </c>
      <c r="R127" s="8" t="str">
        <f t="shared" si="256"/>
        <v>Andy Booth, David Copple</v>
      </c>
      <c r="S127" s="8" t="str">
        <f t="shared" si="256"/>
        <v>Sam Baranowski, Eddie Dale, Will Duval (1), Eugene Fung, Ben Iremonger, Myles Johnstone</v>
      </c>
      <c r="T127" s="8" t="str">
        <f t="shared" si="256"/>
        <v>Justin Baranowski, Billy Camuso, Matt Payne (1)</v>
      </c>
      <c r="U127" s="8" t="str">
        <f t="shared" si="256"/>
        <v>Lygon Bowen-west</v>
      </c>
      <c r="V127" s="8" t="str">
        <f t="shared" si="256"/>
        <v>Andy Booth, David Copple, Charlie Merry</v>
      </c>
      <c r="W127" s="8" t="str">
        <f t="shared" si="256"/>
        <v>Sam Baranowski, Eddie Dale, Ben Iremonger (1), Myles Johnstone (1)</v>
      </c>
      <c r="X127" s="8" t="str">
        <f t="shared" si="256"/>
        <v>Justin Baranowski (1), Luke Johnstone (2), Matt Payne (3)</v>
      </c>
      <c r="Y127" s="8" t="str">
        <f t="shared" si="256"/>
        <v/>
      </c>
      <c r="Z127" s="8" t="str">
        <f t="shared" si="256"/>
        <v>Andy Booth, Conor Mills</v>
      </c>
      <c r="AA127" s="8" t="str">
        <f t="shared" si="256"/>
        <v>Lorenzo Balzarini (2), Eddie Dale, Jacob Hall (1), Ben Iremonger, Myles Johnstone (1)</v>
      </c>
      <c r="AB127" s="8" t="str">
        <f t="shared" si="256"/>
        <v>Justin Baranowski (1), Billy Camuso</v>
      </c>
      <c r="AC127" s="8" t="str">
        <f t="shared" si="256"/>
        <v/>
      </c>
      <c r="AD127" s="8" t="str">
        <f t="shared" si="256"/>
        <v>David Copple</v>
      </c>
      <c r="AE127" s="8" t="str">
        <f t="shared" si="256"/>
        <v>Lorenzo Balzarini (1), Sam Baranowski, Eddie Dale, Myles Johnstone</v>
      </c>
      <c r="AF127" s="8" t="str">
        <f t="shared" si="256"/>
        <v>Justin Baranowski (1), Billy Camuso, Matt Payne (1)</v>
      </c>
      <c r="AG127" s="8" t="str">
        <f t="shared" si="256"/>
        <v/>
      </c>
      <c r="AH127" s="8" t="str">
        <f t="shared" si="256"/>
        <v/>
      </c>
      <c r="AI127" s="8" t="str">
        <f t="shared" si="256"/>
        <v/>
      </c>
      <c r="AJ127" s="8" t="str">
        <f t="shared" si="256"/>
        <v/>
      </c>
      <c r="AK127" s="8" t="str">
        <f t="shared" si="256"/>
        <v/>
      </c>
      <c r="AL127" s="8" t="str">
        <f t="shared" si="256"/>
        <v>Will Lucas, Conor Mills</v>
      </c>
      <c r="AM127" s="8" t="str">
        <f t="shared" si="256"/>
        <v>Lorenzo Balzarini, Sam Baranowski, Andy Booth, Jacob Hall, Myles Johnstone (1)</v>
      </c>
      <c r="AN127" s="8" t="str">
        <f t="shared" si="256"/>
        <v>Justin Baranowski (2), Billy Camuso, Matt Payne (2)</v>
      </c>
      <c r="AO127" s="8" t="str">
        <f t="shared" si="256"/>
        <v/>
      </c>
      <c r="AP127" s="8" t="str">
        <f t="shared" si="256"/>
        <v>Andy Booth, David Copple, Conor Mills</v>
      </c>
      <c r="AQ127" s="8" t="str">
        <f t="shared" si="256"/>
        <v>Lorenzo Balzarini, Sam Baranowski, Mike Barratt (1)</v>
      </c>
      <c r="AR127" s="8" t="str">
        <f t="shared" si="256"/>
        <v>Justin Baranowski (1), Myles Johnstone, Matt Payne (5)</v>
      </c>
      <c r="AS127" s="8" t="str">
        <f t="shared" si="256"/>
        <v/>
      </c>
      <c r="AT127" s="8" t="str">
        <f t="shared" si="256"/>
        <v>Andy Booth, David Copple</v>
      </c>
      <c r="AU127" s="8" t="str">
        <f t="shared" si="256"/>
        <v>Lorenzo Balzarini, Mike Barratt (1), Lewis Blackshaw, Ben Iremonger</v>
      </c>
      <c r="AV127" s="8" t="str">
        <f t="shared" si="256"/>
        <v>Justin Baranowski, Myles Johnstone, Matt Payne (1)</v>
      </c>
      <c r="AW127" s="8" t="str">
        <f t="shared" si="256"/>
        <v/>
      </c>
      <c r="AX127" s="8" t="str">
        <f t="shared" si="256"/>
        <v>David Copple, Sam Guest (1)</v>
      </c>
      <c r="AY127" s="8" t="str">
        <f t="shared" si="256"/>
        <v>Jordan Anning, Lorenzo Balzarini (2), Jacob Hall</v>
      </c>
      <c r="AZ127" s="8" t="str">
        <f t="shared" si="256"/>
        <v>Myles Johnstone, Matt Payne (2)</v>
      </c>
      <c r="BA127" s="8" t="str">
        <f t="shared" si="256"/>
        <v/>
      </c>
      <c r="BB127" s="8" t="str">
        <f t="shared" si="256"/>
        <v>Andy Booth, David Copple, Conor Mills</v>
      </c>
      <c r="BC127" s="8" t="str">
        <f t="shared" si="256"/>
        <v>Jacob Hall, Ben Iremonger (4)</v>
      </c>
      <c r="BD127" s="8" t="str">
        <f t="shared" si="256"/>
        <v>Myles Johnstone (1)</v>
      </c>
      <c r="BE127" s="8" t="str">
        <f t="shared" si="256"/>
        <v/>
      </c>
      <c r="BF127" s="8" t="str">
        <f t="shared" si="256"/>
        <v>Andy Booth, David Copple, Sam Guest</v>
      </c>
      <c r="BG127" s="8" t="str">
        <f t="shared" si="256"/>
        <v>Lorenzo Balzarini (1), Mike Barratt (3), Jacob Hall, Ben Iremonger (1)</v>
      </c>
      <c r="BH127" s="8" t="str">
        <f t="shared" si="256"/>
        <v>Justin Baranowski (2), Myles Johnstone (1), Matt Payne</v>
      </c>
      <c r="BI127" s="8" t="str">
        <f t="shared" si="256"/>
        <v/>
      </c>
      <c r="BJ127" s="8" t="str">
        <f t="shared" si="256"/>
        <v>Andy Booth, David Copple</v>
      </c>
      <c r="BK127" s="8" t="str">
        <f t="shared" si="256"/>
        <v>Lorenzo Balzarini (1)</v>
      </c>
      <c r="BL127" s="8" t="str">
        <f t="shared" si="256"/>
        <v>Justin Baranowski, Billy Camuso (1), Myles Johnstone, Matt Payne (2)</v>
      </c>
      <c r="BM127" s="8" t="str">
        <f t="shared" ref="BM127:CF127" si="257">IF(BM86="",BM126,IF(BM126="",BM86,BM126&amp;", "&amp;BM86))</f>
        <v/>
      </c>
      <c r="BN127" s="8" t="str">
        <f t="shared" si="257"/>
        <v/>
      </c>
      <c r="BO127" s="8" t="str">
        <f t="shared" si="257"/>
        <v/>
      </c>
      <c r="BP127" s="8" t="str">
        <f t="shared" si="257"/>
        <v/>
      </c>
      <c r="BQ127" s="8" t="str">
        <f t="shared" si="257"/>
        <v/>
      </c>
      <c r="BR127" s="8" t="str">
        <f t="shared" si="257"/>
        <v>Andy Booth, David Copple, Conor Mills</v>
      </c>
      <c r="BS127" s="8" t="str">
        <f t="shared" si="257"/>
        <v>Lorenzo Balzarini, Sam Baranowski, Kieran Kershaw</v>
      </c>
      <c r="BT127" s="8" t="str">
        <f t="shared" si="257"/>
        <v>Justin Baranowski, Billy Camuso (1), Sam Hallows</v>
      </c>
      <c r="BU127" s="8" t="str">
        <f t="shared" si="257"/>
        <v/>
      </c>
      <c r="BV127" s="8" t="str">
        <f t="shared" si="257"/>
        <v/>
      </c>
      <c r="BW127" s="8" t="str">
        <f t="shared" si="257"/>
        <v/>
      </c>
      <c r="BX127" s="8" t="str">
        <f t="shared" si="257"/>
        <v/>
      </c>
      <c r="BY127" s="8" t="str">
        <f t="shared" si="257"/>
        <v/>
      </c>
      <c r="BZ127" s="8" t="str">
        <f t="shared" si="257"/>
        <v/>
      </c>
      <c r="CA127" s="8" t="str">
        <f t="shared" si="257"/>
        <v/>
      </c>
      <c r="CB127" s="8" t="str">
        <f t="shared" si="257"/>
        <v/>
      </c>
      <c r="CC127" s="8" t="str">
        <f t="shared" si="257"/>
        <v/>
      </c>
      <c r="CD127" s="8" t="str">
        <f t="shared" si="257"/>
        <v>David Copple, Will Lucas, Conor Mills</v>
      </c>
      <c r="CE127" s="8" t="str">
        <f t="shared" si="257"/>
        <v>Sam Baranowski, Mike Barratt, Myles Johnstone</v>
      </c>
      <c r="CF127" s="8" t="str">
        <f t="shared" si="257"/>
        <v>Justin Baranowski (2), Sam Hallows, Matt Payne (1)</v>
      </c>
      <c r="CG127" s="8" t="str">
        <f t="shared" ref="CG127:CJ127" si="258">IF(CG86="",CG126,IF(CG126="",CG86,CG126&amp;", "&amp;CG86))</f>
        <v/>
      </c>
      <c r="CH127" s="8" t="str">
        <f t="shared" si="258"/>
        <v>David Copple, Sam Guest, Will Lucas, Conor Mills</v>
      </c>
      <c r="CI127" s="8" t="str">
        <f t="shared" si="258"/>
        <v>Lorenzo Balzarini, Sam Baranowski, Mike Barratt (1), David Hudson, Myles Johnstone (1)</v>
      </c>
      <c r="CJ127" s="8" t="str">
        <f t="shared" si="258"/>
        <v>Dave Berman (1), Billy Camuso, Sam Hallows, Luke Johnstone, Matt Payne</v>
      </c>
    </row>
    <row r="128" spans="7:88">
      <c r="G128" s="8">
        <f t="shared" si="188"/>
        <v>27</v>
      </c>
      <c r="I128" s="8" t="str">
        <f t="shared" ref="I128:BL128" si="259">IF(I87="",I127,IF(I127="",I87,I127&amp;", "&amp;I87))</f>
        <v/>
      </c>
      <c r="J128" s="8" t="str">
        <f t="shared" si="259"/>
        <v>Andy Booth, David Copple</v>
      </c>
      <c r="K128" s="8" t="str">
        <f t="shared" si="259"/>
        <v>Sam Baranowski, Dave Berman (2), Myles Johnstone (1), Richard Pearse</v>
      </c>
      <c r="L128" s="8" t="str">
        <f t="shared" si="259"/>
        <v>Justin Baranowski (2), Billy Camuso, Luke Johnstone (1)</v>
      </c>
      <c r="M128" s="8" t="str">
        <f t="shared" si="259"/>
        <v/>
      </c>
      <c r="N128" s="8" t="str">
        <f t="shared" si="259"/>
        <v>Andy Booth, David Copple</v>
      </c>
      <c r="O128" s="8" t="str">
        <f t="shared" si="259"/>
        <v>Sam Baranowski, Mike Barratt (2), Dave Berman (1), Eddie Dale, Ben Iremonger (2), Myles Johnstone, Richard Pearse (2)</v>
      </c>
      <c r="P128" s="8" t="str">
        <f t="shared" si="259"/>
        <v>Justin Baranowski (2), Billy Camuso, Matt Payne (5)</v>
      </c>
      <c r="Q128" s="30" t="str">
        <f t="shared" si="259"/>
        <v/>
      </c>
      <c r="R128" s="8" t="str">
        <f t="shared" si="259"/>
        <v>Andy Booth, David Copple</v>
      </c>
      <c r="S128" s="8" t="str">
        <f t="shared" si="259"/>
        <v>Sam Baranowski, Eddie Dale, Will Duval (1), Eugene Fung, Ben Iremonger, Myles Johnstone</v>
      </c>
      <c r="T128" s="8" t="str">
        <f t="shared" si="259"/>
        <v>Justin Baranowski, Billy Camuso, Matt Payne (1)</v>
      </c>
      <c r="U128" s="8" t="str">
        <f t="shared" si="259"/>
        <v>Lygon Bowen-west</v>
      </c>
      <c r="V128" s="8" t="str">
        <f t="shared" si="259"/>
        <v>Andy Booth, David Copple, Charlie Merry</v>
      </c>
      <c r="W128" s="8" t="str">
        <f t="shared" si="259"/>
        <v>Sam Baranowski, Eddie Dale, Ben Iremonger (1), Myles Johnstone (1)</v>
      </c>
      <c r="X128" s="8" t="str">
        <f t="shared" si="259"/>
        <v>Justin Baranowski (1), Luke Johnstone (2), Matt Payne (3)</v>
      </c>
      <c r="Y128" s="8" t="str">
        <f t="shared" si="259"/>
        <v/>
      </c>
      <c r="Z128" s="8" t="str">
        <f t="shared" si="259"/>
        <v>Andy Booth, Conor Mills</v>
      </c>
      <c r="AA128" s="8" t="str">
        <f t="shared" si="259"/>
        <v>Lorenzo Balzarini (2), Eddie Dale, Jacob Hall (1), Ben Iremonger, Myles Johnstone (1)</v>
      </c>
      <c r="AB128" s="8" t="str">
        <f t="shared" si="259"/>
        <v>Justin Baranowski (1), Billy Camuso, Richard Pearse</v>
      </c>
      <c r="AC128" s="8" t="str">
        <f t="shared" si="259"/>
        <v/>
      </c>
      <c r="AD128" s="8" t="str">
        <f t="shared" si="259"/>
        <v>David Copple</v>
      </c>
      <c r="AE128" s="8" t="str">
        <f t="shared" si="259"/>
        <v>Lorenzo Balzarini (1), Sam Baranowski, Eddie Dale, Myles Johnstone, Richard Pearse</v>
      </c>
      <c r="AF128" s="8" t="str">
        <f t="shared" si="259"/>
        <v>Justin Baranowski (1), Billy Camuso, Matt Payne (1)</v>
      </c>
      <c r="AG128" s="8" t="str">
        <f t="shared" si="259"/>
        <v/>
      </c>
      <c r="AH128" s="8" t="str">
        <f t="shared" si="259"/>
        <v/>
      </c>
      <c r="AI128" s="8" t="str">
        <f t="shared" si="259"/>
        <v/>
      </c>
      <c r="AJ128" s="8" t="str">
        <f t="shared" si="259"/>
        <v/>
      </c>
      <c r="AK128" s="8" t="str">
        <f t="shared" si="259"/>
        <v/>
      </c>
      <c r="AL128" s="8" t="str">
        <f t="shared" si="259"/>
        <v>Will Lucas, Conor Mills</v>
      </c>
      <c r="AM128" s="8" t="str">
        <f t="shared" si="259"/>
        <v>Lorenzo Balzarini, Sam Baranowski, Andy Booth, Jacob Hall, Myles Johnstone (1)</v>
      </c>
      <c r="AN128" s="8" t="str">
        <f t="shared" si="259"/>
        <v>Justin Baranowski (2), Billy Camuso, Matt Payne (2)</v>
      </c>
      <c r="AO128" s="8" t="str">
        <f t="shared" si="259"/>
        <v/>
      </c>
      <c r="AP128" s="8" t="str">
        <f t="shared" si="259"/>
        <v>Andy Booth, David Copple, Conor Mills</v>
      </c>
      <c r="AQ128" s="8" t="str">
        <f t="shared" si="259"/>
        <v>Lorenzo Balzarini, Sam Baranowski, Mike Barratt (1), Richard Pearse</v>
      </c>
      <c r="AR128" s="8" t="str">
        <f t="shared" si="259"/>
        <v>Justin Baranowski (1), Myles Johnstone, Matt Payne (5)</v>
      </c>
      <c r="AS128" s="8" t="str">
        <f t="shared" si="259"/>
        <v/>
      </c>
      <c r="AT128" s="8" t="str">
        <f t="shared" si="259"/>
        <v>Andy Booth, David Copple</v>
      </c>
      <c r="AU128" s="8" t="str">
        <f t="shared" si="259"/>
        <v>Lorenzo Balzarini, Mike Barratt (1), Lewis Blackshaw, Ben Iremonger, Richard Pearse (1)</v>
      </c>
      <c r="AV128" s="8" t="str">
        <f t="shared" si="259"/>
        <v>Justin Baranowski, Myles Johnstone, Matt Payne (1)</v>
      </c>
      <c r="AW128" s="8" t="str">
        <f t="shared" si="259"/>
        <v/>
      </c>
      <c r="AX128" s="8" t="str">
        <f t="shared" si="259"/>
        <v>David Copple, Sam Guest (1)</v>
      </c>
      <c r="AY128" s="8" t="str">
        <f t="shared" si="259"/>
        <v>Jordan Anning, Lorenzo Balzarini (2), Jacob Hall, Richard Pearse</v>
      </c>
      <c r="AZ128" s="8" t="str">
        <f t="shared" si="259"/>
        <v>Myles Johnstone, Matt Payne (2)</v>
      </c>
      <c r="BA128" s="8" t="str">
        <f t="shared" si="259"/>
        <v/>
      </c>
      <c r="BB128" s="8" t="str">
        <f t="shared" si="259"/>
        <v>Andy Booth, David Copple, Conor Mills</v>
      </c>
      <c r="BC128" s="8" t="str">
        <f t="shared" si="259"/>
        <v>Jacob Hall, Ben Iremonger (4)</v>
      </c>
      <c r="BD128" s="8" t="str">
        <f t="shared" si="259"/>
        <v>Myles Johnstone (1), Richard Pearse (1)</v>
      </c>
      <c r="BE128" s="8" t="str">
        <f t="shared" si="259"/>
        <v/>
      </c>
      <c r="BF128" s="8" t="str">
        <f t="shared" si="259"/>
        <v>Andy Booth, David Copple, Sam Guest</v>
      </c>
      <c r="BG128" s="8" t="str">
        <f t="shared" si="259"/>
        <v>Lorenzo Balzarini (1), Mike Barratt (3), Jacob Hall, Ben Iremonger (1)</v>
      </c>
      <c r="BH128" s="8" t="str">
        <f t="shared" si="259"/>
        <v>Justin Baranowski (2), Myles Johnstone (1), Matt Payne</v>
      </c>
      <c r="BI128" s="8" t="str">
        <f t="shared" si="259"/>
        <v/>
      </c>
      <c r="BJ128" s="8" t="str">
        <f t="shared" si="259"/>
        <v>Andy Booth, David Copple</v>
      </c>
      <c r="BK128" s="8" t="str">
        <f t="shared" si="259"/>
        <v>Lorenzo Balzarini (1), Richard Pearse (3)</v>
      </c>
      <c r="BL128" s="8" t="str">
        <f t="shared" si="259"/>
        <v>Justin Baranowski, Billy Camuso (1), Myles Johnstone, Matt Payne (2)</v>
      </c>
      <c r="BM128" s="8" t="str">
        <f t="shared" ref="BM128:CF128" si="260">IF(BM87="",BM127,IF(BM127="",BM87,BM127&amp;", "&amp;BM87))</f>
        <v/>
      </c>
      <c r="BN128" s="8" t="str">
        <f t="shared" si="260"/>
        <v/>
      </c>
      <c r="BO128" s="8" t="str">
        <f t="shared" si="260"/>
        <v/>
      </c>
      <c r="BP128" s="8" t="str">
        <f t="shared" si="260"/>
        <v/>
      </c>
      <c r="BQ128" s="8" t="str">
        <f t="shared" si="260"/>
        <v/>
      </c>
      <c r="BR128" s="8" t="str">
        <f t="shared" si="260"/>
        <v>Andy Booth, David Copple, Conor Mills</v>
      </c>
      <c r="BS128" s="8" t="str">
        <f t="shared" si="260"/>
        <v>Lorenzo Balzarini, Sam Baranowski, Kieran Kershaw, Richard Pearse (1)</v>
      </c>
      <c r="BT128" s="8" t="str">
        <f t="shared" si="260"/>
        <v>Justin Baranowski, Billy Camuso (1), Sam Hallows</v>
      </c>
      <c r="BU128" s="8" t="str">
        <f t="shared" si="260"/>
        <v/>
      </c>
      <c r="BV128" s="8" t="str">
        <f t="shared" si="260"/>
        <v/>
      </c>
      <c r="BW128" s="8" t="str">
        <f t="shared" si="260"/>
        <v/>
      </c>
      <c r="BX128" s="8" t="str">
        <f t="shared" si="260"/>
        <v/>
      </c>
      <c r="BY128" s="8" t="str">
        <f t="shared" si="260"/>
        <v/>
      </c>
      <c r="BZ128" s="8" t="str">
        <f t="shared" si="260"/>
        <v/>
      </c>
      <c r="CA128" s="8" t="str">
        <f t="shared" si="260"/>
        <v/>
      </c>
      <c r="CB128" s="8" t="str">
        <f t="shared" si="260"/>
        <v/>
      </c>
      <c r="CC128" s="8" t="str">
        <f t="shared" si="260"/>
        <v/>
      </c>
      <c r="CD128" s="8" t="str">
        <f t="shared" si="260"/>
        <v>David Copple, Will Lucas, Conor Mills</v>
      </c>
      <c r="CE128" s="8" t="str">
        <f t="shared" si="260"/>
        <v>Sam Baranowski, Mike Barratt, Myles Johnstone, Richard Pearse</v>
      </c>
      <c r="CF128" s="8" t="str">
        <f t="shared" si="260"/>
        <v>Justin Baranowski (2), Sam Hallows, Matt Payne (1)</v>
      </c>
      <c r="CG128" s="8" t="str">
        <f t="shared" ref="CG128:CJ128" si="261">IF(CG87="",CG127,IF(CG127="",CG87,CG127&amp;", "&amp;CG87))</f>
        <v/>
      </c>
      <c r="CH128" s="8" t="str">
        <f t="shared" si="261"/>
        <v>David Copple, Sam Guest, Will Lucas, Conor Mills</v>
      </c>
      <c r="CI128" s="8" t="str">
        <f t="shared" si="261"/>
        <v>Lorenzo Balzarini, Sam Baranowski, Mike Barratt (1), David Hudson, Myles Johnstone (1), Richard Pearse</v>
      </c>
      <c r="CJ128" s="8" t="str">
        <f t="shared" si="261"/>
        <v>Dave Berman (1), Billy Camuso, Sam Hallows, Luke Johnstone, Matt Payne</v>
      </c>
    </row>
    <row r="129" spans="5:88">
      <c r="G129" s="8">
        <f t="shared" si="188"/>
        <v>28</v>
      </c>
      <c r="I129" s="8" t="str">
        <f t="shared" ref="I129:BL129" si="262">IF(I88="",I128,IF(I128="",I88,I128&amp;", "&amp;I88))</f>
        <v/>
      </c>
      <c r="J129" s="8" t="str">
        <f t="shared" si="262"/>
        <v>Andy Booth, David Copple</v>
      </c>
      <c r="K129" s="8" t="str">
        <f t="shared" si="262"/>
        <v>Sam Baranowski, Dave Berman (2), Myles Johnstone (1), Richard Pearse</v>
      </c>
      <c r="L129" s="8" t="str">
        <f t="shared" si="262"/>
        <v>Justin Baranowski (2), Billy Camuso, Luke Johnstone (1)</v>
      </c>
      <c r="M129" s="8" t="str">
        <f t="shared" si="262"/>
        <v/>
      </c>
      <c r="N129" s="8" t="str">
        <f t="shared" si="262"/>
        <v>Andy Booth, David Copple</v>
      </c>
      <c r="O129" s="8" t="str">
        <f t="shared" si="262"/>
        <v>Sam Baranowski, Mike Barratt (2), Dave Berman (1), Eddie Dale, Ben Iremonger (2), Myles Johnstone, Richard Pearse (2)</v>
      </c>
      <c r="P129" s="8" t="str">
        <f t="shared" si="262"/>
        <v>Justin Baranowski (2), Billy Camuso, Matt Payne (5)</v>
      </c>
      <c r="Q129" s="30" t="str">
        <f t="shared" si="262"/>
        <v/>
      </c>
      <c r="R129" s="8" t="str">
        <f t="shared" si="262"/>
        <v>Andy Booth, David Copple</v>
      </c>
      <c r="S129" s="8" t="str">
        <f t="shared" si="262"/>
        <v>Sam Baranowski, Eddie Dale, Will Duval (1), Eugene Fung, Ben Iremonger, Myles Johnstone</v>
      </c>
      <c r="T129" s="8" t="str">
        <f t="shared" si="262"/>
        <v>Justin Baranowski, Billy Camuso, Matt Payne (1)</v>
      </c>
      <c r="U129" s="8" t="str">
        <f t="shared" si="262"/>
        <v>Lygon Bowen-west</v>
      </c>
      <c r="V129" s="8" t="str">
        <f t="shared" si="262"/>
        <v>Andy Booth, David Copple, Charlie Merry</v>
      </c>
      <c r="W129" s="8" t="str">
        <f t="shared" si="262"/>
        <v>Sam Baranowski, Eddie Dale, Ben Iremonger (1), Myles Johnstone (1)</v>
      </c>
      <c r="X129" s="8" t="str">
        <f t="shared" si="262"/>
        <v>Justin Baranowski (1), Luke Johnstone (2), Matt Payne (3)</v>
      </c>
      <c r="Y129" s="8" t="str">
        <f t="shared" si="262"/>
        <v/>
      </c>
      <c r="Z129" s="8" t="str">
        <f t="shared" si="262"/>
        <v>Andy Booth, Conor Mills</v>
      </c>
      <c r="AA129" s="8" t="str">
        <f t="shared" si="262"/>
        <v>Lorenzo Balzarini (2), Eddie Dale, Jacob Hall (1), Ben Iremonger, Myles Johnstone (1)</v>
      </c>
      <c r="AB129" s="8" t="str">
        <f t="shared" si="262"/>
        <v>Justin Baranowski (1), Billy Camuso, Richard Pearse</v>
      </c>
      <c r="AC129" s="8" t="str">
        <f t="shared" si="262"/>
        <v/>
      </c>
      <c r="AD129" s="8" t="str">
        <f t="shared" si="262"/>
        <v>David Copple</v>
      </c>
      <c r="AE129" s="8" t="str">
        <f t="shared" si="262"/>
        <v>Lorenzo Balzarini (1), Sam Baranowski, Eddie Dale, Myles Johnstone, Richard Pearse</v>
      </c>
      <c r="AF129" s="8" t="str">
        <f t="shared" si="262"/>
        <v>Justin Baranowski (1), Billy Camuso, Matt Payne (1)</v>
      </c>
      <c r="AG129" s="8" t="str">
        <f t="shared" si="262"/>
        <v/>
      </c>
      <c r="AH129" s="8" t="str">
        <f t="shared" si="262"/>
        <v/>
      </c>
      <c r="AI129" s="8" t="str">
        <f t="shared" si="262"/>
        <v/>
      </c>
      <c r="AJ129" s="8" t="str">
        <f t="shared" si="262"/>
        <v/>
      </c>
      <c r="AK129" s="8" t="str">
        <f t="shared" si="262"/>
        <v/>
      </c>
      <c r="AL129" s="8" t="str">
        <f t="shared" si="262"/>
        <v>Will Lucas, Conor Mills</v>
      </c>
      <c r="AM129" s="8" t="str">
        <f t="shared" si="262"/>
        <v>Lorenzo Balzarini, Sam Baranowski, Andy Booth, Jacob Hall, Myles Johnstone (1)</v>
      </c>
      <c r="AN129" s="8" t="str">
        <f t="shared" si="262"/>
        <v>Justin Baranowski (2), Billy Camuso, Matt Payne (2)</v>
      </c>
      <c r="AO129" s="8" t="str">
        <f t="shared" si="262"/>
        <v/>
      </c>
      <c r="AP129" s="8" t="str">
        <f t="shared" si="262"/>
        <v>Andy Booth, David Copple, Conor Mills</v>
      </c>
      <c r="AQ129" s="8" t="str">
        <f t="shared" si="262"/>
        <v>Lorenzo Balzarini, Sam Baranowski, Mike Barratt (1), Richard Pearse</v>
      </c>
      <c r="AR129" s="8" t="str">
        <f t="shared" si="262"/>
        <v>Justin Baranowski (1), Myles Johnstone, Matt Payne (5)</v>
      </c>
      <c r="AS129" s="8" t="str">
        <f t="shared" si="262"/>
        <v>Eliot Pugh</v>
      </c>
      <c r="AT129" s="8" t="str">
        <f t="shared" si="262"/>
        <v>Andy Booth, David Copple</v>
      </c>
      <c r="AU129" s="8" t="str">
        <f t="shared" si="262"/>
        <v>Lorenzo Balzarini, Mike Barratt (1), Lewis Blackshaw, Ben Iremonger, Richard Pearse (1)</v>
      </c>
      <c r="AV129" s="8" t="str">
        <f t="shared" si="262"/>
        <v>Justin Baranowski, Myles Johnstone, Matt Payne (1)</v>
      </c>
      <c r="AW129" s="8" t="str">
        <f t="shared" si="262"/>
        <v/>
      </c>
      <c r="AX129" s="8" t="str">
        <f t="shared" si="262"/>
        <v>David Copple, Sam Guest (1)</v>
      </c>
      <c r="AY129" s="8" t="str">
        <f t="shared" si="262"/>
        <v>Jordan Anning, Lorenzo Balzarini (2), Jacob Hall, Richard Pearse</v>
      </c>
      <c r="AZ129" s="8" t="str">
        <f t="shared" si="262"/>
        <v>Myles Johnstone, Matt Payne (2)</v>
      </c>
      <c r="BA129" s="8" t="str">
        <f t="shared" si="262"/>
        <v/>
      </c>
      <c r="BB129" s="8" t="str">
        <f t="shared" si="262"/>
        <v>Andy Booth, David Copple, Conor Mills</v>
      </c>
      <c r="BC129" s="8" t="str">
        <f t="shared" si="262"/>
        <v>Jacob Hall, Ben Iremonger (4)</v>
      </c>
      <c r="BD129" s="8" t="str">
        <f t="shared" si="262"/>
        <v>Myles Johnstone (1), Richard Pearse (1)</v>
      </c>
      <c r="BE129" s="8" t="str">
        <f t="shared" si="262"/>
        <v/>
      </c>
      <c r="BF129" s="8" t="str">
        <f t="shared" si="262"/>
        <v>Andy Booth, David Copple, Sam Guest</v>
      </c>
      <c r="BG129" s="8" t="str">
        <f t="shared" si="262"/>
        <v>Lorenzo Balzarini (1), Mike Barratt (3), Jacob Hall, Ben Iremonger (1)</v>
      </c>
      <c r="BH129" s="8" t="str">
        <f t="shared" si="262"/>
        <v>Justin Baranowski (2), Myles Johnstone (1), Matt Payne</v>
      </c>
      <c r="BI129" s="8" t="str">
        <f t="shared" si="262"/>
        <v/>
      </c>
      <c r="BJ129" s="8" t="str">
        <f t="shared" si="262"/>
        <v>Andy Booth, David Copple</v>
      </c>
      <c r="BK129" s="8" t="str">
        <f t="shared" si="262"/>
        <v>Lorenzo Balzarini (1), Richard Pearse (3)</v>
      </c>
      <c r="BL129" s="8" t="str">
        <f t="shared" si="262"/>
        <v>Justin Baranowski, Billy Camuso (1), Myles Johnstone, Matt Payne (2)</v>
      </c>
      <c r="BM129" s="8" t="str">
        <f t="shared" ref="BM129:CF129" si="263">IF(BM88="",BM128,IF(BM128="",BM88,BM128&amp;", "&amp;BM88))</f>
        <v/>
      </c>
      <c r="BN129" s="8" t="str">
        <f t="shared" si="263"/>
        <v/>
      </c>
      <c r="BO129" s="8" t="str">
        <f t="shared" si="263"/>
        <v/>
      </c>
      <c r="BP129" s="8" t="str">
        <f t="shared" si="263"/>
        <v/>
      </c>
      <c r="BQ129" s="8" t="str">
        <f t="shared" si="263"/>
        <v/>
      </c>
      <c r="BR129" s="8" t="str">
        <f t="shared" si="263"/>
        <v>Andy Booth, David Copple, Conor Mills</v>
      </c>
      <c r="BS129" s="8" t="str">
        <f t="shared" si="263"/>
        <v>Lorenzo Balzarini, Sam Baranowski, Kieran Kershaw, Richard Pearse (1)</v>
      </c>
      <c r="BT129" s="8" t="str">
        <f t="shared" si="263"/>
        <v>Justin Baranowski, Billy Camuso (1), Sam Hallows</v>
      </c>
      <c r="BU129" s="8" t="str">
        <f t="shared" si="263"/>
        <v/>
      </c>
      <c r="BV129" s="8" t="str">
        <f t="shared" si="263"/>
        <v/>
      </c>
      <c r="BW129" s="8" t="str">
        <f t="shared" si="263"/>
        <v/>
      </c>
      <c r="BX129" s="8" t="str">
        <f t="shared" si="263"/>
        <v/>
      </c>
      <c r="BY129" s="8" t="str">
        <f t="shared" si="263"/>
        <v/>
      </c>
      <c r="BZ129" s="8" t="str">
        <f t="shared" si="263"/>
        <v/>
      </c>
      <c r="CA129" s="8" t="str">
        <f t="shared" si="263"/>
        <v/>
      </c>
      <c r="CB129" s="8" t="str">
        <f t="shared" si="263"/>
        <v/>
      </c>
      <c r="CC129" s="8" t="str">
        <f t="shared" si="263"/>
        <v/>
      </c>
      <c r="CD129" s="8" t="str">
        <f t="shared" si="263"/>
        <v>David Copple, Will Lucas, Conor Mills</v>
      </c>
      <c r="CE129" s="8" t="str">
        <f t="shared" si="263"/>
        <v>Sam Baranowski, Mike Barratt, Myles Johnstone, Richard Pearse</v>
      </c>
      <c r="CF129" s="8" t="str">
        <f t="shared" si="263"/>
        <v>Justin Baranowski (2), Sam Hallows, Matt Payne (1)</v>
      </c>
      <c r="CG129" s="8" t="str">
        <f t="shared" ref="CG129:CJ129" si="264">IF(CG88="",CG128,IF(CG128="",CG88,CG128&amp;", "&amp;CG88))</f>
        <v/>
      </c>
      <c r="CH129" s="8" t="str">
        <f t="shared" si="264"/>
        <v>David Copple, Sam Guest, Will Lucas, Conor Mills</v>
      </c>
      <c r="CI129" s="8" t="str">
        <f t="shared" si="264"/>
        <v>Lorenzo Balzarini, Sam Baranowski, Mike Barratt (1), David Hudson, Myles Johnstone (1), Richard Pearse</v>
      </c>
      <c r="CJ129" s="8" t="str">
        <f t="shared" si="264"/>
        <v>Dave Berman (1), Billy Camuso, Sam Hallows, Luke Johnstone, Matt Payne</v>
      </c>
    </row>
    <row r="130" spans="5:88">
      <c r="G130" s="8">
        <f t="shared" si="188"/>
        <v>29</v>
      </c>
      <c r="I130" s="8" t="str">
        <f t="shared" ref="I130:BL130" si="265">IF(I89="",I129,IF(I129="",I89,I129&amp;", "&amp;I89))</f>
        <v/>
      </c>
      <c r="J130" s="8" t="str">
        <f t="shared" si="265"/>
        <v>Andy Booth, David Copple</v>
      </c>
      <c r="K130" s="8" t="str">
        <f t="shared" si="265"/>
        <v>Sam Baranowski, Dave Berman (2), Myles Johnstone (1), Richard Pearse</v>
      </c>
      <c r="L130" s="8" t="str">
        <f t="shared" si="265"/>
        <v>Justin Baranowski (2), Billy Camuso, Luke Johnstone (1)</v>
      </c>
      <c r="M130" s="8" t="str">
        <f t="shared" si="265"/>
        <v/>
      </c>
      <c r="N130" s="8" t="str">
        <f t="shared" si="265"/>
        <v>Andy Booth, David Copple</v>
      </c>
      <c r="O130" s="8" t="str">
        <f t="shared" si="265"/>
        <v>Sam Baranowski, Mike Barratt (2), Dave Berman (1), Eddie Dale, Ben Iremonger (2), Myles Johnstone, Richard Pearse (2)</v>
      </c>
      <c r="P130" s="8" t="str">
        <f t="shared" si="265"/>
        <v>Justin Baranowski (2), Billy Camuso, Matt Payne (5)</v>
      </c>
      <c r="Q130" s="30" t="str">
        <f t="shared" si="265"/>
        <v/>
      </c>
      <c r="R130" s="8" t="str">
        <f t="shared" si="265"/>
        <v>Andy Booth, David Copple</v>
      </c>
      <c r="S130" s="8" t="str">
        <f t="shared" si="265"/>
        <v>Sam Baranowski, Eddie Dale, Will Duval (1), Eugene Fung, Ben Iremonger, Myles Johnstone</v>
      </c>
      <c r="T130" s="8" t="str">
        <f t="shared" si="265"/>
        <v>Justin Baranowski, Billy Camuso, Matt Payne (1)</v>
      </c>
      <c r="U130" s="8" t="str">
        <f t="shared" si="265"/>
        <v>Lygon Bowen-west</v>
      </c>
      <c r="V130" s="8" t="str">
        <f t="shared" si="265"/>
        <v>Andy Booth, David Copple, Charlie Merry</v>
      </c>
      <c r="W130" s="8" t="str">
        <f t="shared" si="265"/>
        <v>Sam Baranowski, Eddie Dale, Ben Iremonger (1), Myles Johnstone (1)</v>
      </c>
      <c r="X130" s="8" t="str">
        <f t="shared" si="265"/>
        <v>Justin Baranowski (1), Luke Johnstone (2), Matt Payne (3)</v>
      </c>
      <c r="Y130" s="8" t="str">
        <f t="shared" si="265"/>
        <v/>
      </c>
      <c r="Z130" s="8" t="str">
        <f t="shared" si="265"/>
        <v>Andy Booth, Conor Mills</v>
      </c>
      <c r="AA130" s="8" t="str">
        <f t="shared" si="265"/>
        <v>Lorenzo Balzarini (2), Eddie Dale, Jacob Hall (1), Ben Iremonger, Myles Johnstone (1)</v>
      </c>
      <c r="AB130" s="8" t="str">
        <f t="shared" si="265"/>
        <v>Justin Baranowski (1), Billy Camuso, Richard Pearse</v>
      </c>
      <c r="AC130" s="8" t="str">
        <f t="shared" si="265"/>
        <v/>
      </c>
      <c r="AD130" s="8" t="str">
        <f t="shared" si="265"/>
        <v>David Copple</v>
      </c>
      <c r="AE130" s="8" t="str">
        <f t="shared" si="265"/>
        <v>Lorenzo Balzarini (1), Sam Baranowski, Eddie Dale, Myles Johnstone, Richard Pearse</v>
      </c>
      <c r="AF130" s="8" t="str">
        <f t="shared" si="265"/>
        <v>Justin Baranowski (1), Billy Camuso, Matt Payne (1)</v>
      </c>
      <c r="AG130" s="8" t="str">
        <f t="shared" si="265"/>
        <v/>
      </c>
      <c r="AH130" s="8" t="str">
        <f t="shared" si="265"/>
        <v/>
      </c>
      <c r="AI130" s="8" t="str">
        <f t="shared" si="265"/>
        <v/>
      </c>
      <c r="AJ130" s="8" t="str">
        <f t="shared" si="265"/>
        <v/>
      </c>
      <c r="AK130" s="8" t="str">
        <f t="shared" si="265"/>
        <v/>
      </c>
      <c r="AL130" s="8" t="str">
        <f t="shared" si="265"/>
        <v>Will Lucas, Conor Mills</v>
      </c>
      <c r="AM130" s="8" t="str">
        <f t="shared" si="265"/>
        <v>Lorenzo Balzarini, Sam Baranowski, Andy Booth, Jacob Hall, Myles Johnstone (1)</v>
      </c>
      <c r="AN130" s="8" t="str">
        <f t="shared" si="265"/>
        <v>Justin Baranowski (2), Billy Camuso, Matt Payne (2)</v>
      </c>
      <c r="AO130" s="8" t="str">
        <f t="shared" si="265"/>
        <v/>
      </c>
      <c r="AP130" s="8" t="str">
        <f t="shared" si="265"/>
        <v>Andy Booth, David Copple, Conor Mills</v>
      </c>
      <c r="AQ130" s="8" t="str">
        <f t="shared" si="265"/>
        <v>Lorenzo Balzarini, Sam Baranowski, Mike Barratt (1), Richard Pearse</v>
      </c>
      <c r="AR130" s="8" t="str">
        <f t="shared" si="265"/>
        <v>Justin Baranowski (1), Myles Johnstone, Matt Payne (5)</v>
      </c>
      <c r="AS130" s="8" t="str">
        <f t="shared" si="265"/>
        <v>Eliot Pugh</v>
      </c>
      <c r="AT130" s="8" t="str">
        <f t="shared" si="265"/>
        <v>Andy Booth, David Copple</v>
      </c>
      <c r="AU130" s="8" t="str">
        <f t="shared" si="265"/>
        <v>Lorenzo Balzarini, Mike Barratt (1), Lewis Blackshaw, Ben Iremonger, Richard Pearse (1)</v>
      </c>
      <c r="AV130" s="8" t="str">
        <f t="shared" si="265"/>
        <v>Justin Baranowski, Myles Johnstone, Matt Payne (1)</v>
      </c>
      <c r="AW130" s="8" t="str">
        <f t="shared" si="265"/>
        <v/>
      </c>
      <c r="AX130" s="8" t="str">
        <f t="shared" si="265"/>
        <v>David Copple, Sam Guest (1)</v>
      </c>
      <c r="AY130" s="8" t="str">
        <f t="shared" si="265"/>
        <v>Jordan Anning, Lorenzo Balzarini (2), Jacob Hall, Richard Pearse</v>
      </c>
      <c r="AZ130" s="8" t="str">
        <f t="shared" si="265"/>
        <v>Myles Johnstone, Matt Payne (2), Ben Reed (3)</v>
      </c>
      <c r="BA130" s="8" t="str">
        <f t="shared" si="265"/>
        <v/>
      </c>
      <c r="BB130" s="8" t="str">
        <f t="shared" si="265"/>
        <v>Andy Booth, David Copple, Conor Mills</v>
      </c>
      <c r="BC130" s="8" t="str">
        <f t="shared" si="265"/>
        <v>Jacob Hall, Ben Iremonger (4)</v>
      </c>
      <c r="BD130" s="8" t="str">
        <f t="shared" si="265"/>
        <v>Myles Johnstone (1), Richard Pearse (1)</v>
      </c>
      <c r="BE130" s="8" t="str">
        <f t="shared" si="265"/>
        <v/>
      </c>
      <c r="BF130" s="8" t="str">
        <f t="shared" si="265"/>
        <v>Andy Booth, David Copple, Sam Guest</v>
      </c>
      <c r="BG130" s="8" t="str">
        <f t="shared" si="265"/>
        <v>Lorenzo Balzarini (1), Mike Barratt (3), Jacob Hall, Ben Iremonger (1)</v>
      </c>
      <c r="BH130" s="8" t="str">
        <f t="shared" si="265"/>
        <v>Justin Baranowski (2), Myles Johnstone (1), Matt Payne</v>
      </c>
      <c r="BI130" s="8" t="str">
        <f t="shared" si="265"/>
        <v/>
      </c>
      <c r="BJ130" s="8" t="str">
        <f t="shared" si="265"/>
        <v>Andy Booth, David Copple</v>
      </c>
      <c r="BK130" s="8" t="str">
        <f t="shared" si="265"/>
        <v>Lorenzo Balzarini (1), Richard Pearse (3)</v>
      </c>
      <c r="BL130" s="8" t="str">
        <f t="shared" si="265"/>
        <v>Justin Baranowski, Billy Camuso (1), Myles Johnstone, Matt Payne (2)</v>
      </c>
      <c r="BM130" s="8" t="str">
        <f t="shared" ref="BM130:CF130" si="266">IF(BM89="",BM129,IF(BM129="",BM89,BM129&amp;", "&amp;BM89))</f>
        <v/>
      </c>
      <c r="BN130" s="8" t="str">
        <f t="shared" si="266"/>
        <v/>
      </c>
      <c r="BO130" s="8" t="str">
        <f t="shared" si="266"/>
        <v/>
      </c>
      <c r="BP130" s="8" t="str">
        <f t="shared" si="266"/>
        <v/>
      </c>
      <c r="BQ130" s="8" t="str">
        <f t="shared" si="266"/>
        <v/>
      </c>
      <c r="BR130" s="8" t="str">
        <f t="shared" si="266"/>
        <v>Andy Booth, David Copple, Conor Mills</v>
      </c>
      <c r="BS130" s="8" t="str">
        <f t="shared" si="266"/>
        <v>Lorenzo Balzarini, Sam Baranowski, Kieran Kershaw, Richard Pearse (1)</v>
      </c>
      <c r="BT130" s="8" t="str">
        <f t="shared" si="266"/>
        <v>Justin Baranowski, Billy Camuso (1), Sam Hallows</v>
      </c>
      <c r="BU130" s="8" t="str">
        <f t="shared" si="266"/>
        <v/>
      </c>
      <c r="BV130" s="8" t="str">
        <f t="shared" si="266"/>
        <v/>
      </c>
      <c r="BW130" s="8" t="str">
        <f t="shared" si="266"/>
        <v/>
      </c>
      <c r="BX130" s="8" t="str">
        <f t="shared" si="266"/>
        <v/>
      </c>
      <c r="BY130" s="8" t="str">
        <f t="shared" si="266"/>
        <v/>
      </c>
      <c r="BZ130" s="8" t="str">
        <f t="shared" si="266"/>
        <v/>
      </c>
      <c r="CA130" s="8" t="str">
        <f t="shared" si="266"/>
        <v/>
      </c>
      <c r="CB130" s="8" t="str">
        <f t="shared" si="266"/>
        <v/>
      </c>
      <c r="CC130" s="8" t="str">
        <f t="shared" si="266"/>
        <v/>
      </c>
      <c r="CD130" s="8" t="str">
        <f t="shared" si="266"/>
        <v>David Copple, Will Lucas, Conor Mills</v>
      </c>
      <c r="CE130" s="8" t="str">
        <f t="shared" si="266"/>
        <v>Sam Baranowski, Mike Barratt, Myles Johnstone, Richard Pearse</v>
      </c>
      <c r="CF130" s="8" t="str">
        <f t="shared" si="266"/>
        <v>Justin Baranowski (2), Sam Hallows, Matt Payne (1)</v>
      </c>
      <c r="CG130" s="8" t="str">
        <f t="shared" ref="CG130:CJ130" si="267">IF(CG89="",CG129,IF(CG129="",CG89,CG129&amp;", "&amp;CG89))</f>
        <v/>
      </c>
      <c r="CH130" s="8" t="str">
        <f t="shared" si="267"/>
        <v>David Copple, Sam Guest, Will Lucas, Conor Mills</v>
      </c>
      <c r="CI130" s="8" t="str">
        <f t="shared" si="267"/>
        <v>Lorenzo Balzarini, Sam Baranowski, Mike Barratt (1), David Hudson, Myles Johnstone (1), Richard Pearse</v>
      </c>
      <c r="CJ130" s="8" t="str">
        <f t="shared" si="267"/>
        <v>Dave Berman (1), Billy Camuso, Sam Hallows, Luke Johnstone, Matt Payne</v>
      </c>
    </row>
    <row r="131" spans="5:88">
      <c r="G131" s="8">
        <f t="shared" si="188"/>
        <v>30</v>
      </c>
      <c r="I131" s="8" t="str">
        <f t="shared" ref="I131:BL131" si="268">IF(I90="",I130,IF(I130="",I90,I130&amp;", "&amp;I90))</f>
        <v/>
      </c>
      <c r="J131" s="8" t="str">
        <f t="shared" si="268"/>
        <v>Andy Booth, David Copple, Dave Slaughter</v>
      </c>
      <c r="K131" s="8" t="str">
        <f t="shared" si="268"/>
        <v>Sam Baranowski, Dave Berman (2), Myles Johnstone (1), Richard Pearse</v>
      </c>
      <c r="L131" s="8" t="str">
        <f t="shared" si="268"/>
        <v>Justin Baranowski (2), Billy Camuso, Luke Johnstone (1)</v>
      </c>
      <c r="M131" s="8" t="str">
        <f t="shared" si="268"/>
        <v/>
      </c>
      <c r="N131" s="8" t="str">
        <f t="shared" si="268"/>
        <v>Andy Booth, David Copple</v>
      </c>
      <c r="O131" s="8" t="str">
        <f t="shared" si="268"/>
        <v>Sam Baranowski, Mike Barratt (2), Dave Berman (1), Eddie Dale, Ben Iremonger (2), Myles Johnstone, Richard Pearse (2)</v>
      </c>
      <c r="P131" s="8" t="str">
        <f t="shared" si="268"/>
        <v>Justin Baranowski (2), Billy Camuso, Matt Payne (5)</v>
      </c>
      <c r="Q131" s="30" t="str">
        <f t="shared" si="268"/>
        <v>Dave Slaughter</v>
      </c>
      <c r="R131" s="8" t="str">
        <f t="shared" si="268"/>
        <v>Andy Booth, David Copple</v>
      </c>
      <c r="S131" s="8" t="str">
        <f t="shared" si="268"/>
        <v>Sam Baranowski, Eddie Dale, Will Duval (1), Eugene Fung, Ben Iremonger, Myles Johnstone</v>
      </c>
      <c r="T131" s="8" t="str">
        <f t="shared" si="268"/>
        <v>Justin Baranowski, Billy Camuso, Matt Payne (1)</v>
      </c>
      <c r="U131" s="8" t="str">
        <f t="shared" si="268"/>
        <v>Lygon Bowen-west</v>
      </c>
      <c r="V131" s="8" t="str">
        <f t="shared" si="268"/>
        <v>Andy Booth, David Copple, Charlie Merry</v>
      </c>
      <c r="W131" s="8" t="str">
        <f t="shared" si="268"/>
        <v>Sam Baranowski, Eddie Dale, Ben Iremonger (1), Myles Johnstone (1)</v>
      </c>
      <c r="X131" s="8" t="str">
        <f t="shared" si="268"/>
        <v>Justin Baranowski (1), Luke Johnstone (2), Matt Payne (3)</v>
      </c>
      <c r="Y131" s="8" t="str">
        <f t="shared" si="268"/>
        <v/>
      </c>
      <c r="Z131" s="8" t="str">
        <f t="shared" si="268"/>
        <v>Andy Booth, Conor Mills, Dave Slaughter</v>
      </c>
      <c r="AA131" s="8" t="str">
        <f t="shared" si="268"/>
        <v>Lorenzo Balzarini (2), Eddie Dale, Jacob Hall (1), Ben Iremonger, Myles Johnstone (1)</v>
      </c>
      <c r="AB131" s="8" t="str">
        <f t="shared" si="268"/>
        <v>Justin Baranowski (1), Billy Camuso, Richard Pearse</v>
      </c>
      <c r="AC131" s="8" t="str">
        <f t="shared" si="268"/>
        <v/>
      </c>
      <c r="AD131" s="8" t="str">
        <f t="shared" si="268"/>
        <v>David Copple, Dave Slaughter</v>
      </c>
      <c r="AE131" s="8" t="str">
        <f t="shared" si="268"/>
        <v>Lorenzo Balzarini (1), Sam Baranowski, Eddie Dale, Myles Johnstone, Richard Pearse</v>
      </c>
      <c r="AF131" s="8" t="str">
        <f t="shared" si="268"/>
        <v>Justin Baranowski (1), Billy Camuso, Matt Payne (1)</v>
      </c>
      <c r="AG131" s="8" t="str">
        <f t="shared" si="268"/>
        <v/>
      </c>
      <c r="AH131" s="8" t="str">
        <f t="shared" si="268"/>
        <v/>
      </c>
      <c r="AI131" s="8" t="str">
        <f t="shared" si="268"/>
        <v/>
      </c>
      <c r="AJ131" s="8" t="str">
        <f t="shared" si="268"/>
        <v/>
      </c>
      <c r="AK131" s="8" t="str">
        <f t="shared" si="268"/>
        <v/>
      </c>
      <c r="AL131" s="8" t="str">
        <f t="shared" si="268"/>
        <v>Will Lucas, Conor Mills, Dave Slaughter</v>
      </c>
      <c r="AM131" s="8" t="str">
        <f t="shared" si="268"/>
        <v>Lorenzo Balzarini, Sam Baranowski, Andy Booth, Jacob Hall, Myles Johnstone (1)</v>
      </c>
      <c r="AN131" s="8" t="str">
        <f t="shared" si="268"/>
        <v>Justin Baranowski (2), Billy Camuso, Matt Payne (2)</v>
      </c>
      <c r="AO131" s="8" t="str">
        <f t="shared" si="268"/>
        <v/>
      </c>
      <c r="AP131" s="8" t="str">
        <f t="shared" si="268"/>
        <v>Andy Booth, David Copple, Conor Mills</v>
      </c>
      <c r="AQ131" s="8" t="str">
        <f t="shared" si="268"/>
        <v>Lorenzo Balzarini, Sam Baranowski, Mike Barratt (1), Richard Pearse</v>
      </c>
      <c r="AR131" s="8" t="str">
        <f t="shared" si="268"/>
        <v>Justin Baranowski (1), Myles Johnstone, Matt Payne (5)</v>
      </c>
      <c r="AS131" s="8" t="str">
        <f t="shared" si="268"/>
        <v>Eliot Pugh</v>
      </c>
      <c r="AT131" s="8" t="str">
        <f t="shared" si="268"/>
        <v>Andy Booth, David Copple</v>
      </c>
      <c r="AU131" s="8" t="str">
        <f t="shared" si="268"/>
        <v>Lorenzo Balzarini, Mike Barratt (1), Lewis Blackshaw, Ben Iremonger, Richard Pearse (1)</v>
      </c>
      <c r="AV131" s="8" t="str">
        <f t="shared" si="268"/>
        <v>Justin Baranowski, Myles Johnstone, Matt Payne (1)</v>
      </c>
      <c r="AW131" s="8" t="str">
        <f t="shared" si="268"/>
        <v>Dave Slaughter</v>
      </c>
      <c r="AX131" s="8" t="str">
        <f t="shared" si="268"/>
        <v>David Copple, Sam Guest (1)</v>
      </c>
      <c r="AY131" s="8" t="str">
        <f t="shared" si="268"/>
        <v>Jordan Anning, Lorenzo Balzarini (2), Jacob Hall, Richard Pearse</v>
      </c>
      <c r="AZ131" s="8" t="str">
        <f t="shared" si="268"/>
        <v>Myles Johnstone, Matt Payne (2), Ben Reed (3)</v>
      </c>
      <c r="BA131" s="8" t="str">
        <f t="shared" si="268"/>
        <v/>
      </c>
      <c r="BB131" s="8" t="str">
        <f t="shared" si="268"/>
        <v>Andy Booth, David Copple, Conor Mills</v>
      </c>
      <c r="BC131" s="8" t="str">
        <f t="shared" si="268"/>
        <v>Jacob Hall, Ben Iremonger (4)</v>
      </c>
      <c r="BD131" s="8" t="str">
        <f t="shared" si="268"/>
        <v>Myles Johnstone (1), Richard Pearse (1), Dave Slaughter (1)</v>
      </c>
      <c r="BE131" s="8" t="str">
        <f t="shared" si="268"/>
        <v/>
      </c>
      <c r="BF131" s="8" t="str">
        <f t="shared" si="268"/>
        <v>Andy Booth, David Copple, Sam Guest</v>
      </c>
      <c r="BG131" s="8" t="str">
        <f t="shared" si="268"/>
        <v>Lorenzo Balzarini (1), Mike Barratt (3), Jacob Hall, Ben Iremonger (1)</v>
      </c>
      <c r="BH131" s="8" t="str">
        <f t="shared" si="268"/>
        <v>Justin Baranowski (2), Myles Johnstone (1), Matt Payne</v>
      </c>
      <c r="BI131" s="8" t="str">
        <f t="shared" si="268"/>
        <v/>
      </c>
      <c r="BJ131" s="8" t="str">
        <f t="shared" si="268"/>
        <v>Andy Booth, David Copple, Dave Slaughter</v>
      </c>
      <c r="BK131" s="8" t="str">
        <f t="shared" si="268"/>
        <v>Lorenzo Balzarini (1), Richard Pearse (3)</v>
      </c>
      <c r="BL131" s="8" t="str">
        <f t="shared" si="268"/>
        <v>Justin Baranowski, Billy Camuso (1), Myles Johnstone, Matt Payne (2)</v>
      </c>
      <c r="BM131" s="8" t="str">
        <f t="shared" ref="BM131:CF131" si="269">IF(BM90="",BM130,IF(BM130="",BM90,BM130&amp;", "&amp;BM90))</f>
        <v/>
      </c>
      <c r="BN131" s="8" t="str">
        <f t="shared" si="269"/>
        <v/>
      </c>
      <c r="BO131" s="8" t="str">
        <f t="shared" si="269"/>
        <v/>
      </c>
      <c r="BP131" s="8" t="str">
        <f t="shared" si="269"/>
        <v/>
      </c>
      <c r="BQ131" s="8" t="str">
        <f t="shared" si="269"/>
        <v/>
      </c>
      <c r="BR131" s="8" t="str">
        <f t="shared" si="269"/>
        <v>Andy Booth, David Copple, Conor Mills, Dave Slaughter</v>
      </c>
      <c r="BS131" s="8" t="str">
        <f t="shared" si="269"/>
        <v>Lorenzo Balzarini, Sam Baranowski, Kieran Kershaw, Richard Pearse (1)</v>
      </c>
      <c r="BT131" s="8" t="str">
        <f t="shared" si="269"/>
        <v>Justin Baranowski, Billy Camuso (1), Sam Hallows</v>
      </c>
      <c r="BU131" s="8" t="str">
        <f t="shared" si="269"/>
        <v/>
      </c>
      <c r="BV131" s="8" t="str">
        <f t="shared" si="269"/>
        <v/>
      </c>
      <c r="BW131" s="8" t="str">
        <f t="shared" si="269"/>
        <v/>
      </c>
      <c r="BX131" s="8" t="str">
        <f t="shared" si="269"/>
        <v/>
      </c>
      <c r="BY131" s="8" t="str">
        <f t="shared" si="269"/>
        <v/>
      </c>
      <c r="BZ131" s="8" t="str">
        <f t="shared" si="269"/>
        <v/>
      </c>
      <c r="CA131" s="8" t="str">
        <f t="shared" si="269"/>
        <v/>
      </c>
      <c r="CB131" s="8" t="str">
        <f t="shared" si="269"/>
        <v/>
      </c>
      <c r="CC131" s="8" t="str">
        <f t="shared" si="269"/>
        <v/>
      </c>
      <c r="CD131" s="8" t="str">
        <f t="shared" si="269"/>
        <v>David Copple, Will Lucas, Conor Mills</v>
      </c>
      <c r="CE131" s="8" t="str">
        <f t="shared" si="269"/>
        <v>Sam Baranowski, Mike Barratt, Myles Johnstone, Richard Pearse</v>
      </c>
      <c r="CF131" s="8" t="str">
        <f t="shared" si="269"/>
        <v>Justin Baranowski (2), Sam Hallows, Matt Payne (1)</v>
      </c>
      <c r="CG131" s="8" t="str">
        <f t="shared" ref="CG131:CJ131" si="270">IF(CG90="",CG130,IF(CG130="",CG90,CG130&amp;", "&amp;CG90))</f>
        <v/>
      </c>
      <c r="CH131" s="8" t="str">
        <f t="shared" si="270"/>
        <v>David Copple, Sam Guest, Will Lucas, Conor Mills</v>
      </c>
      <c r="CI131" s="8" t="str">
        <f t="shared" si="270"/>
        <v>Lorenzo Balzarini, Sam Baranowski, Mike Barratt (1), David Hudson, Myles Johnstone (1), Richard Pearse</v>
      </c>
      <c r="CJ131" s="8" t="str">
        <f t="shared" si="270"/>
        <v>Dave Berman (1), Billy Camuso, Sam Hallows, Luke Johnstone, Matt Payne</v>
      </c>
    </row>
    <row r="132" spans="5:88">
      <c r="G132" s="8">
        <f t="shared" si="188"/>
        <v>31</v>
      </c>
      <c r="I132" s="8" t="str">
        <f t="shared" ref="I132:BL132" si="271">IF(I91="",I131,IF(I131="",I91,I131&amp;", "&amp;I91))</f>
        <v>Jacob Thorne</v>
      </c>
      <c r="J132" s="8" t="str">
        <f t="shared" si="271"/>
        <v>Andy Booth, David Copple, Dave Slaughter</v>
      </c>
      <c r="K132" s="8" t="str">
        <f t="shared" si="271"/>
        <v>Sam Baranowski, Dave Berman (2), Myles Johnstone (1), Richard Pearse</v>
      </c>
      <c r="L132" s="8" t="str">
        <f t="shared" si="271"/>
        <v>Justin Baranowski (2), Billy Camuso, Luke Johnstone (1)</v>
      </c>
      <c r="M132" s="8" t="str">
        <f t="shared" si="271"/>
        <v>Jacob Thorne</v>
      </c>
      <c r="N132" s="8" t="str">
        <f t="shared" si="271"/>
        <v>Andy Booth, David Copple</v>
      </c>
      <c r="O132" s="8" t="str">
        <f t="shared" si="271"/>
        <v>Sam Baranowski, Mike Barratt (2), Dave Berman (1), Eddie Dale, Ben Iremonger (2), Myles Johnstone, Richard Pearse (2)</v>
      </c>
      <c r="P132" s="8" t="str">
        <f t="shared" si="271"/>
        <v>Justin Baranowski (2), Billy Camuso, Matt Payne (5)</v>
      </c>
      <c r="Q132" s="30" t="str">
        <f t="shared" si="271"/>
        <v>Dave Slaughter</v>
      </c>
      <c r="R132" s="8" t="str">
        <f t="shared" si="271"/>
        <v>Andy Booth, David Copple</v>
      </c>
      <c r="S132" s="8" t="str">
        <f t="shared" si="271"/>
        <v>Sam Baranowski, Eddie Dale, Will Duval (1), Eugene Fung, Ben Iremonger, Myles Johnstone</v>
      </c>
      <c r="T132" s="8" t="str">
        <f t="shared" si="271"/>
        <v>Justin Baranowski, Billy Camuso, Matt Payne (1)</v>
      </c>
      <c r="U132" s="8" t="str">
        <f t="shared" si="271"/>
        <v>Lygon Bowen-west</v>
      </c>
      <c r="V132" s="8" t="str">
        <f t="shared" si="271"/>
        <v>Andy Booth, David Copple, Charlie Merry</v>
      </c>
      <c r="W132" s="8" t="str">
        <f t="shared" si="271"/>
        <v>Sam Baranowski, Eddie Dale, Ben Iremonger (1), Myles Johnstone (1)</v>
      </c>
      <c r="X132" s="8" t="str">
        <f t="shared" si="271"/>
        <v>Justin Baranowski (1), Luke Johnstone (2), Matt Payne (3)</v>
      </c>
      <c r="Y132" s="8" t="str">
        <f t="shared" si="271"/>
        <v>Jacob Thorne</v>
      </c>
      <c r="Z132" s="8" t="str">
        <f t="shared" si="271"/>
        <v>Andy Booth, Conor Mills, Dave Slaughter</v>
      </c>
      <c r="AA132" s="8" t="str">
        <f t="shared" si="271"/>
        <v>Lorenzo Balzarini (2), Eddie Dale, Jacob Hall (1), Ben Iremonger, Myles Johnstone (1)</v>
      </c>
      <c r="AB132" s="8" t="str">
        <f t="shared" si="271"/>
        <v>Justin Baranowski (1), Billy Camuso, Richard Pearse</v>
      </c>
      <c r="AC132" s="8" t="str">
        <f t="shared" si="271"/>
        <v>Jacob Thorne</v>
      </c>
      <c r="AD132" s="8" t="str">
        <f t="shared" si="271"/>
        <v>David Copple, Dave Slaughter</v>
      </c>
      <c r="AE132" s="8" t="str">
        <f t="shared" si="271"/>
        <v>Lorenzo Balzarini (1), Sam Baranowski, Eddie Dale, Myles Johnstone, Richard Pearse</v>
      </c>
      <c r="AF132" s="8" t="str">
        <f t="shared" si="271"/>
        <v>Justin Baranowski (1), Billy Camuso, Matt Payne (1)</v>
      </c>
      <c r="AG132" s="8" t="str">
        <f t="shared" si="271"/>
        <v/>
      </c>
      <c r="AH132" s="8" t="str">
        <f t="shared" si="271"/>
        <v/>
      </c>
      <c r="AI132" s="8" t="str">
        <f t="shared" si="271"/>
        <v/>
      </c>
      <c r="AJ132" s="8" t="str">
        <f t="shared" si="271"/>
        <v/>
      </c>
      <c r="AK132" s="8" t="str">
        <f t="shared" si="271"/>
        <v>Jacob Thorne</v>
      </c>
      <c r="AL132" s="8" t="str">
        <f t="shared" si="271"/>
        <v>Will Lucas, Conor Mills, Dave Slaughter</v>
      </c>
      <c r="AM132" s="8" t="str">
        <f t="shared" si="271"/>
        <v>Lorenzo Balzarini, Sam Baranowski, Andy Booth, Jacob Hall, Myles Johnstone (1)</v>
      </c>
      <c r="AN132" s="8" t="str">
        <f t="shared" si="271"/>
        <v>Justin Baranowski (2), Billy Camuso, Matt Payne (2)</v>
      </c>
      <c r="AO132" s="8" t="str">
        <f t="shared" si="271"/>
        <v>Jacob Thorne</v>
      </c>
      <c r="AP132" s="8" t="str">
        <f t="shared" si="271"/>
        <v>Andy Booth, David Copple, Conor Mills</v>
      </c>
      <c r="AQ132" s="8" t="str">
        <f t="shared" si="271"/>
        <v>Lorenzo Balzarini, Sam Baranowski, Mike Barratt (1), Richard Pearse</v>
      </c>
      <c r="AR132" s="8" t="str">
        <f t="shared" si="271"/>
        <v>Justin Baranowski (1), Myles Johnstone, Matt Payne (5)</v>
      </c>
      <c r="AS132" s="8" t="str">
        <f t="shared" si="271"/>
        <v>Eliot Pugh</v>
      </c>
      <c r="AT132" s="8" t="str">
        <f t="shared" si="271"/>
        <v>Andy Booth, David Copple</v>
      </c>
      <c r="AU132" s="8" t="str">
        <f t="shared" si="271"/>
        <v>Lorenzo Balzarini, Mike Barratt (1), Lewis Blackshaw, Ben Iremonger, Richard Pearse (1)</v>
      </c>
      <c r="AV132" s="8" t="str">
        <f t="shared" si="271"/>
        <v>Justin Baranowski, Myles Johnstone, Matt Payne (1)</v>
      </c>
      <c r="AW132" s="8" t="str">
        <f t="shared" si="271"/>
        <v>Dave Slaughter</v>
      </c>
      <c r="AX132" s="8" t="str">
        <f t="shared" si="271"/>
        <v>David Copple, Sam Guest (1)</v>
      </c>
      <c r="AY132" s="8" t="str">
        <f t="shared" si="271"/>
        <v>Jordan Anning, Lorenzo Balzarini (2), Jacob Hall, Richard Pearse</v>
      </c>
      <c r="AZ132" s="8" t="str">
        <f t="shared" si="271"/>
        <v>Myles Johnstone, Matt Payne (2), Ben Reed (3)</v>
      </c>
      <c r="BA132" s="8" t="str">
        <f t="shared" si="271"/>
        <v>Jacob Thorne</v>
      </c>
      <c r="BB132" s="8" t="str">
        <f t="shared" si="271"/>
        <v>Andy Booth, David Copple, Conor Mills</v>
      </c>
      <c r="BC132" s="8" t="str">
        <f t="shared" si="271"/>
        <v>Jacob Hall, Ben Iremonger (4)</v>
      </c>
      <c r="BD132" s="8" t="str">
        <f t="shared" si="271"/>
        <v>Myles Johnstone (1), Richard Pearse (1), Dave Slaughter (1)</v>
      </c>
      <c r="BE132" s="8" t="str">
        <f t="shared" si="271"/>
        <v>Jacob Thorne</v>
      </c>
      <c r="BF132" s="8" t="str">
        <f t="shared" si="271"/>
        <v>Andy Booth, David Copple, Sam Guest</v>
      </c>
      <c r="BG132" s="8" t="str">
        <f t="shared" si="271"/>
        <v>Lorenzo Balzarini (1), Mike Barratt (3), Jacob Hall, Ben Iremonger (1)</v>
      </c>
      <c r="BH132" s="8" t="str">
        <f t="shared" si="271"/>
        <v>Justin Baranowski (2), Myles Johnstone (1), Matt Payne</v>
      </c>
      <c r="BI132" s="8" t="str">
        <f t="shared" si="271"/>
        <v>Jacob Thorne</v>
      </c>
      <c r="BJ132" s="8" t="str">
        <f t="shared" si="271"/>
        <v>Andy Booth, David Copple, Dave Slaughter</v>
      </c>
      <c r="BK132" s="8" t="str">
        <f t="shared" si="271"/>
        <v>Lorenzo Balzarini (1), Richard Pearse (3)</v>
      </c>
      <c r="BL132" s="8" t="str">
        <f t="shared" si="271"/>
        <v>Justin Baranowski, Billy Camuso (1), Myles Johnstone, Matt Payne (2)</v>
      </c>
      <c r="BM132" s="8" t="str">
        <f t="shared" ref="BM132:CF132" si="272">IF(BM91="",BM131,IF(BM131="",BM91,BM131&amp;", "&amp;BM91))</f>
        <v/>
      </c>
      <c r="BN132" s="8" t="str">
        <f t="shared" si="272"/>
        <v/>
      </c>
      <c r="BO132" s="8" t="str">
        <f t="shared" si="272"/>
        <v/>
      </c>
      <c r="BP132" s="8" t="str">
        <f t="shared" si="272"/>
        <v/>
      </c>
      <c r="BQ132" s="8" t="str">
        <f t="shared" si="272"/>
        <v>Jacob Thorne</v>
      </c>
      <c r="BR132" s="8" t="str">
        <f t="shared" si="272"/>
        <v>Andy Booth, David Copple, Conor Mills, Dave Slaughter</v>
      </c>
      <c r="BS132" s="8" t="str">
        <f t="shared" si="272"/>
        <v>Lorenzo Balzarini, Sam Baranowski, Kieran Kershaw, Richard Pearse (1)</v>
      </c>
      <c r="BT132" s="8" t="str">
        <f t="shared" si="272"/>
        <v>Justin Baranowski, Billy Camuso (1), Sam Hallows</v>
      </c>
      <c r="BU132" s="8" t="str">
        <f t="shared" si="272"/>
        <v/>
      </c>
      <c r="BV132" s="8" t="str">
        <f t="shared" si="272"/>
        <v/>
      </c>
      <c r="BW132" s="8" t="str">
        <f t="shared" si="272"/>
        <v/>
      </c>
      <c r="BX132" s="8" t="str">
        <f t="shared" si="272"/>
        <v/>
      </c>
      <c r="BY132" s="8" t="str">
        <f t="shared" si="272"/>
        <v/>
      </c>
      <c r="BZ132" s="8" t="str">
        <f t="shared" si="272"/>
        <v/>
      </c>
      <c r="CA132" s="8" t="str">
        <f t="shared" si="272"/>
        <v/>
      </c>
      <c r="CB132" s="8" t="str">
        <f t="shared" si="272"/>
        <v/>
      </c>
      <c r="CC132" s="8" t="str">
        <f t="shared" si="272"/>
        <v>Jacob Thorne</v>
      </c>
      <c r="CD132" s="8" t="str">
        <f t="shared" si="272"/>
        <v>David Copple, Will Lucas, Conor Mills</v>
      </c>
      <c r="CE132" s="8" t="str">
        <f t="shared" si="272"/>
        <v>Sam Baranowski, Mike Barratt, Myles Johnstone, Richard Pearse</v>
      </c>
      <c r="CF132" s="8" t="str">
        <f t="shared" si="272"/>
        <v>Justin Baranowski (2), Sam Hallows, Matt Payne (1)</v>
      </c>
      <c r="CG132" s="8" t="str">
        <f t="shared" ref="CG132:CJ132" si="273">IF(CG91="",CG131,IF(CG131="",CG91,CG131&amp;", "&amp;CG91))</f>
        <v>Jacob Thorne</v>
      </c>
      <c r="CH132" s="8" t="str">
        <f t="shared" si="273"/>
        <v>David Copple, Sam Guest, Will Lucas, Conor Mills</v>
      </c>
      <c r="CI132" s="8" t="str">
        <f t="shared" si="273"/>
        <v>Lorenzo Balzarini, Sam Baranowski, Mike Barratt (1), David Hudson, Myles Johnstone (1), Richard Pearse</v>
      </c>
      <c r="CJ132" s="8" t="str">
        <f t="shared" si="273"/>
        <v>Dave Berman (1), Billy Camuso, Sam Hallows, Luke Johnstone, Matt Payne</v>
      </c>
    </row>
    <row r="133" spans="5:88">
      <c r="G133" s="8">
        <f t="shared" si="188"/>
        <v>32</v>
      </c>
      <c r="I133" s="8" t="str">
        <f t="shared" ref="I133:BL133" si="274">IF(I92="",I132,IF(I132="",I92,I132&amp;", "&amp;I92))</f>
        <v>Jacob Thorne</v>
      </c>
      <c r="J133" s="8" t="str">
        <f t="shared" si="274"/>
        <v>Andy Booth, David Copple, Dave Slaughter</v>
      </c>
      <c r="K133" s="8" t="str">
        <f t="shared" si="274"/>
        <v>Sam Baranowski, Dave Berman (2), Myles Johnstone (1), Richard Pearse</v>
      </c>
      <c r="L133" s="8" t="str">
        <f t="shared" si="274"/>
        <v>Justin Baranowski (2), Billy Camuso, Luke Johnstone (1)</v>
      </c>
      <c r="M133" s="8" t="str">
        <f t="shared" si="274"/>
        <v>Jacob Thorne</v>
      </c>
      <c r="N133" s="8" t="str">
        <f t="shared" si="274"/>
        <v>Andy Booth, David Copple</v>
      </c>
      <c r="O133" s="8" t="str">
        <f t="shared" si="274"/>
        <v>Sam Baranowski, Mike Barratt (2), Dave Berman (1), Eddie Dale, Ben Iremonger (2), Myles Johnstone, Richard Pearse (2), Matt Twose (1)</v>
      </c>
      <c r="P133" s="8" t="str">
        <f t="shared" si="274"/>
        <v>Justin Baranowski (2), Billy Camuso, Matt Payne (5)</v>
      </c>
      <c r="Q133" s="30" t="str">
        <f t="shared" si="274"/>
        <v>Dave Slaughter</v>
      </c>
      <c r="R133" s="8" t="str">
        <f t="shared" si="274"/>
        <v>Andy Booth, David Copple</v>
      </c>
      <c r="S133" s="8" t="str">
        <f t="shared" si="274"/>
        <v>Sam Baranowski, Eddie Dale, Will Duval (1), Eugene Fung, Ben Iremonger, Myles Johnstone, Matt Twose (1)</v>
      </c>
      <c r="T133" s="8" t="str">
        <f t="shared" si="274"/>
        <v>Justin Baranowski, Billy Camuso, Matt Payne (1)</v>
      </c>
      <c r="U133" s="8" t="str">
        <f t="shared" si="274"/>
        <v>Lygon Bowen-west</v>
      </c>
      <c r="V133" s="8" t="str">
        <f t="shared" si="274"/>
        <v>Andy Booth, David Copple, Charlie Merry</v>
      </c>
      <c r="W133" s="8" t="str">
        <f t="shared" si="274"/>
        <v>Sam Baranowski, Eddie Dale, Ben Iremonger (1), Myles Johnstone (1), Matt Twose (2)</v>
      </c>
      <c r="X133" s="8" t="str">
        <f t="shared" si="274"/>
        <v>Justin Baranowski (1), Luke Johnstone (2), Matt Payne (3)</v>
      </c>
      <c r="Y133" s="8" t="str">
        <f t="shared" si="274"/>
        <v>Jacob Thorne</v>
      </c>
      <c r="Z133" s="8" t="str">
        <f t="shared" si="274"/>
        <v>Andy Booth, Conor Mills, Dave Slaughter</v>
      </c>
      <c r="AA133" s="8" t="str">
        <f t="shared" si="274"/>
        <v>Lorenzo Balzarini (2), Eddie Dale, Jacob Hall (1), Ben Iremonger, Myles Johnstone (1), Matt Twose (1)</v>
      </c>
      <c r="AB133" s="8" t="str">
        <f t="shared" si="274"/>
        <v>Justin Baranowski (1), Billy Camuso, Richard Pearse</v>
      </c>
      <c r="AC133" s="8" t="str">
        <f t="shared" si="274"/>
        <v>Jacob Thorne</v>
      </c>
      <c r="AD133" s="8" t="str">
        <f t="shared" si="274"/>
        <v>David Copple, Dave Slaughter</v>
      </c>
      <c r="AE133" s="8" t="str">
        <f t="shared" si="274"/>
        <v>Lorenzo Balzarini (1), Sam Baranowski, Eddie Dale, Myles Johnstone, Richard Pearse, Matt Twose</v>
      </c>
      <c r="AF133" s="8" t="str">
        <f t="shared" si="274"/>
        <v>Justin Baranowski (1), Billy Camuso, Matt Payne (1)</v>
      </c>
      <c r="AG133" s="8" t="str">
        <f t="shared" si="274"/>
        <v/>
      </c>
      <c r="AH133" s="8" t="str">
        <f t="shared" si="274"/>
        <v/>
      </c>
      <c r="AI133" s="8" t="str">
        <f t="shared" si="274"/>
        <v/>
      </c>
      <c r="AJ133" s="8" t="str">
        <f t="shared" si="274"/>
        <v/>
      </c>
      <c r="AK133" s="8" t="str">
        <f t="shared" si="274"/>
        <v>Jacob Thorne</v>
      </c>
      <c r="AL133" s="8" t="str">
        <f t="shared" si="274"/>
        <v>Will Lucas, Conor Mills, Dave Slaughter</v>
      </c>
      <c r="AM133" s="8" t="str">
        <f t="shared" si="274"/>
        <v>Lorenzo Balzarini, Sam Baranowski, Andy Booth, Jacob Hall, Myles Johnstone (1)</v>
      </c>
      <c r="AN133" s="8" t="str">
        <f t="shared" si="274"/>
        <v>Justin Baranowski (2), Billy Camuso, Matt Payne (2)</v>
      </c>
      <c r="AO133" s="8" t="str">
        <f t="shared" si="274"/>
        <v>Jacob Thorne</v>
      </c>
      <c r="AP133" s="8" t="str">
        <f t="shared" si="274"/>
        <v>Andy Booth, David Copple, Conor Mills</v>
      </c>
      <c r="AQ133" s="8" t="str">
        <f t="shared" si="274"/>
        <v>Lorenzo Balzarini, Sam Baranowski, Mike Barratt (1), Richard Pearse, Matt Twose (1)</v>
      </c>
      <c r="AR133" s="8" t="str">
        <f t="shared" si="274"/>
        <v>Justin Baranowski (1), Myles Johnstone, Matt Payne (5)</v>
      </c>
      <c r="AS133" s="8" t="str">
        <f t="shared" si="274"/>
        <v>Eliot Pugh</v>
      </c>
      <c r="AT133" s="8" t="str">
        <f t="shared" si="274"/>
        <v>Andy Booth, David Copple</v>
      </c>
      <c r="AU133" s="8" t="str">
        <f t="shared" si="274"/>
        <v>Lorenzo Balzarini, Mike Barratt (1), Lewis Blackshaw, Ben Iremonger, Richard Pearse (1), Matt Twose</v>
      </c>
      <c r="AV133" s="8" t="str">
        <f t="shared" si="274"/>
        <v>Justin Baranowski, Myles Johnstone, Matt Payne (1)</v>
      </c>
      <c r="AW133" s="8" t="str">
        <f t="shared" si="274"/>
        <v>Dave Slaughter</v>
      </c>
      <c r="AX133" s="8" t="str">
        <f t="shared" si="274"/>
        <v>David Copple, Sam Guest (1)</v>
      </c>
      <c r="AY133" s="8" t="str">
        <f t="shared" si="274"/>
        <v>Jordan Anning, Lorenzo Balzarini (2), Jacob Hall, Richard Pearse, Matt Twose</v>
      </c>
      <c r="AZ133" s="8" t="str">
        <f t="shared" si="274"/>
        <v>Myles Johnstone, Matt Payne (2), Ben Reed (3)</v>
      </c>
      <c r="BA133" s="8" t="str">
        <f t="shared" si="274"/>
        <v>Jacob Thorne</v>
      </c>
      <c r="BB133" s="8" t="str">
        <f t="shared" si="274"/>
        <v>Andy Booth, David Copple, Conor Mills</v>
      </c>
      <c r="BC133" s="8" t="str">
        <f t="shared" si="274"/>
        <v>Jacob Hall, Ben Iremonger (4), Matt Twose</v>
      </c>
      <c r="BD133" s="8" t="str">
        <f t="shared" si="274"/>
        <v>Myles Johnstone (1), Richard Pearse (1), Dave Slaughter (1)</v>
      </c>
      <c r="BE133" s="8" t="str">
        <f t="shared" si="274"/>
        <v>Jacob Thorne</v>
      </c>
      <c r="BF133" s="8" t="str">
        <f t="shared" si="274"/>
        <v>Andy Booth, David Copple, Sam Guest</v>
      </c>
      <c r="BG133" s="8" t="str">
        <f t="shared" si="274"/>
        <v>Lorenzo Balzarini (1), Mike Barratt (3), Jacob Hall, Ben Iremonger (1), Matt Twose</v>
      </c>
      <c r="BH133" s="8" t="str">
        <f t="shared" si="274"/>
        <v>Justin Baranowski (2), Myles Johnstone (1), Matt Payne</v>
      </c>
      <c r="BI133" s="8" t="str">
        <f t="shared" si="274"/>
        <v>Jacob Thorne</v>
      </c>
      <c r="BJ133" s="8" t="str">
        <f t="shared" si="274"/>
        <v>Andy Booth, David Copple, Dave Slaughter</v>
      </c>
      <c r="BK133" s="8" t="str">
        <f t="shared" si="274"/>
        <v>Lorenzo Balzarini (1), Richard Pearse (3)</v>
      </c>
      <c r="BL133" s="8" t="str">
        <f t="shared" si="274"/>
        <v>Justin Baranowski, Billy Camuso (1), Myles Johnstone, Matt Payne (2)</v>
      </c>
      <c r="BM133" s="8" t="str">
        <f t="shared" ref="BM133:CF133" si="275">IF(BM92="",BM132,IF(BM132="",BM92,BM132&amp;", "&amp;BM92))</f>
        <v/>
      </c>
      <c r="BN133" s="8" t="str">
        <f t="shared" si="275"/>
        <v/>
      </c>
      <c r="BO133" s="8" t="str">
        <f t="shared" si="275"/>
        <v/>
      </c>
      <c r="BP133" s="8" t="str">
        <f t="shared" si="275"/>
        <v/>
      </c>
      <c r="BQ133" s="8" t="str">
        <f t="shared" si="275"/>
        <v>Jacob Thorne</v>
      </c>
      <c r="BR133" s="8" t="str">
        <f t="shared" si="275"/>
        <v>Andy Booth, David Copple, Conor Mills, Dave Slaughter</v>
      </c>
      <c r="BS133" s="8" t="str">
        <f t="shared" si="275"/>
        <v>Lorenzo Balzarini, Sam Baranowski, Kieran Kershaw, Richard Pearse (1), Matt Twose</v>
      </c>
      <c r="BT133" s="8" t="str">
        <f t="shared" si="275"/>
        <v>Justin Baranowski, Billy Camuso (1), Sam Hallows</v>
      </c>
      <c r="BU133" s="8" t="str">
        <f t="shared" si="275"/>
        <v/>
      </c>
      <c r="BV133" s="8" t="str">
        <f t="shared" si="275"/>
        <v/>
      </c>
      <c r="BW133" s="8" t="str">
        <f t="shared" si="275"/>
        <v/>
      </c>
      <c r="BX133" s="8" t="str">
        <f t="shared" si="275"/>
        <v/>
      </c>
      <c r="BY133" s="8" t="str">
        <f t="shared" si="275"/>
        <v/>
      </c>
      <c r="BZ133" s="8" t="str">
        <f t="shared" si="275"/>
        <v/>
      </c>
      <c r="CA133" s="8" t="str">
        <f t="shared" si="275"/>
        <v/>
      </c>
      <c r="CB133" s="8" t="str">
        <f t="shared" si="275"/>
        <v/>
      </c>
      <c r="CC133" s="8" t="str">
        <f t="shared" si="275"/>
        <v>Jacob Thorne</v>
      </c>
      <c r="CD133" s="8" t="str">
        <f t="shared" si="275"/>
        <v>David Copple, Will Lucas, Conor Mills</v>
      </c>
      <c r="CE133" s="8" t="str">
        <f t="shared" si="275"/>
        <v>Sam Baranowski, Mike Barratt, Myles Johnstone, Richard Pearse, Matt Twose (1)</v>
      </c>
      <c r="CF133" s="8" t="str">
        <f t="shared" si="275"/>
        <v>Justin Baranowski (2), Sam Hallows, Matt Payne (1)</v>
      </c>
      <c r="CG133" s="8" t="str">
        <f t="shared" ref="CG133:CJ133" si="276">IF(CG92="",CG132,IF(CG132="",CG92,CG132&amp;", "&amp;CG92))</f>
        <v>Jacob Thorne</v>
      </c>
      <c r="CH133" s="8" t="str">
        <f t="shared" si="276"/>
        <v>David Copple, Sam Guest, Will Lucas, Conor Mills</v>
      </c>
      <c r="CI133" s="8" t="str">
        <f t="shared" si="276"/>
        <v>Lorenzo Balzarini, Sam Baranowski, Mike Barratt (1), David Hudson, Myles Johnstone (1), Richard Pearse, Matt Twose</v>
      </c>
      <c r="CJ133" s="8" t="str">
        <f t="shared" si="276"/>
        <v>Dave Berman (1), Billy Camuso, Sam Hallows, Luke Johnstone, Matt Payne</v>
      </c>
    </row>
    <row r="134" spans="5:88">
      <c r="G134" s="8">
        <f t="shared" si="188"/>
        <v>33</v>
      </c>
      <c r="I134" s="8" t="str">
        <f t="shared" ref="I134:BL134" si="277">IF(I93="",I133,IF(I133="",I93,I133&amp;", "&amp;I93))</f>
        <v>Jacob Thorne</v>
      </c>
      <c r="J134" s="8" t="str">
        <f t="shared" si="277"/>
        <v>Andy Booth, David Copple, Dave Slaughter, Mark Winter</v>
      </c>
      <c r="K134" s="8" t="str">
        <f t="shared" si="277"/>
        <v>Sam Baranowski, Dave Berman (2), Myles Johnstone (1), Richard Pearse</v>
      </c>
      <c r="L134" s="8" t="str">
        <f t="shared" si="277"/>
        <v>Justin Baranowski (2), Billy Camuso, Luke Johnstone (1)</v>
      </c>
      <c r="M134" s="8" t="str">
        <f t="shared" si="277"/>
        <v>Jacob Thorne</v>
      </c>
      <c r="N134" s="8" t="str">
        <f t="shared" si="277"/>
        <v>Andy Booth, David Copple, Mark Winter</v>
      </c>
      <c r="O134" s="8" t="str">
        <f t="shared" si="277"/>
        <v>Sam Baranowski, Mike Barratt (2), Dave Berman (1), Eddie Dale, Ben Iremonger (2), Myles Johnstone, Richard Pearse (2), Matt Twose (1)</v>
      </c>
      <c r="P134" s="8" t="str">
        <f t="shared" si="277"/>
        <v>Justin Baranowski (2), Billy Camuso, Matt Payne (5)</v>
      </c>
      <c r="Q134" s="30" t="str">
        <f t="shared" si="277"/>
        <v>Dave Slaughter</v>
      </c>
      <c r="R134" s="8" t="str">
        <f t="shared" si="277"/>
        <v>Andy Booth, David Copple, Mark Winter</v>
      </c>
      <c r="S134" s="8" t="str">
        <f t="shared" si="277"/>
        <v>Sam Baranowski, Eddie Dale, Will Duval (1), Eugene Fung, Ben Iremonger, Myles Johnstone, Matt Twose (1)</v>
      </c>
      <c r="T134" s="8" t="str">
        <f t="shared" si="277"/>
        <v>Justin Baranowski, Billy Camuso, Matt Payne (1)</v>
      </c>
      <c r="U134" s="8" t="str">
        <f t="shared" si="277"/>
        <v>Lygon Bowen-west</v>
      </c>
      <c r="V134" s="8" t="str">
        <f t="shared" si="277"/>
        <v>Andy Booth, David Copple, Charlie Merry, Mark Winter</v>
      </c>
      <c r="W134" s="8" t="str">
        <f t="shared" si="277"/>
        <v>Sam Baranowski, Eddie Dale, Ben Iremonger (1), Myles Johnstone (1), Matt Twose (2)</v>
      </c>
      <c r="X134" s="8" t="str">
        <f t="shared" si="277"/>
        <v>Justin Baranowski (1), Luke Johnstone (2), Matt Payne (3)</v>
      </c>
      <c r="Y134" s="8" t="str">
        <f t="shared" si="277"/>
        <v>Jacob Thorne</v>
      </c>
      <c r="Z134" s="8" t="str">
        <f t="shared" si="277"/>
        <v>Andy Booth, Conor Mills, Dave Slaughter, Mark Winter</v>
      </c>
      <c r="AA134" s="8" t="str">
        <f t="shared" si="277"/>
        <v>Lorenzo Balzarini (2), Eddie Dale, Jacob Hall (1), Ben Iremonger, Myles Johnstone (1), Matt Twose (1)</v>
      </c>
      <c r="AB134" s="8" t="str">
        <f t="shared" si="277"/>
        <v>Justin Baranowski (1), Billy Camuso, Richard Pearse</v>
      </c>
      <c r="AC134" s="8" t="str">
        <f t="shared" si="277"/>
        <v>Jacob Thorne</v>
      </c>
      <c r="AD134" s="8" t="str">
        <f t="shared" si="277"/>
        <v>David Copple, Dave Slaughter, Mark Winter</v>
      </c>
      <c r="AE134" s="8" t="str">
        <f t="shared" si="277"/>
        <v>Lorenzo Balzarini (1), Sam Baranowski, Eddie Dale, Myles Johnstone, Richard Pearse, Matt Twose</v>
      </c>
      <c r="AF134" s="8" t="str">
        <f t="shared" si="277"/>
        <v>Justin Baranowski (1), Billy Camuso, Matt Payne (1)</v>
      </c>
      <c r="AG134" s="8" t="str">
        <f t="shared" si="277"/>
        <v/>
      </c>
      <c r="AH134" s="8" t="str">
        <f t="shared" si="277"/>
        <v/>
      </c>
      <c r="AI134" s="8" t="str">
        <f t="shared" si="277"/>
        <v/>
      </c>
      <c r="AJ134" s="8" t="str">
        <f t="shared" si="277"/>
        <v/>
      </c>
      <c r="AK134" s="8" t="str">
        <f t="shared" si="277"/>
        <v>Jacob Thorne</v>
      </c>
      <c r="AL134" s="8" t="str">
        <f t="shared" si="277"/>
        <v>Will Lucas, Conor Mills, Dave Slaughter, Mark Winter</v>
      </c>
      <c r="AM134" s="8" t="str">
        <f t="shared" si="277"/>
        <v>Lorenzo Balzarini, Sam Baranowski, Andy Booth, Jacob Hall, Myles Johnstone (1)</v>
      </c>
      <c r="AN134" s="8" t="str">
        <f t="shared" si="277"/>
        <v>Justin Baranowski (2), Billy Camuso, Matt Payne (2)</v>
      </c>
      <c r="AO134" s="8" t="str">
        <f t="shared" si="277"/>
        <v>Jacob Thorne</v>
      </c>
      <c r="AP134" s="8" t="str">
        <f t="shared" si="277"/>
        <v>Andy Booth, David Copple, Conor Mills, Mark Winter</v>
      </c>
      <c r="AQ134" s="8" t="str">
        <f t="shared" si="277"/>
        <v>Lorenzo Balzarini, Sam Baranowski, Mike Barratt (1), Richard Pearse, Matt Twose (1)</v>
      </c>
      <c r="AR134" s="8" t="str">
        <f t="shared" si="277"/>
        <v>Justin Baranowski (1), Myles Johnstone, Matt Payne (5)</v>
      </c>
      <c r="AS134" s="8" t="str">
        <f t="shared" si="277"/>
        <v>Eliot Pugh</v>
      </c>
      <c r="AT134" s="8" t="str">
        <f t="shared" si="277"/>
        <v>Andy Booth, David Copple, Mark Winter</v>
      </c>
      <c r="AU134" s="8" t="str">
        <f t="shared" si="277"/>
        <v>Lorenzo Balzarini, Mike Barratt (1), Lewis Blackshaw, Ben Iremonger, Richard Pearse (1), Matt Twose</v>
      </c>
      <c r="AV134" s="8" t="str">
        <f t="shared" si="277"/>
        <v>Justin Baranowski, Myles Johnstone, Matt Payne (1)</v>
      </c>
      <c r="AW134" s="8" t="str">
        <f t="shared" si="277"/>
        <v>Dave Slaughter</v>
      </c>
      <c r="AX134" s="8" t="str">
        <f t="shared" si="277"/>
        <v>David Copple, Sam Guest (1)</v>
      </c>
      <c r="AY134" s="8" t="str">
        <f t="shared" si="277"/>
        <v>Jordan Anning, Lorenzo Balzarini (2), Jacob Hall, Richard Pearse, Matt Twose</v>
      </c>
      <c r="AZ134" s="8" t="str">
        <f t="shared" si="277"/>
        <v>Myles Johnstone, Matt Payne (2), Ben Reed (3)</v>
      </c>
      <c r="BA134" s="8" t="str">
        <f t="shared" si="277"/>
        <v>Jacob Thorne</v>
      </c>
      <c r="BB134" s="8" t="str">
        <f t="shared" si="277"/>
        <v>Andy Booth, David Copple, Conor Mills, Mark Winter</v>
      </c>
      <c r="BC134" s="8" t="str">
        <f t="shared" si="277"/>
        <v>Jacob Hall, Ben Iremonger (4), Matt Twose</v>
      </c>
      <c r="BD134" s="8" t="str">
        <f t="shared" si="277"/>
        <v>Myles Johnstone (1), Richard Pearse (1), Dave Slaughter (1)</v>
      </c>
      <c r="BE134" s="8" t="str">
        <f t="shared" si="277"/>
        <v>Jacob Thorne</v>
      </c>
      <c r="BF134" s="8" t="str">
        <f t="shared" si="277"/>
        <v>Andy Booth, David Copple, Sam Guest, Mark Winter</v>
      </c>
      <c r="BG134" s="8" t="str">
        <f t="shared" si="277"/>
        <v>Lorenzo Balzarini (1), Mike Barratt (3), Jacob Hall, Ben Iremonger (1), Matt Twose</v>
      </c>
      <c r="BH134" s="8" t="str">
        <f t="shared" si="277"/>
        <v>Justin Baranowski (2), Myles Johnstone (1), Matt Payne</v>
      </c>
      <c r="BI134" s="8" t="str">
        <f t="shared" si="277"/>
        <v>Jacob Thorne</v>
      </c>
      <c r="BJ134" s="8" t="str">
        <f t="shared" si="277"/>
        <v>Andy Booth, David Copple, Dave Slaughter, Mark Winter</v>
      </c>
      <c r="BK134" s="8" t="str">
        <f t="shared" si="277"/>
        <v>Lorenzo Balzarini (1), Richard Pearse (3)</v>
      </c>
      <c r="BL134" s="8" t="str">
        <f t="shared" si="277"/>
        <v>Justin Baranowski, Billy Camuso (1), Myles Johnstone, Matt Payne (2)</v>
      </c>
      <c r="BM134" s="8" t="str">
        <f t="shared" ref="BM134:CF134" si="278">IF(BM93="",BM133,IF(BM133="",BM93,BM133&amp;", "&amp;BM93))</f>
        <v/>
      </c>
      <c r="BN134" s="8" t="str">
        <f t="shared" si="278"/>
        <v/>
      </c>
      <c r="BO134" s="8" t="str">
        <f t="shared" si="278"/>
        <v/>
      </c>
      <c r="BP134" s="8" t="str">
        <f t="shared" si="278"/>
        <v/>
      </c>
      <c r="BQ134" s="8" t="str">
        <f t="shared" si="278"/>
        <v>Jacob Thorne</v>
      </c>
      <c r="BR134" s="8" t="str">
        <f t="shared" si="278"/>
        <v>Andy Booth, David Copple, Conor Mills, Dave Slaughter, Mark Winter</v>
      </c>
      <c r="BS134" s="8" t="str">
        <f t="shared" si="278"/>
        <v>Lorenzo Balzarini, Sam Baranowski, Kieran Kershaw, Richard Pearse (1), Matt Twose</v>
      </c>
      <c r="BT134" s="8" t="str">
        <f t="shared" si="278"/>
        <v>Justin Baranowski, Billy Camuso (1), Sam Hallows</v>
      </c>
      <c r="BU134" s="8" t="str">
        <f t="shared" si="278"/>
        <v/>
      </c>
      <c r="BV134" s="8" t="str">
        <f t="shared" si="278"/>
        <v/>
      </c>
      <c r="BW134" s="8" t="str">
        <f t="shared" si="278"/>
        <v/>
      </c>
      <c r="BX134" s="8" t="str">
        <f t="shared" si="278"/>
        <v/>
      </c>
      <c r="BY134" s="8" t="str">
        <f t="shared" si="278"/>
        <v/>
      </c>
      <c r="BZ134" s="8" t="str">
        <f t="shared" si="278"/>
        <v/>
      </c>
      <c r="CA134" s="8" t="str">
        <f t="shared" si="278"/>
        <v/>
      </c>
      <c r="CB134" s="8" t="str">
        <f t="shared" si="278"/>
        <v/>
      </c>
      <c r="CC134" s="8" t="str">
        <f t="shared" si="278"/>
        <v>Jacob Thorne</v>
      </c>
      <c r="CD134" s="8" t="str">
        <f t="shared" si="278"/>
        <v>David Copple, Will Lucas, Conor Mills, Mark Winter</v>
      </c>
      <c r="CE134" s="8" t="str">
        <f t="shared" si="278"/>
        <v>Sam Baranowski, Mike Barratt, Myles Johnstone, Richard Pearse, Matt Twose (1)</v>
      </c>
      <c r="CF134" s="8" t="str">
        <f t="shared" si="278"/>
        <v>Justin Baranowski (2), Sam Hallows, Matt Payne (1)</v>
      </c>
      <c r="CG134" s="8" t="str">
        <f t="shared" ref="CG134:CJ134" si="279">IF(CG93="",CG133,IF(CG133="",CG93,CG133&amp;", "&amp;CG93))</f>
        <v>Jacob Thorne</v>
      </c>
      <c r="CH134" s="8" t="str">
        <f t="shared" si="279"/>
        <v>David Copple, Sam Guest, Will Lucas, Conor Mills, Mark Winter</v>
      </c>
      <c r="CI134" s="8" t="str">
        <f t="shared" si="279"/>
        <v>Lorenzo Balzarini, Sam Baranowski, Mike Barratt (1), David Hudson, Myles Johnstone (1), Richard Pearse, Matt Twose</v>
      </c>
      <c r="CJ134" s="8" t="str">
        <f t="shared" si="279"/>
        <v>Dave Berman (1), Billy Camuso, Sam Hallows, Luke Johnstone, Matt Payne</v>
      </c>
    </row>
    <row r="135" spans="5:88">
      <c r="G135" s="8">
        <f t="shared" si="188"/>
        <v>34</v>
      </c>
      <c r="I135" s="8" t="str">
        <f t="shared" ref="I135:BL135" si="280">IF(I94="",I134,IF(I134="",I94,I134&amp;", "&amp;I94))</f>
        <v>Jacob Thorne</v>
      </c>
      <c r="J135" s="8" t="str">
        <f t="shared" si="280"/>
        <v>Andy Booth, David Copple, Dave Slaughter, Mark Winter</v>
      </c>
      <c r="K135" s="8" t="str">
        <f t="shared" si="280"/>
        <v>Sam Baranowski, Dave Berman (2), Myles Johnstone (1), Richard Pearse</v>
      </c>
      <c r="L135" s="8" t="str">
        <f t="shared" si="280"/>
        <v>Justin Baranowski (2), Billy Camuso, Luke Johnstone (1)</v>
      </c>
      <c r="M135" s="8" t="str">
        <f t="shared" si="280"/>
        <v>Jacob Thorne</v>
      </c>
      <c r="N135" s="8" t="str">
        <f t="shared" si="280"/>
        <v>Andy Booth, David Copple, Mark Winter</v>
      </c>
      <c r="O135" s="8" t="str">
        <f t="shared" si="280"/>
        <v>Sam Baranowski, Mike Barratt (2), Dave Berman (1), Eddie Dale, Ben Iremonger (2), Myles Johnstone, Richard Pearse (2), Matt Twose (1)</v>
      </c>
      <c r="P135" s="8" t="str">
        <f t="shared" si="280"/>
        <v>Justin Baranowski (2), Billy Camuso, Matt Payne (5)</v>
      </c>
      <c r="Q135" s="30" t="str">
        <f t="shared" si="280"/>
        <v>Dave Slaughter</v>
      </c>
      <c r="R135" s="8" t="str">
        <f t="shared" si="280"/>
        <v>Andy Booth, David Copple, Mark Winter</v>
      </c>
      <c r="S135" s="8" t="str">
        <f t="shared" si="280"/>
        <v>Sam Baranowski, Eddie Dale, Will Duval (1), Eugene Fung, Ben Iremonger, Myles Johnstone, Matt Twose (1)</v>
      </c>
      <c r="T135" s="8" t="str">
        <f t="shared" si="280"/>
        <v>Justin Baranowski, Billy Camuso, Matt Payne (1)</v>
      </c>
      <c r="U135" s="8" t="str">
        <f t="shared" si="280"/>
        <v>Lygon Bowen-west</v>
      </c>
      <c r="V135" s="8" t="str">
        <f t="shared" si="280"/>
        <v>Andy Booth, David Copple, Charlie Merry, Mark Winter</v>
      </c>
      <c r="W135" s="8" t="str">
        <f t="shared" si="280"/>
        <v>Sam Baranowski, Eddie Dale, Ben Iremonger (1), Myles Johnstone (1), Matt Twose (2)</v>
      </c>
      <c r="X135" s="8" t="str">
        <f t="shared" si="280"/>
        <v>Justin Baranowski (1), Luke Johnstone (2), Matt Payne (3)</v>
      </c>
      <c r="Y135" s="8" t="str">
        <f t="shared" si="280"/>
        <v>Jacob Thorne</v>
      </c>
      <c r="Z135" s="8" t="str">
        <f t="shared" si="280"/>
        <v>Andy Booth, Conor Mills, Dave Slaughter, Mark Winter</v>
      </c>
      <c r="AA135" s="8" t="str">
        <f t="shared" si="280"/>
        <v>Lorenzo Balzarini (2), Eddie Dale, Jacob Hall (1), Ben Iremonger, Myles Johnstone (1), Matt Twose (1)</v>
      </c>
      <c r="AB135" s="8" t="str">
        <f t="shared" si="280"/>
        <v>Justin Baranowski (1), Billy Camuso, Richard Pearse</v>
      </c>
      <c r="AC135" s="8" t="str">
        <f t="shared" si="280"/>
        <v>Jacob Thorne</v>
      </c>
      <c r="AD135" s="8" t="str">
        <f t="shared" si="280"/>
        <v>David Copple, Dave Slaughter, Mark Winter</v>
      </c>
      <c r="AE135" s="8" t="str">
        <f t="shared" si="280"/>
        <v>Lorenzo Balzarini (1), Sam Baranowski, Eddie Dale, Myles Johnstone, Richard Pearse, Matt Twose</v>
      </c>
      <c r="AF135" s="8" t="str">
        <f t="shared" si="280"/>
        <v>Justin Baranowski (1), Billy Camuso, Matt Payne (1)</v>
      </c>
      <c r="AG135" s="8" t="str">
        <f t="shared" si="280"/>
        <v/>
      </c>
      <c r="AH135" s="8" t="str">
        <f t="shared" si="280"/>
        <v/>
      </c>
      <c r="AI135" s="8" t="str">
        <f t="shared" si="280"/>
        <v/>
      </c>
      <c r="AJ135" s="8" t="str">
        <f t="shared" si="280"/>
        <v/>
      </c>
      <c r="AK135" s="8" t="str">
        <f t="shared" si="280"/>
        <v>Jacob Thorne</v>
      </c>
      <c r="AL135" s="8" t="str">
        <f t="shared" si="280"/>
        <v>Will Lucas, Conor Mills, Dave Slaughter, Mark Winter</v>
      </c>
      <c r="AM135" s="8" t="str">
        <f t="shared" si="280"/>
        <v>Lorenzo Balzarini, Sam Baranowski, Andy Booth, Jacob Hall, Myles Johnstone (1)</v>
      </c>
      <c r="AN135" s="8" t="str">
        <f t="shared" si="280"/>
        <v>Justin Baranowski (2), Billy Camuso, Matt Payne (2)</v>
      </c>
      <c r="AO135" s="8" t="str">
        <f t="shared" si="280"/>
        <v>Jacob Thorne</v>
      </c>
      <c r="AP135" s="8" t="str">
        <f t="shared" si="280"/>
        <v>Andy Booth, David Copple, Conor Mills, Mark Winter</v>
      </c>
      <c r="AQ135" s="8" t="str">
        <f t="shared" si="280"/>
        <v>Lorenzo Balzarini, Sam Baranowski, Mike Barratt (1), Richard Pearse, Matt Twose (1)</v>
      </c>
      <c r="AR135" s="8" t="str">
        <f t="shared" si="280"/>
        <v>Justin Baranowski (1), Myles Johnstone, Matt Payne (5)</v>
      </c>
      <c r="AS135" s="8" t="str">
        <f t="shared" si="280"/>
        <v>Eliot Pugh</v>
      </c>
      <c r="AT135" s="8" t="str">
        <f t="shared" si="280"/>
        <v>Andy Booth, David Copple, Mark Winter</v>
      </c>
      <c r="AU135" s="8" t="str">
        <f t="shared" si="280"/>
        <v>Lorenzo Balzarini, Mike Barratt (1), Lewis Blackshaw, Ben Iremonger, Richard Pearse (1), Matt Twose</v>
      </c>
      <c r="AV135" s="8" t="str">
        <f t="shared" si="280"/>
        <v>Justin Baranowski, Myles Johnstone, Matt Payne (1)</v>
      </c>
      <c r="AW135" s="8" t="str">
        <f t="shared" si="280"/>
        <v>Dave Slaughter</v>
      </c>
      <c r="AX135" s="8" t="str">
        <f t="shared" si="280"/>
        <v>David Copple, Sam Guest (1)</v>
      </c>
      <c r="AY135" s="8" t="str">
        <f t="shared" si="280"/>
        <v>Jordan Anning, Lorenzo Balzarini (2), Jacob Hall, Richard Pearse, Matt Twose</v>
      </c>
      <c r="AZ135" s="8" t="str">
        <f t="shared" si="280"/>
        <v>Myles Johnstone, Matt Payne (2), Ben Reed (3)</v>
      </c>
      <c r="BA135" s="8" t="str">
        <f t="shared" si="280"/>
        <v>Jacob Thorne</v>
      </c>
      <c r="BB135" s="8" t="str">
        <f t="shared" si="280"/>
        <v>Andy Booth, David Copple, Conor Mills, Mark Winter</v>
      </c>
      <c r="BC135" s="8" t="str">
        <f t="shared" si="280"/>
        <v>Jacob Hall, Ben Iremonger (4), Matt Twose</v>
      </c>
      <c r="BD135" s="8" t="str">
        <f t="shared" si="280"/>
        <v>Myles Johnstone (1), Richard Pearse (1), Dave Slaughter (1)</v>
      </c>
      <c r="BE135" s="8" t="str">
        <f t="shared" si="280"/>
        <v>Jacob Thorne</v>
      </c>
      <c r="BF135" s="8" t="str">
        <f t="shared" si="280"/>
        <v>Andy Booth, David Copple, Sam Guest, Mark Winter</v>
      </c>
      <c r="BG135" s="8" t="str">
        <f t="shared" si="280"/>
        <v>Lorenzo Balzarini (1), Mike Barratt (3), Jacob Hall, Ben Iremonger (1), Matt Twose</v>
      </c>
      <c r="BH135" s="8" t="str">
        <f t="shared" si="280"/>
        <v>Justin Baranowski (2), Myles Johnstone (1), Matt Payne</v>
      </c>
      <c r="BI135" s="8" t="str">
        <f t="shared" si="280"/>
        <v>Jacob Thorne</v>
      </c>
      <c r="BJ135" s="8" t="str">
        <f t="shared" si="280"/>
        <v>Andy Booth, David Copple, Dave Slaughter, Mark Winter</v>
      </c>
      <c r="BK135" s="8" t="str">
        <f t="shared" si="280"/>
        <v>Lorenzo Balzarini (1), Richard Pearse (3)</v>
      </c>
      <c r="BL135" s="8" t="str">
        <f t="shared" si="280"/>
        <v>Justin Baranowski, Billy Camuso (1), Myles Johnstone, Matt Payne (2)</v>
      </c>
      <c r="BM135" s="8" t="str">
        <f t="shared" ref="BM135:CF135" si="281">IF(BM94="",BM134,IF(BM134="",BM94,BM134&amp;", "&amp;BM94))</f>
        <v/>
      </c>
      <c r="BN135" s="8" t="str">
        <f t="shared" si="281"/>
        <v/>
      </c>
      <c r="BO135" s="8" t="str">
        <f t="shared" si="281"/>
        <v/>
      </c>
      <c r="BP135" s="8" t="str">
        <f t="shared" si="281"/>
        <v/>
      </c>
      <c r="BQ135" s="8" t="str">
        <f t="shared" si="281"/>
        <v>Jacob Thorne</v>
      </c>
      <c r="BR135" s="8" t="str">
        <f t="shared" si="281"/>
        <v>Andy Booth, David Copple, Conor Mills, Dave Slaughter, Mark Winter</v>
      </c>
      <c r="BS135" s="8" t="str">
        <f t="shared" si="281"/>
        <v>Lorenzo Balzarini, Sam Baranowski, Kieran Kershaw, Richard Pearse (1), Matt Twose</v>
      </c>
      <c r="BT135" s="8" t="str">
        <f t="shared" si="281"/>
        <v>Justin Baranowski, Billy Camuso (1), Sam Hallows</v>
      </c>
      <c r="BU135" s="8" t="str">
        <f t="shared" si="281"/>
        <v/>
      </c>
      <c r="BV135" s="8" t="str">
        <f t="shared" si="281"/>
        <v/>
      </c>
      <c r="BW135" s="8" t="str">
        <f t="shared" si="281"/>
        <v/>
      </c>
      <c r="BX135" s="8" t="str">
        <f t="shared" si="281"/>
        <v/>
      </c>
      <c r="BY135" s="8" t="str">
        <f t="shared" si="281"/>
        <v/>
      </c>
      <c r="BZ135" s="8" t="str">
        <f t="shared" si="281"/>
        <v/>
      </c>
      <c r="CA135" s="8" t="str">
        <f t="shared" si="281"/>
        <v/>
      </c>
      <c r="CB135" s="8" t="str">
        <f t="shared" si="281"/>
        <v/>
      </c>
      <c r="CC135" s="8" t="str">
        <f t="shared" si="281"/>
        <v>Jacob Thorne</v>
      </c>
      <c r="CD135" s="8" t="str">
        <f t="shared" si="281"/>
        <v>David Copple, Will Lucas, Conor Mills, Mark Winter</v>
      </c>
      <c r="CE135" s="8" t="str">
        <f t="shared" si="281"/>
        <v>Sam Baranowski, Mike Barratt, Myles Johnstone, Richard Pearse, Matt Twose (1)</v>
      </c>
      <c r="CF135" s="8" t="str">
        <f t="shared" si="281"/>
        <v>Justin Baranowski (2), Sam Hallows, Matt Payne (1)</v>
      </c>
      <c r="CG135" s="8" t="str">
        <f t="shared" ref="CG135:CJ135" si="282">IF(CG94="",CG134,IF(CG134="",CG94,CG134&amp;", "&amp;CG94))</f>
        <v>Jacob Thorne</v>
      </c>
      <c r="CH135" s="8" t="str">
        <f t="shared" si="282"/>
        <v>David Copple, Sam Guest, Will Lucas, Conor Mills, Mark Winter</v>
      </c>
      <c r="CI135" s="8" t="str">
        <f t="shared" si="282"/>
        <v>Lorenzo Balzarini, Sam Baranowski, Mike Barratt (1), David Hudson, Myles Johnstone (1), Richard Pearse, Matt Twose</v>
      </c>
      <c r="CJ135" s="8" t="str">
        <f t="shared" si="282"/>
        <v>Dave Berman (1), Billy Camuso, Sam Hallows, Luke Johnstone, Matt Payne</v>
      </c>
    </row>
    <row r="136" spans="5:88">
      <c r="G136" s="8">
        <f t="shared" si="188"/>
        <v>35</v>
      </c>
      <c r="I136" s="8" t="str">
        <f t="shared" ref="I136:BL136" si="283">IF(I95="",I135,IF(I135="",I95,I135&amp;", "&amp;I95))</f>
        <v>Jacob Thorne</v>
      </c>
      <c r="J136" s="8" t="str">
        <f t="shared" si="283"/>
        <v>Andy Booth, David Copple, Dave Slaughter, Mark Winter</v>
      </c>
      <c r="K136" s="8" t="str">
        <f t="shared" si="283"/>
        <v>Sam Baranowski, Dave Berman (2), Myles Johnstone (1), Richard Pearse</v>
      </c>
      <c r="L136" s="8" t="str">
        <f t="shared" si="283"/>
        <v>Justin Baranowski (2), Billy Camuso, Luke Johnstone (1)</v>
      </c>
      <c r="M136" s="8" t="str">
        <f t="shared" si="283"/>
        <v>Jacob Thorne</v>
      </c>
      <c r="N136" s="8" t="str">
        <f t="shared" si="283"/>
        <v>Andy Booth, David Copple, Mark Winter</v>
      </c>
      <c r="O136" s="8" t="str">
        <f t="shared" si="283"/>
        <v>Sam Baranowski, Mike Barratt (2), Dave Berman (1), Eddie Dale, Ben Iremonger (2), Myles Johnstone, Richard Pearse (2), Matt Twose (1)</v>
      </c>
      <c r="P136" s="8" t="str">
        <f t="shared" si="283"/>
        <v>Justin Baranowski (2), Billy Camuso, Matt Payne (5)</v>
      </c>
      <c r="Q136" s="30" t="str">
        <f t="shared" si="283"/>
        <v>Dave Slaughter</v>
      </c>
      <c r="R136" s="8" t="str">
        <f t="shared" si="283"/>
        <v>Andy Booth, David Copple, Mark Winter</v>
      </c>
      <c r="S136" s="8" t="str">
        <f t="shared" si="283"/>
        <v>Sam Baranowski, Eddie Dale, Will Duval (1), Eugene Fung, Ben Iremonger, Myles Johnstone, Matt Twose (1)</v>
      </c>
      <c r="T136" s="8" t="str">
        <f t="shared" si="283"/>
        <v>Justin Baranowski, Billy Camuso, Matt Payne (1)</v>
      </c>
      <c r="U136" s="8" t="str">
        <f t="shared" si="283"/>
        <v>Lygon Bowen-west</v>
      </c>
      <c r="V136" s="8" t="str">
        <f t="shared" si="283"/>
        <v>Andy Booth, David Copple, Charlie Merry, Mark Winter</v>
      </c>
      <c r="W136" s="8" t="str">
        <f t="shared" si="283"/>
        <v>Sam Baranowski, Eddie Dale, Ben Iremonger (1), Myles Johnstone (1), Matt Twose (2)</v>
      </c>
      <c r="X136" s="8" t="str">
        <f t="shared" si="283"/>
        <v>Justin Baranowski (1), Luke Johnstone (2), Matt Payne (3)</v>
      </c>
      <c r="Y136" s="8" t="str">
        <f t="shared" si="283"/>
        <v>Jacob Thorne</v>
      </c>
      <c r="Z136" s="8" t="str">
        <f t="shared" si="283"/>
        <v>Andy Booth, Conor Mills, Dave Slaughter, Mark Winter</v>
      </c>
      <c r="AA136" s="8" t="str">
        <f t="shared" si="283"/>
        <v>Lorenzo Balzarini (2), Eddie Dale, Jacob Hall (1), Ben Iremonger, Myles Johnstone (1), Matt Twose (1)</v>
      </c>
      <c r="AB136" s="8" t="str">
        <f t="shared" si="283"/>
        <v>Justin Baranowski (1), Billy Camuso, Richard Pearse</v>
      </c>
      <c r="AC136" s="8" t="str">
        <f t="shared" si="283"/>
        <v>Jacob Thorne</v>
      </c>
      <c r="AD136" s="8" t="str">
        <f t="shared" si="283"/>
        <v>David Copple, Dave Slaughter, Mark Winter</v>
      </c>
      <c r="AE136" s="8" t="str">
        <f t="shared" si="283"/>
        <v>Lorenzo Balzarini (1), Sam Baranowski, Eddie Dale, Myles Johnstone, Richard Pearse, Matt Twose</v>
      </c>
      <c r="AF136" s="8" t="str">
        <f t="shared" si="283"/>
        <v>Justin Baranowski (1), Billy Camuso, Matt Payne (1)</v>
      </c>
      <c r="AG136" s="8" t="str">
        <f t="shared" si="283"/>
        <v/>
      </c>
      <c r="AH136" s="8" t="str">
        <f t="shared" si="283"/>
        <v/>
      </c>
      <c r="AI136" s="8" t="str">
        <f t="shared" si="283"/>
        <v/>
      </c>
      <c r="AJ136" s="8" t="str">
        <f t="shared" si="283"/>
        <v/>
      </c>
      <c r="AK136" s="8" t="str">
        <f t="shared" si="283"/>
        <v>Jacob Thorne</v>
      </c>
      <c r="AL136" s="8" t="str">
        <f t="shared" si="283"/>
        <v>Will Lucas, Conor Mills, Dave Slaughter, Mark Winter</v>
      </c>
      <c r="AM136" s="8" t="str">
        <f t="shared" si="283"/>
        <v>Lorenzo Balzarini, Sam Baranowski, Andy Booth, Jacob Hall, Myles Johnstone (1)</v>
      </c>
      <c r="AN136" s="8" t="str">
        <f t="shared" si="283"/>
        <v>Justin Baranowski (2), Billy Camuso, Matt Payne (2)</v>
      </c>
      <c r="AO136" s="8" t="str">
        <f t="shared" si="283"/>
        <v>Jacob Thorne</v>
      </c>
      <c r="AP136" s="8" t="str">
        <f t="shared" si="283"/>
        <v>Andy Booth, David Copple, Conor Mills, Mark Winter</v>
      </c>
      <c r="AQ136" s="8" t="str">
        <f t="shared" si="283"/>
        <v>Lorenzo Balzarini, Sam Baranowski, Mike Barratt (1), Richard Pearse, Matt Twose (1)</v>
      </c>
      <c r="AR136" s="8" t="str">
        <f t="shared" si="283"/>
        <v>Justin Baranowski (1), Myles Johnstone, Matt Payne (5)</v>
      </c>
      <c r="AS136" s="8" t="str">
        <f t="shared" si="283"/>
        <v>Eliot Pugh</v>
      </c>
      <c r="AT136" s="8" t="str">
        <f t="shared" si="283"/>
        <v>Andy Booth, David Copple, Mark Winter</v>
      </c>
      <c r="AU136" s="8" t="str">
        <f t="shared" si="283"/>
        <v>Lorenzo Balzarini, Mike Barratt (1), Lewis Blackshaw, Ben Iremonger, Richard Pearse (1), Matt Twose</v>
      </c>
      <c r="AV136" s="8" t="str">
        <f t="shared" si="283"/>
        <v>Justin Baranowski, Myles Johnstone, Matt Payne (1)</v>
      </c>
      <c r="AW136" s="8" t="str">
        <f t="shared" si="283"/>
        <v>Dave Slaughter</v>
      </c>
      <c r="AX136" s="8" t="str">
        <f t="shared" si="283"/>
        <v>David Copple, Sam Guest (1)</v>
      </c>
      <c r="AY136" s="8" t="str">
        <f t="shared" si="283"/>
        <v>Jordan Anning, Lorenzo Balzarini (2), Jacob Hall, Richard Pearse, Matt Twose</v>
      </c>
      <c r="AZ136" s="8" t="str">
        <f t="shared" si="283"/>
        <v>Myles Johnstone, Matt Payne (2), Ben Reed (3)</v>
      </c>
      <c r="BA136" s="8" t="str">
        <f t="shared" si="283"/>
        <v>Jacob Thorne</v>
      </c>
      <c r="BB136" s="8" t="str">
        <f t="shared" si="283"/>
        <v>Andy Booth, David Copple, Conor Mills, Mark Winter</v>
      </c>
      <c r="BC136" s="8" t="str">
        <f t="shared" si="283"/>
        <v>Jacob Hall, Ben Iremonger (4), Matt Twose</v>
      </c>
      <c r="BD136" s="8" t="str">
        <f t="shared" si="283"/>
        <v>Myles Johnstone (1), Richard Pearse (1), Dave Slaughter (1)</v>
      </c>
      <c r="BE136" s="8" t="str">
        <f t="shared" si="283"/>
        <v>Jacob Thorne</v>
      </c>
      <c r="BF136" s="8" t="str">
        <f t="shared" si="283"/>
        <v>Andy Booth, David Copple, Sam Guest, Mark Winter</v>
      </c>
      <c r="BG136" s="8" t="str">
        <f t="shared" si="283"/>
        <v>Lorenzo Balzarini (1), Mike Barratt (3), Jacob Hall, Ben Iremonger (1), Matt Twose</v>
      </c>
      <c r="BH136" s="8" t="str">
        <f t="shared" si="283"/>
        <v>Justin Baranowski (2), Myles Johnstone (1), Matt Payne</v>
      </c>
      <c r="BI136" s="8" t="str">
        <f t="shared" si="283"/>
        <v>Jacob Thorne</v>
      </c>
      <c r="BJ136" s="8" t="str">
        <f t="shared" si="283"/>
        <v>Andy Booth, David Copple, Dave Slaughter, Mark Winter</v>
      </c>
      <c r="BK136" s="8" t="str">
        <f t="shared" si="283"/>
        <v>Lorenzo Balzarini (1), Richard Pearse (3)</v>
      </c>
      <c r="BL136" s="8" t="str">
        <f t="shared" si="283"/>
        <v>Justin Baranowski, Billy Camuso (1), Myles Johnstone, Matt Payne (2)</v>
      </c>
      <c r="BM136" s="8" t="str">
        <f t="shared" ref="BM136:CF136" si="284">IF(BM95="",BM135,IF(BM135="",BM95,BM135&amp;", "&amp;BM95))</f>
        <v/>
      </c>
      <c r="BN136" s="8" t="str">
        <f t="shared" si="284"/>
        <v/>
      </c>
      <c r="BO136" s="8" t="str">
        <f t="shared" si="284"/>
        <v/>
      </c>
      <c r="BP136" s="8" t="str">
        <f t="shared" si="284"/>
        <v/>
      </c>
      <c r="BQ136" s="8" t="str">
        <f t="shared" si="284"/>
        <v>Jacob Thorne</v>
      </c>
      <c r="BR136" s="8" t="str">
        <f t="shared" si="284"/>
        <v>Andy Booth, David Copple, Conor Mills, Dave Slaughter, Mark Winter</v>
      </c>
      <c r="BS136" s="8" t="str">
        <f t="shared" si="284"/>
        <v>Lorenzo Balzarini, Sam Baranowski, Kieran Kershaw, Richard Pearse (1), Matt Twose</v>
      </c>
      <c r="BT136" s="8" t="str">
        <f t="shared" si="284"/>
        <v>Justin Baranowski, Billy Camuso (1), Sam Hallows</v>
      </c>
      <c r="BU136" s="8" t="str">
        <f t="shared" si="284"/>
        <v/>
      </c>
      <c r="BV136" s="8" t="str">
        <f t="shared" si="284"/>
        <v/>
      </c>
      <c r="BW136" s="8" t="str">
        <f t="shared" si="284"/>
        <v/>
      </c>
      <c r="BX136" s="8" t="str">
        <f t="shared" si="284"/>
        <v/>
      </c>
      <c r="BY136" s="8" t="str">
        <f t="shared" si="284"/>
        <v/>
      </c>
      <c r="BZ136" s="8" t="str">
        <f t="shared" si="284"/>
        <v/>
      </c>
      <c r="CA136" s="8" t="str">
        <f t="shared" si="284"/>
        <v/>
      </c>
      <c r="CB136" s="8" t="str">
        <f t="shared" si="284"/>
        <v/>
      </c>
      <c r="CC136" s="8" t="str">
        <f t="shared" si="284"/>
        <v>Jacob Thorne</v>
      </c>
      <c r="CD136" s="8" t="str">
        <f t="shared" si="284"/>
        <v>David Copple, Will Lucas, Conor Mills, Mark Winter</v>
      </c>
      <c r="CE136" s="8" t="str">
        <f t="shared" si="284"/>
        <v>Sam Baranowski, Mike Barratt, Myles Johnstone, Richard Pearse, Matt Twose (1)</v>
      </c>
      <c r="CF136" s="8" t="str">
        <f t="shared" si="284"/>
        <v>Justin Baranowski (2), Sam Hallows, Matt Payne (1)</v>
      </c>
      <c r="CG136" s="8" t="str">
        <f t="shared" ref="CG136:CJ136" si="285">IF(CG95="",CG135,IF(CG135="",CG95,CG135&amp;", "&amp;CG95))</f>
        <v>Jacob Thorne</v>
      </c>
      <c r="CH136" s="8" t="str">
        <f t="shared" si="285"/>
        <v>David Copple, Sam Guest, Will Lucas, Conor Mills, Mark Winter</v>
      </c>
      <c r="CI136" s="8" t="str">
        <f t="shared" si="285"/>
        <v>Lorenzo Balzarini, Sam Baranowski, Mike Barratt (1), David Hudson, Myles Johnstone (1), Richard Pearse, Matt Twose</v>
      </c>
      <c r="CJ136" s="8" t="str">
        <f t="shared" si="285"/>
        <v>Dave Berman (1), Billy Camuso, Sam Hallows, Luke Johnstone, Matt Payne</v>
      </c>
    </row>
    <row r="137" spans="5:88">
      <c r="G137" s="8">
        <f t="shared" si="188"/>
        <v>36</v>
      </c>
      <c r="I137" s="8" t="str">
        <f t="shared" ref="I137:BL137" si="286">IF(I96="",I136,IF(I136="",I96,I136&amp;", "&amp;I96))</f>
        <v>Jacob Thorne</v>
      </c>
      <c r="J137" s="8" t="str">
        <f t="shared" si="286"/>
        <v>Andy Booth, David Copple, Dave Slaughter, Mark Winter</v>
      </c>
      <c r="K137" s="8" t="str">
        <f t="shared" si="286"/>
        <v>Sam Baranowski, Dave Berman (2), Myles Johnstone (1), Richard Pearse</v>
      </c>
      <c r="L137" s="8" t="str">
        <f t="shared" si="286"/>
        <v>Justin Baranowski (2), Billy Camuso, Luke Johnstone (1)</v>
      </c>
      <c r="M137" s="8" t="str">
        <f t="shared" si="286"/>
        <v>Jacob Thorne</v>
      </c>
      <c r="N137" s="8" t="str">
        <f t="shared" si="286"/>
        <v>Andy Booth, David Copple, Mark Winter</v>
      </c>
      <c r="O137" s="8" t="str">
        <f t="shared" si="286"/>
        <v>Sam Baranowski, Mike Barratt (2), Dave Berman (1), Eddie Dale, Ben Iremonger (2), Myles Johnstone, Richard Pearse (2), Matt Twose (1)</v>
      </c>
      <c r="P137" s="8" t="str">
        <f t="shared" si="286"/>
        <v>Justin Baranowski (2), Billy Camuso, Matt Payne (5)</v>
      </c>
      <c r="Q137" s="30" t="str">
        <f t="shared" si="286"/>
        <v>Dave Slaughter</v>
      </c>
      <c r="R137" s="8" t="str">
        <f t="shared" si="286"/>
        <v>Andy Booth, David Copple, Mark Winter</v>
      </c>
      <c r="S137" s="8" t="str">
        <f t="shared" si="286"/>
        <v>Sam Baranowski, Eddie Dale, Will Duval (1), Eugene Fung, Ben Iremonger, Myles Johnstone, Matt Twose (1)</v>
      </c>
      <c r="T137" s="8" t="str">
        <f t="shared" si="286"/>
        <v>Justin Baranowski, Billy Camuso, Matt Payne (1)</v>
      </c>
      <c r="U137" s="8" t="str">
        <f t="shared" si="286"/>
        <v>Lygon Bowen-west</v>
      </c>
      <c r="V137" s="8" t="str">
        <f t="shared" si="286"/>
        <v>Andy Booth, David Copple, Charlie Merry, Mark Winter</v>
      </c>
      <c r="W137" s="8" t="str">
        <f t="shared" si="286"/>
        <v>Sam Baranowski, Eddie Dale, Ben Iremonger (1), Myles Johnstone (1), Matt Twose (2)</v>
      </c>
      <c r="X137" s="8" t="str">
        <f t="shared" si="286"/>
        <v>Justin Baranowski (1), Luke Johnstone (2), Matt Payne (3)</v>
      </c>
      <c r="Y137" s="8" t="str">
        <f t="shared" si="286"/>
        <v>Jacob Thorne</v>
      </c>
      <c r="Z137" s="8" t="str">
        <f t="shared" si="286"/>
        <v>Andy Booth, Conor Mills, Dave Slaughter, Mark Winter</v>
      </c>
      <c r="AA137" s="8" t="str">
        <f t="shared" si="286"/>
        <v>Lorenzo Balzarini (2), Eddie Dale, Jacob Hall (1), Ben Iremonger, Myles Johnstone (1), Matt Twose (1)</v>
      </c>
      <c r="AB137" s="8" t="str">
        <f t="shared" si="286"/>
        <v>Justin Baranowski (1), Billy Camuso, Richard Pearse</v>
      </c>
      <c r="AC137" s="8" t="str">
        <f t="shared" si="286"/>
        <v>Jacob Thorne</v>
      </c>
      <c r="AD137" s="8" t="str">
        <f t="shared" si="286"/>
        <v>David Copple, Dave Slaughter, Mark Winter</v>
      </c>
      <c r="AE137" s="8" t="str">
        <f t="shared" si="286"/>
        <v>Lorenzo Balzarini (1), Sam Baranowski, Eddie Dale, Myles Johnstone, Richard Pearse, Matt Twose</v>
      </c>
      <c r="AF137" s="8" t="str">
        <f t="shared" si="286"/>
        <v>Justin Baranowski (1), Billy Camuso, Matt Payne (1)</v>
      </c>
      <c r="AG137" s="8" t="str">
        <f t="shared" si="286"/>
        <v/>
      </c>
      <c r="AH137" s="8" t="str">
        <f t="shared" si="286"/>
        <v/>
      </c>
      <c r="AI137" s="8" t="str">
        <f t="shared" si="286"/>
        <v/>
      </c>
      <c r="AJ137" s="8" t="str">
        <f t="shared" si="286"/>
        <v/>
      </c>
      <c r="AK137" s="8" t="str">
        <f t="shared" si="286"/>
        <v>Jacob Thorne</v>
      </c>
      <c r="AL137" s="8" t="str">
        <f t="shared" si="286"/>
        <v>Will Lucas, Conor Mills, Dave Slaughter, Mark Winter</v>
      </c>
      <c r="AM137" s="8" t="str">
        <f t="shared" si="286"/>
        <v>Lorenzo Balzarini, Sam Baranowski, Andy Booth, Jacob Hall, Myles Johnstone (1)</v>
      </c>
      <c r="AN137" s="8" t="str">
        <f t="shared" si="286"/>
        <v>Justin Baranowski (2), Billy Camuso, Matt Payne (2)</v>
      </c>
      <c r="AO137" s="8" t="str">
        <f t="shared" si="286"/>
        <v>Jacob Thorne</v>
      </c>
      <c r="AP137" s="8" t="str">
        <f t="shared" si="286"/>
        <v>Andy Booth, David Copple, Conor Mills, Mark Winter</v>
      </c>
      <c r="AQ137" s="8" t="str">
        <f t="shared" si="286"/>
        <v>Lorenzo Balzarini, Sam Baranowski, Mike Barratt (1), Richard Pearse, Matt Twose (1)</v>
      </c>
      <c r="AR137" s="8" t="str">
        <f t="shared" si="286"/>
        <v>Justin Baranowski (1), Myles Johnstone, Matt Payne (5)</v>
      </c>
      <c r="AS137" s="8" t="str">
        <f t="shared" si="286"/>
        <v>Eliot Pugh</v>
      </c>
      <c r="AT137" s="8" t="str">
        <f t="shared" si="286"/>
        <v>Andy Booth, David Copple, Mark Winter</v>
      </c>
      <c r="AU137" s="8" t="str">
        <f t="shared" si="286"/>
        <v>Lorenzo Balzarini, Mike Barratt (1), Lewis Blackshaw, Ben Iremonger, Richard Pearse (1), Matt Twose</v>
      </c>
      <c r="AV137" s="8" t="str">
        <f t="shared" si="286"/>
        <v>Justin Baranowski, Myles Johnstone, Matt Payne (1)</v>
      </c>
      <c r="AW137" s="8" t="str">
        <f t="shared" si="286"/>
        <v>Dave Slaughter</v>
      </c>
      <c r="AX137" s="8" t="str">
        <f t="shared" si="286"/>
        <v>David Copple, Sam Guest (1)</v>
      </c>
      <c r="AY137" s="8" t="str">
        <f t="shared" si="286"/>
        <v>Jordan Anning, Lorenzo Balzarini (2), Jacob Hall, Richard Pearse, Matt Twose</v>
      </c>
      <c r="AZ137" s="8" t="str">
        <f t="shared" si="286"/>
        <v>Myles Johnstone, Matt Payne (2), Ben Reed (3)</v>
      </c>
      <c r="BA137" s="8" t="str">
        <f t="shared" si="286"/>
        <v>Jacob Thorne</v>
      </c>
      <c r="BB137" s="8" t="str">
        <f t="shared" si="286"/>
        <v>Andy Booth, David Copple, Conor Mills, Mark Winter</v>
      </c>
      <c r="BC137" s="8" t="str">
        <f t="shared" si="286"/>
        <v>Jacob Hall, Ben Iremonger (4), Matt Twose</v>
      </c>
      <c r="BD137" s="8" t="str">
        <f t="shared" si="286"/>
        <v>Myles Johnstone (1), Richard Pearse (1), Dave Slaughter (1)</v>
      </c>
      <c r="BE137" s="8" t="str">
        <f t="shared" si="286"/>
        <v>Jacob Thorne</v>
      </c>
      <c r="BF137" s="8" t="str">
        <f t="shared" si="286"/>
        <v>Andy Booth, David Copple, Sam Guest, Mark Winter</v>
      </c>
      <c r="BG137" s="8" t="str">
        <f t="shared" si="286"/>
        <v>Lorenzo Balzarini (1), Mike Barratt (3), Jacob Hall, Ben Iremonger (1), Matt Twose</v>
      </c>
      <c r="BH137" s="8" t="str">
        <f t="shared" si="286"/>
        <v>Justin Baranowski (2), Myles Johnstone (1), Matt Payne</v>
      </c>
      <c r="BI137" s="8" t="str">
        <f t="shared" si="286"/>
        <v>Jacob Thorne</v>
      </c>
      <c r="BJ137" s="8" t="str">
        <f t="shared" si="286"/>
        <v>Andy Booth, David Copple, Dave Slaughter, Mark Winter</v>
      </c>
      <c r="BK137" s="8" t="str">
        <f t="shared" si="286"/>
        <v>Lorenzo Balzarini (1), Richard Pearse (3)</v>
      </c>
      <c r="BL137" s="8" t="str">
        <f t="shared" si="286"/>
        <v>Justin Baranowski, Billy Camuso (1), Myles Johnstone, Matt Payne (2)</v>
      </c>
      <c r="BM137" s="8" t="str">
        <f t="shared" ref="BM137:CF137" si="287">IF(BM96="",BM136,IF(BM136="",BM96,BM136&amp;", "&amp;BM96))</f>
        <v/>
      </c>
      <c r="BN137" s="8" t="str">
        <f t="shared" si="287"/>
        <v/>
      </c>
      <c r="BO137" s="8" t="str">
        <f t="shared" si="287"/>
        <v/>
      </c>
      <c r="BP137" s="8" t="str">
        <f t="shared" si="287"/>
        <v/>
      </c>
      <c r="BQ137" s="8" t="str">
        <f t="shared" si="287"/>
        <v>Jacob Thorne</v>
      </c>
      <c r="BR137" s="8" t="str">
        <f t="shared" si="287"/>
        <v>Andy Booth, David Copple, Conor Mills, Dave Slaughter, Mark Winter</v>
      </c>
      <c r="BS137" s="8" t="str">
        <f t="shared" si="287"/>
        <v>Lorenzo Balzarini, Sam Baranowski, Kieran Kershaw, Richard Pearse (1), Matt Twose</v>
      </c>
      <c r="BT137" s="8" t="str">
        <f t="shared" si="287"/>
        <v>Justin Baranowski, Billy Camuso (1), Sam Hallows</v>
      </c>
      <c r="BU137" s="8" t="str">
        <f t="shared" si="287"/>
        <v/>
      </c>
      <c r="BV137" s="8" t="str">
        <f t="shared" si="287"/>
        <v/>
      </c>
      <c r="BW137" s="8" t="str">
        <f t="shared" si="287"/>
        <v/>
      </c>
      <c r="BX137" s="8" t="str">
        <f t="shared" si="287"/>
        <v/>
      </c>
      <c r="BY137" s="8" t="str">
        <f t="shared" si="287"/>
        <v/>
      </c>
      <c r="BZ137" s="8" t="str">
        <f t="shared" si="287"/>
        <v/>
      </c>
      <c r="CA137" s="8" t="str">
        <f t="shared" si="287"/>
        <v/>
      </c>
      <c r="CB137" s="8" t="str">
        <f t="shared" si="287"/>
        <v/>
      </c>
      <c r="CC137" s="8" t="str">
        <f t="shared" si="287"/>
        <v>Jacob Thorne</v>
      </c>
      <c r="CD137" s="8" t="str">
        <f t="shared" si="287"/>
        <v>David Copple, Will Lucas, Conor Mills, Mark Winter</v>
      </c>
      <c r="CE137" s="8" t="str">
        <f t="shared" si="287"/>
        <v>Sam Baranowski, Mike Barratt, Myles Johnstone, Richard Pearse, Matt Twose (1)</v>
      </c>
      <c r="CF137" s="8" t="str">
        <f t="shared" si="287"/>
        <v>Justin Baranowski (2), Sam Hallows, Matt Payne (1)</v>
      </c>
      <c r="CG137" s="8" t="str">
        <f t="shared" ref="CG137:CJ137" si="288">IF(CG96="",CG136,IF(CG136="",CG96,CG136&amp;", "&amp;CG96))</f>
        <v>Jacob Thorne</v>
      </c>
      <c r="CH137" s="8" t="str">
        <f t="shared" si="288"/>
        <v>David Copple, Sam Guest, Will Lucas, Conor Mills, Mark Winter</v>
      </c>
      <c r="CI137" s="8" t="str">
        <f t="shared" si="288"/>
        <v>Lorenzo Balzarini, Sam Baranowski, Mike Barratt (1), David Hudson, Myles Johnstone (1), Richard Pearse, Matt Twose</v>
      </c>
      <c r="CJ137" s="8" t="str">
        <f t="shared" si="288"/>
        <v>Dave Berman (1), Billy Camuso, Sam Hallows, Luke Johnstone, Matt Payne</v>
      </c>
    </row>
    <row r="138" spans="5:88">
      <c r="G138" s="8">
        <f t="shared" si="188"/>
        <v>37</v>
      </c>
      <c r="I138" s="8" t="str">
        <f t="shared" ref="I138:BL138" si="289">IF(I97="",I137,IF(I137="",I97,I137&amp;", "&amp;I97))</f>
        <v>Jacob Thorne</v>
      </c>
      <c r="J138" s="8" t="str">
        <f t="shared" si="289"/>
        <v>Andy Booth, David Copple, Dave Slaughter, Mark Winter</v>
      </c>
      <c r="K138" s="8" t="str">
        <f t="shared" si="289"/>
        <v>Sam Baranowski, Dave Berman (2), Myles Johnstone (1), Richard Pearse</v>
      </c>
      <c r="L138" s="8" t="str">
        <f t="shared" si="289"/>
        <v>Justin Baranowski (2), Billy Camuso, Luke Johnstone (1)</v>
      </c>
      <c r="M138" s="8" t="str">
        <f t="shared" si="289"/>
        <v>Jacob Thorne</v>
      </c>
      <c r="N138" s="8" t="str">
        <f t="shared" si="289"/>
        <v>Andy Booth, David Copple, Mark Winter</v>
      </c>
      <c r="O138" s="8" t="str">
        <f t="shared" si="289"/>
        <v>Sam Baranowski, Mike Barratt (2), Dave Berman (1), Eddie Dale, Ben Iremonger (2), Myles Johnstone, Richard Pearse (2), Matt Twose (1)</v>
      </c>
      <c r="P138" s="8" t="str">
        <f t="shared" si="289"/>
        <v>Justin Baranowski (2), Billy Camuso, Matt Payne (5)</v>
      </c>
      <c r="Q138" s="30" t="str">
        <f t="shared" si="289"/>
        <v>Dave Slaughter</v>
      </c>
      <c r="R138" s="8" t="str">
        <f t="shared" si="289"/>
        <v>Andy Booth, David Copple, Mark Winter</v>
      </c>
      <c r="S138" s="8" t="str">
        <f t="shared" si="289"/>
        <v>Sam Baranowski, Eddie Dale, Will Duval (1), Eugene Fung, Ben Iremonger, Myles Johnstone, Matt Twose (1)</v>
      </c>
      <c r="T138" s="8" t="str">
        <f t="shared" si="289"/>
        <v>Justin Baranowski, Billy Camuso, Matt Payne (1)</v>
      </c>
      <c r="U138" s="8" t="str">
        <f t="shared" si="289"/>
        <v>Lygon Bowen-west</v>
      </c>
      <c r="V138" s="8" t="str">
        <f t="shared" si="289"/>
        <v>Andy Booth, David Copple, Charlie Merry, Mark Winter</v>
      </c>
      <c r="W138" s="8" t="str">
        <f t="shared" si="289"/>
        <v>Sam Baranowski, Eddie Dale, Ben Iremonger (1), Myles Johnstone (1), Matt Twose (2)</v>
      </c>
      <c r="X138" s="8" t="str">
        <f t="shared" si="289"/>
        <v>Justin Baranowski (1), Luke Johnstone (2), Matt Payne (3)</v>
      </c>
      <c r="Y138" s="8" t="str">
        <f t="shared" si="289"/>
        <v>Jacob Thorne</v>
      </c>
      <c r="Z138" s="8" t="str">
        <f t="shared" si="289"/>
        <v>Andy Booth, Conor Mills, Dave Slaughter, Mark Winter</v>
      </c>
      <c r="AA138" s="8" t="str">
        <f t="shared" si="289"/>
        <v>Lorenzo Balzarini (2), Eddie Dale, Jacob Hall (1), Ben Iremonger, Myles Johnstone (1), Matt Twose (1)</v>
      </c>
      <c r="AB138" s="8" t="str">
        <f t="shared" si="289"/>
        <v>Justin Baranowski (1), Billy Camuso, Richard Pearse</v>
      </c>
      <c r="AC138" s="8" t="str">
        <f t="shared" si="289"/>
        <v>Jacob Thorne</v>
      </c>
      <c r="AD138" s="8" t="str">
        <f t="shared" si="289"/>
        <v>David Copple, Dave Slaughter, Mark Winter</v>
      </c>
      <c r="AE138" s="8" t="str">
        <f t="shared" si="289"/>
        <v>Lorenzo Balzarini (1), Sam Baranowski, Eddie Dale, Myles Johnstone, Richard Pearse, Matt Twose</v>
      </c>
      <c r="AF138" s="8" t="str">
        <f t="shared" si="289"/>
        <v>Justin Baranowski (1), Billy Camuso, Matt Payne (1)</v>
      </c>
      <c r="AG138" s="8" t="str">
        <f t="shared" si="289"/>
        <v/>
      </c>
      <c r="AH138" s="8" t="str">
        <f t="shared" si="289"/>
        <v/>
      </c>
      <c r="AI138" s="8" t="str">
        <f t="shared" si="289"/>
        <v/>
      </c>
      <c r="AJ138" s="8" t="str">
        <f t="shared" si="289"/>
        <v/>
      </c>
      <c r="AK138" s="8" t="str">
        <f t="shared" si="289"/>
        <v>Jacob Thorne</v>
      </c>
      <c r="AL138" s="8" t="str">
        <f t="shared" si="289"/>
        <v>Will Lucas, Conor Mills, Dave Slaughter, Mark Winter</v>
      </c>
      <c r="AM138" s="8" t="str">
        <f t="shared" si="289"/>
        <v>Lorenzo Balzarini, Sam Baranowski, Andy Booth, Jacob Hall, Myles Johnstone (1)</v>
      </c>
      <c r="AN138" s="8" t="str">
        <f t="shared" si="289"/>
        <v>Justin Baranowski (2), Billy Camuso, Matt Payne (2)</v>
      </c>
      <c r="AO138" s="8" t="str">
        <f t="shared" si="289"/>
        <v>Jacob Thorne</v>
      </c>
      <c r="AP138" s="8" t="str">
        <f t="shared" si="289"/>
        <v>Andy Booth, David Copple, Conor Mills, Mark Winter</v>
      </c>
      <c r="AQ138" s="8" t="str">
        <f t="shared" si="289"/>
        <v>Lorenzo Balzarini, Sam Baranowski, Mike Barratt (1), Richard Pearse, Matt Twose (1)</v>
      </c>
      <c r="AR138" s="8" t="str">
        <f t="shared" si="289"/>
        <v>Justin Baranowski (1), Myles Johnstone, Matt Payne (5)</v>
      </c>
      <c r="AS138" s="8" t="str">
        <f t="shared" si="289"/>
        <v>Eliot Pugh</v>
      </c>
      <c r="AT138" s="8" t="str">
        <f t="shared" si="289"/>
        <v>Andy Booth, David Copple, Mark Winter</v>
      </c>
      <c r="AU138" s="8" t="str">
        <f t="shared" si="289"/>
        <v>Lorenzo Balzarini, Mike Barratt (1), Lewis Blackshaw, Ben Iremonger, Richard Pearse (1), Matt Twose</v>
      </c>
      <c r="AV138" s="8" t="str">
        <f t="shared" si="289"/>
        <v>Justin Baranowski, Myles Johnstone, Matt Payne (1)</v>
      </c>
      <c r="AW138" s="8" t="str">
        <f t="shared" si="289"/>
        <v>Dave Slaughter</v>
      </c>
      <c r="AX138" s="8" t="str">
        <f t="shared" si="289"/>
        <v>David Copple, Sam Guest (1)</v>
      </c>
      <c r="AY138" s="8" t="str">
        <f t="shared" si="289"/>
        <v>Jordan Anning, Lorenzo Balzarini (2), Jacob Hall, Richard Pearse, Matt Twose</v>
      </c>
      <c r="AZ138" s="8" t="str">
        <f t="shared" si="289"/>
        <v>Myles Johnstone, Matt Payne (2), Ben Reed (3)</v>
      </c>
      <c r="BA138" s="8" t="str">
        <f t="shared" si="289"/>
        <v>Jacob Thorne</v>
      </c>
      <c r="BB138" s="8" t="str">
        <f t="shared" si="289"/>
        <v>Andy Booth, David Copple, Conor Mills, Mark Winter</v>
      </c>
      <c r="BC138" s="8" t="str">
        <f t="shared" si="289"/>
        <v>Jacob Hall, Ben Iremonger (4), Matt Twose</v>
      </c>
      <c r="BD138" s="8" t="str">
        <f t="shared" si="289"/>
        <v>Myles Johnstone (1), Richard Pearse (1), Dave Slaughter (1)</v>
      </c>
      <c r="BE138" s="8" t="str">
        <f t="shared" si="289"/>
        <v>Jacob Thorne</v>
      </c>
      <c r="BF138" s="8" t="str">
        <f t="shared" si="289"/>
        <v>Andy Booth, David Copple, Sam Guest, Mark Winter</v>
      </c>
      <c r="BG138" s="8" t="str">
        <f t="shared" si="289"/>
        <v>Lorenzo Balzarini (1), Mike Barratt (3), Jacob Hall, Ben Iremonger (1), Matt Twose</v>
      </c>
      <c r="BH138" s="8" t="str">
        <f t="shared" si="289"/>
        <v>Justin Baranowski (2), Myles Johnstone (1), Matt Payne</v>
      </c>
      <c r="BI138" s="8" t="str">
        <f t="shared" si="289"/>
        <v>Jacob Thorne</v>
      </c>
      <c r="BJ138" s="8" t="str">
        <f t="shared" si="289"/>
        <v>Andy Booth, David Copple, Dave Slaughter, Mark Winter</v>
      </c>
      <c r="BK138" s="8" t="str">
        <f t="shared" si="289"/>
        <v>Lorenzo Balzarini (1), Richard Pearse (3)</v>
      </c>
      <c r="BL138" s="8" t="str">
        <f t="shared" si="289"/>
        <v>Justin Baranowski, Billy Camuso (1), Myles Johnstone, Matt Payne (2)</v>
      </c>
      <c r="BM138" s="8" t="str">
        <f t="shared" ref="BM138:CF138" si="290">IF(BM97="",BM137,IF(BM137="",BM97,BM137&amp;", "&amp;BM97))</f>
        <v/>
      </c>
      <c r="BN138" s="8" t="str">
        <f t="shared" si="290"/>
        <v/>
      </c>
      <c r="BO138" s="8" t="str">
        <f t="shared" si="290"/>
        <v/>
      </c>
      <c r="BP138" s="8" t="str">
        <f t="shared" si="290"/>
        <v/>
      </c>
      <c r="BQ138" s="8" t="str">
        <f t="shared" si="290"/>
        <v>Jacob Thorne</v>
      </c>
      <c r="BR138" s="8" t="str">
        <f t="shared" si="290"/>
        <v>Andy Booth, David Copple, Conor Mills, Dave Slaughter, Mark Winter</v>
      </c>
      <c r="BS138" s="8" t="str">
        <f t="shared" si="290"/>
        <v>Lorenzo Balzarini, Sam Baranowski, Kieran Kershaw, Richard Pearse (1), Matt Twose</v>
      </c>
      <c r="BT138" s="8" t="str">
        <f t="shared" si="290"/>
        <v>Justin Baranowski, Billy Camuso (1), Sam Hallows</v>
      </c>
      <c r="BU138" s="8" t="str">
        <f t="shared" si="290"/>
        <v/>
      </c>
      <c r="BV138" s="8" t="str">
        <f t="shared" si="290"/>
        <v/>
      </c>
      <c r="BW138" s="8" t="str">
        <f t="shared" si="290"/>
        <v/>
      </c>
      <c r="BX138" s="8" t="str">
        <f t="shared" si="290"/>
        <v/>
      </c>
      <c r="BY138" s="8" t="str">
        <f t="shared" si="290"/>
        <v/>
      </c>
      <c r="BZ138" s="8" t="str">
        <f t="shared" si="290"/>
        <v/>
      </c>
      <c r="CA138" s="8" t="str">
        <f t="shared" si="290"/>
        <v/>
      </c>
      <c r="CB138" s="8" t="str">
        <f t="shared" si="290"/>
        <v/>
      </c>
      <c r="CC138" s="8" t="str">
        <f t="shared" si="290"/>
        <v>Jacob Thorne</v>
      </c>
      <c r="CD138" s="8" t="str">
        <f t="shared" si="290"/>
        <v>David Copple, Will Lucas, Conor Mills, Mark Winter</v>
      </c>
      <c r="CE138" s="8" t="str">
        <f t="shared" si="290"/>
        <v>Sam Baranowski, Mike Barratt, Myles Johnstone, Richard Pearse, Matt Twose (1)</v>
      </c>
      <c r="CF138" s="8" t="str">
        <f t="shared" si="290"/>
        <v>Justin Baranowski (2), Sam Hallows, Matt Payne (1)</v>
      </c>
      <c r="CG138" s="8" t="str">
        <f t="shared" ref="CG138:CJ138" si="291">IF(CG97="",CG137,IF(CG137="",CG97,CG137&amp;", "&amp;CG97))</f>
        <v>Jacob Thorne</v>
      </c>
      <c r="CH138" s="8" t="str">
        <f t="shared" si="291"/>
        <v>David Copple, Sam Guest, Will Lucas, Conor Mills, Mark Winter</v>
      </c>
      <c r="CI138" s="8" t="str">
        <f t="shared" si="291"/>
        <v>Lorenzo Balzarini, Sam Baranowski, Mike Barratt (1), David Hudson, Myles Johnstone (1), Richard Pearse, Matt Twose</v>
      </c>
      <c r="CJ138" s="8" t="str">
        <f t="shared" si="291"/>
        <v>Dave Berman (1), Billy Camuso, Sam Hallows, Luke Johnstone, Matt Payne</v>
      </c>
    </row>
    <row r="139" spans="5:88">
      <c r="G139" s="8">
        <f t="shared" si="188"/>
        <v>38</v>
      </c>
      <c r="I139" s="8" t="str">
        <f t="shared" ref="I139:BL139" si="292">IF(I98="",I138,IF(I138="",I98,I138&amp;", "&amp;I98))</f>
        <v>Jacob Thorne</v>
      </c>
      <c r="J139" s="8" t="str">
        <f t="shared" si="292"/>
        <v>Andy Booth, David Copple, Dave Slaughter, Mark Winter</v>
      </c>
      <c r="K139" s="8" t="str">
        <f t="shared" si="292"/>
        <v>Sam Baranowski, Dave Berman (2), Myles Johnstone (1), Richard Pearse</v>
      </c>
      <c r="L139" s="8" t="str">
        <f t="shared" si="292"/>
        <v>Justin Baranowski (2), Billy Camuso, Luke Johnstone (1)</v>
      </c>
      <c r="M139" s="8" t="str">
        <f t="shared" si="292"/>
        <v>Jacob Thorne</v>
      </c>
      <c r="N139" s="8" t="str">
        <f t="shared" si="292"/>
        <v>Andy Booth, David Copple, Mark Winter</v>
      </c>
      <c r="O139" s="8" t="str">
        <f t="shared" si="292"/>
        <v>Sam Baranowski, Mike Barratt (2), Dave Berman (1), Eddie Dale, Ben Iremonger (2), Myles Johnstone, Richard Pearse (2), Matt Twose (1)</v>
      </c>
      <c r="P139" s="8" t="str">
        <f t="shared" si="292"/>
        <v>Justin Baranowski (2), Billy Camuso, Matt Payne (5)</v>
      </c>
      <c r="Q139" s="30" t="str">
        <f t="shared" si="292"/>
        <v>Dave Slaughter</v>
      </c>
      <c r="R139" s="8" t="str">
        <f t="shared" si="292"/>
        <v>Andy Booth, David Copple, Mark Winter</v>
      </c>
      <c r="S139" s="8" t="str">
        <f t="shared" si="292"/>
        <v>Sam Baranowski, Eddie Dale, Will Duval (1), Eugene Fung, Ben Iremonger, Myles Johnstone, Matt Twose (1)</v>
      </c>
      <c r="T139" s="8" t="str">
        <f t="shared" si="292"/>
        <v>Justin Baranowski, Billy Camuso, Matt Payne (1)</v>
      </c>
      <c r="U139" s="8" t="str">
        <f t="shared" si="292"/>
        <v>Lygon Bowen-west</v>
      </c>
      <c r="V139" s="8" t="str">
        <f t="shared" si="292"/>
        <v>Andy Booth, David Copple, Charlie Merry, Mark Winter</v>
      </c>
      <c r="W139" s="8" t="str">
        <f t="shared" si="292"/>
        <v>Sam Baranowski, Eddie Dale, Ben Iremonger (1), Myles Johnstone (1), Matt Twose (2)</v>
      </c>
      <c r="X139" s="8" t="str">
        <f t="shared" si="292"/>
        <v>Justin Baranowski (1), Luke Johnstone (2), Matt Payne (3)</v>
      </c>
      <c r="Y139" s="8" t="str">
        <f t="shared" si="292"/>
        <v>Jacob Thorne</v>
      </c>
      <c r="Z139" s="8" t="str">
        <f t="shared" si="292"/>
        <v>Andy Booth, Conor Mills, Dave Slaughter, Mark Winter</v>
      </c>
      <c r="AA139" s="8" t="str">
        <f t="shared" si="292"/>
        <v>Lorenzo Balzarini (2), Eddie Dale, Jacob Hall (1), Ben Iremonger, Myles Johnstone (1), Matt Twose (1)</v>
      </c>
      <c r="AB139" s="8" t="str">
        <f t="shared" si="292"/>
        <v>Justin Baranowski (1), Billy Camuso, Richard Pearse</v>
      </c>
      <c r="AC139" s="8" t="str">
        <f t="shared" si="292"/>
        <v>Jacob Thorne</v>
      </c>
      <c r="AD139" s="8" t="str">
        <f t="shared" si="292"/>
        <v>David Copple, Dave Slaughter, Mark Winter</v>
      </c>
      <c r="AE139" s="8" t="str">
        <f t="shared" si="292"/>
        <v>Lorenzo Balzarini (1), Sam Baranowski, Eddie Dale, Myles Johnstone, Richard Pearse, Matt Twose</v>
      </c>
      <c r="AF139" s="8" t="str">
        <f t="shared" si="292"/>
        <v>Justin Baranowski (1), Billy Camuso, Matt Payne (1)</v>
      </c>
      <c r="AG139" s="8" t="str">
        <f t="shared" si="292"/>
        <v/>
      </c>
      <c r="AH139" s="8" t="str">
        <f t="shared" si="292"/>
        <v/>
      </c>
      <c r="AI139" s="8" t="str">
        <f t="shared" si="292"/>
        <v/>
      </c>
      <c r="AJ139" s="8" t="str">
        <f t="shared" si="292"/>
        <v/>
      </c>
      <c r="AK139" s="8" t="str">
        <f t="shared" si="292"/>
        <v>Jacob Thorne</v>
      </c>
      <c r="AL139" s="8" t="str">
        <f t="shared" si="292"/>
        <v>Will Lucas, Conor Mills, Dave Slaughter, Mark Winter</v>
      </c>
      <c r="AM139" s="8" t="str">
        <f t="shared" si="292"/>
        <v>Lorenzo Balzarini, Sam Baranowski, Andy Booth, Jacob Hall, Myles Johnstone (1)</v>
      </c>
      <c r="AN139" s="8" t="str">
        <f t="shared" si="292"/>
        <v>Justin Baranowski (2), Billy Camuso, Matt Payne (2)</v>
      </c>
      <c r="AO139" s="8" t="str">
        <f t="shared" si="292"/>
        <v>Jacob Thorne</v>
      </c>
      <c r="AP139" s="8" t="str">
        <f t="shared" si="292"/>
        <v>Andy Booth, David Copple, Conor Mills, Mark Winter</v>
      </c>
      <c r="AQ139" s="8" t="str">
        <f t="shared" si="292"/>
        <v>Lorenzo Balzarini, Sam Baranowski, Mike Barratt (1), Richard Pearse, Matt Twose (1)</v>
      </c>
      <c r="AR139" s="8" t="str">
        <f t="shared" si="292"/>
        <v>Justin Baranowski (1), Myles Johnstone, Matt Payne (5)</v>
      </c>
      <c r="AS139" s="8" t="str">
        <f t="shared" si="292"/>
        <v>Eliot Pugh</v>
      </c>
      <c r="AT139" s="8" t="str">
        <f t="shared" si="292"/>
        <v>Andy Booth, David Copple, Mark Winter</v>
      </c>
      <c r="AU139" s="8" t="str">
        <f t="shared" si="292"/>
        <v>Lorenzo Balzarini, Mike Barratt (1), Lewis Blackshaw, Ben Iremonger, Richard Pearse (1), Matt Twose</v>
      </c>
      <c r="AV139" s="8" t="str">
        <f t="shared" si="292"/>
        <v>Justin Baranowski, Myles Johnstone, Matt Payne (1)</v>
      </c>
      <c r="AW139" s="8" t="str">
        <f t="shared" si="292"/>
        <v>Dave Slaughter</v>
      </c>
      <c r="AX139" s="8" t="str">
        <f t="shared" si="292"/>
        <v>David Copple, Sam Guest (1)</v>
      </c>
      <c r="AY139" s="8" t="str">
        <f t="shared" si="292"/>
        <v>Jordan Anning, Lorenzo Balzarini (2), Jacob Hall, Richard Pearse, Matt Twose</v>
      </c>
      <c r="AZ139" s="8" t="str">
        <f t="shared" si="292"/>
        <v>Myles Johnstone, Matt Payne (2), Ben Reed (3)</v>
      </c>
      <c r="BA139" s="8" t="str">
        <f t="shared" si="292"/>
        <v>Jacob Thorne</v>
      </c>
      <c r="BB139" s="8" t="str">
        <f t="shared" si="292"/>
        <v>Andy Booth, David Copple, Conor Mills, Mark Winter</v>
      </c>
      <c r="BC139" s="8" t="str">
        <f t="shared" si="292"/>
        <v>Jacob Hall, Ben Iremonger (4), Matt Twose</v>
      </c>
      <c r="BD139" s="8" t="str">
        <f t="shared" si="292"/>
        <v>Myles Johnstone (1), Richard Pearse (1), Dave Slaughter (1)</v>
      </c>
      <c r="BE139" s="8" t="str">
        <f t="shared" si="292"/>
        <v>Jacob Thorne</v>
      </c>
      <c r="BF139" s="8" t="str">
        <f t="shared" si="292"/>
        <v>Andy Booth, David Copple, Sam Guest, Mark Winter</v>
      </c>
      <c r="BG139" s="8" t="str">
        <f t="shared" si="292"/>
        <v>Lorenzo Balzarini (1), Mike Barratt (3), Jacob Hall, Ben Iremonger (1), Matt Twose</v>
      </c>
      <c r="BH139" s="8" t="str">
        <f t="shared" si="292"/>
        <v>Justin Baranowski (2), Myles Johnstone (1), Matt Payne</v>
      </c>
      <c r="BI139" s="8" t="str">
        <f t="shared" si="292"/>
        <v>Jacob Thorne</v>
      </c>
      <c r="BJ139" s="8" t="str">
        <f t="shared" si="292"/>
        <v>Andy Booth, David Copple, Dave Slaughter, Mark Winter</v>
      </c>
      <c r="BK139" s="8" t="str">
        <f t="shared" si="292"/>
        <v>Lorenzo Balzarini (1), Richard Pearse (3)</v>
      </c>
      <c r="BL139" s="8" t="str">
        <f t="shared" si="292"/>
        <v>Justin Baranowski, Billy Camuso (1), Myles Johnstone, Matt Payne (2)</v>
      </c>
      <c r="BM139" s="8" t="str">
        <f t="shared" ref="BM139:CF139" si="293">IF(BM98="",BM138,IF(BM138="",BM98,BM138&amp;", "&amp;BM98))</f>
        <v/>
      </c>
      <c r="BN139" s="8" t="str">
        <f t="shared" si="293"/>
        <v/>
      </c>
      <c r="BO139" s="8" t="str">
        <f t="shared" si="293"/>
        <v/>
      </c>
      <c r="BP139" s="8" t="str">
        <f t="shared" si="293"/>
        <v/>
      </c>
      <c r="BQ139" s="8" t="str">
        <f t="shared" si="293"/>
        <v>Jacob Thorne</v>
      </c>
      <c r="BR139" s="8" t="str">
        <f t="shared" si="293"/>
        <v>Andy Booth, David Copple, Conor Mills, Dave Slaughter, Mark Winter</v>
      </c>
      <c r="BS139" s="8" t="str">
        <f t="shared" si="293"/>
        <v>Lorenzo Balzarini, Sam Baranowski, Kieran Kershaw, Richard Pearse (1), Matt Twose</v>
      </c>
      <c r="BT139" s="8" t="str">
        <f t="shared" si="293"/>
        <v>Justin Baranowski, Billy Camuso (1), Sam Hallows</v>
      </c>
      <c r="BU139" s="8" t="str">
        <f t="shared" si="293"/>
        <v/>
      </c>
      <c r="BV139" s="8" t="str">
        <f t="shared" si="293"/>
        <v/>
      </c>
      <c r="BW139" s="8" t="str">
        <f t="shared" si="293"/>
        <v/>
      </c>
      <c r="BX139" s="8" t="str">
        <f t="shared" si="293"/>
        <v/>
      </c>
      <c r="BY139" s="8" t="str">
        <f t="shared" si="293"/>
        <v/>
      </c>
      <c r="BZ139" s="8" t="str">
        <f t="shared" si="293"/>
        <v/>
      </c>
      <c r="CA139" s="8" t="str">
        <f t="shared" si="293"/>
        <v/>
      </c>
      <c r="CB139" s="8" t="str">
        <f t="shared" si="293"/>
        <v/>
      </c>
      <c r="CC139" s="8" t="str">
        <f t="shared" si="293"/>
        <v>Jacob Thorne</v>
      </c>
      <c r="CD139" s="8" t="str">
        <f t="shared" si="293"/>
        <v>David Copple, Will Lucas, Conor Mills, Mark Winter</v>
      </c>
      <c r="CE139" s="8" t="str">
        <f t="shared" si="293"/>
        <v>Sam Baranowski, Mike Barratt, Myles Johnstone, Richard Pearse, Matt Twose (1)</v>
      </c>
      <c r="CF139" s="8" t="str">
        <f t="shared" si="293"/>
        <v>Justin Baranowski (2), Sam Hallows, Matt Payne (1)</v>
      </c>
      <c r="CG139" s="8" t="str">
        <f t="shared" ref="CG139:CJ139" si="294">IF(CG98="",CG138,IF(CG138="",CG98,CG138&amp;", "&amp;CG98))</f>
        <v>Jacob Thorne</v>
      </c>
      <c r="CH139" s="8" t="str">
        <f t="shared" si="294"/>
        <v>David Copple, Sam Guest, Will Lucas, Conor Mills, Mark Winter</v>
      </c>
      <c r="CI139" s="8" t="str">
        <f t="shared" si="294"/>
        <v>Lorenzo Balzarini, Sam Baranowski, Mike Barratt (1), David Hudson, Myles Johnstone (1), Richard Pearse, Matt Twose</v>
      </c>
      <c r="CJ139" s="8" t="str">
        <f t="shared" si="294"/>
        <v>Dave Berman (1), Billy Camuso, Sam Hallows, Luke Johnstone, Matt Payne</v>
      </c>
    </row>
    <row r="140" spans="5:88">
      <c r="G140" s="8">
        <f t="shared" si="188"/>
        <v>39</v>
      </c>
      <c r="I140" s="8" t="str">
        <f t="shared" ref="I140:BL140" si="295">IF(I99="",I139,IF(I139="",I99,I139&amp;", "&amp;I99))</f>
        <v>Jacob Thorne</v>
      </c>
      <c r="J140" s="8" t="str">
        <f t="shared" si="295"/>
        <v>Andy Booth, David Copple, Dave Slaughter, Mark Winter</v>
      </c>
      <c r="K140" s="8" t="str">
        <f t="shared" si="295"/>
        <v>Sam Baranowski, Dave Berman (2), Myles Johnstone (1), Richard Pearse</v>
      </c>
      <c r="L140" s="8" t="str">
        <f t="shared" si="295"/>
        <v>Justin Baranowski (2), Billy Camuso, Luke Johnstone (1)</v>
      </c>
      <c r="M140" s="8" t="str">
        <f t="shared" si="295"/>
        <v>Jacob Thorne</v>
      </c>
      <c r="N140" s="8" t="str">
        <f t="shared" si="295"/>
        <v>Andy Booth, David Copple, Mark Winter</v>
      </c>
      <c r="O140" s="8" t="str">
        <f t="shared" si="295"/>
        <v>Sam Baranowski, Mike Barratt (2), Dave Berman (1), Eddie Dale, Ben Iremonger (2), Myles Johnstone, Richard Pearse (2), Matt Twose (1)</v>
      </c>
      <c r="P140" s="8" t="str">
        <f t="shared" si="295"/>
        <v>Justin Baranowski (2), Billy Camuso, Matt Payne (5)</v>
      </c>
      <c r="Q140" s="30" t="str">
        <f t="shared" si="295"/>
        <v>Dave Slaughter</v>
      </c>
      <c r="R140" s="8" t="str">
        <f t="shared" si="295"/>
        <v>Andy Booth, David Copple, Mark Winter</v>
      </c>
      <c r="S140" s="8" t="str">
        <f t="shared" si="295"/>
        <v>Sam Baranowski, Eddie Dale, Will Duval (1), Eugene Fung, Ben Iremonger, Myles Johnstone, Matt Twose (1)</v>
      </c>
      <c r="T140" s="8" t="str">
        <f t="shared" si="295"/>
        <v>Justin Baranowski, Billy Camuso, Matt Payne (1)</v>
      </c>
      <c r="U140" s="8" t="str">
        <f t="shared" si="295"/>
        <v>Lygon Bowen-west</v>
      </c>
      <c r="V140" s="8" t="str">
        <f t="shared" si="295"/>
        <v>Andy Booth, David Copple, Charlie Merry, Mark Winter</v>
      </c>
      <c r="W140" s="8" t="str">
        <f t="shared" si="295"/>
        <v>Sam Baranowski, Eddie Dale, Ben Iremonger (1), Myles Johnstone (1), Matt Twose (2)</v>
      </c>
      <c r="X140" s="8" t="str">
        <f t="shared" si="295"/>
        <v>Justin Baranowski (1), Luke Johnstone (2), Matt Payne (3)</v>
      </c>
      <c r="Y140" s="8" t="str">
        <f t="shared" si="295"/>
        <v>Jacob Thorne</v>
      </c>
      <c r="Z140" s="8" t="str">
        <f t="shared" si="295"/>
        <v>Andy Booth, Conor Mills, Dave Slaughter, Mark Winter</v>
      </c>
      <c r="AA140" s="8" t="str">
        <f t="shared" si="295"/>
        <v>Lorenzo Balzarini (2), Eddie Dale, Jacob Hall (1), Ben Iremonger, Myles Johnstone (1), Matt Twose (1)</v>
      </c>
      <c r="AB140" s="8" t="str">
        <f t="shared" si="295"/>
        <v>Justin Baranowski (1), Billy Camuso, Richard Pearse</v>
      </c>
      <c r="AC140" s="8" t="str">
        <f t="shared" si="295"/>
        <v>Jacob Thorne</v>
      </c>
      <c r="AD140" s="8" t="str">
        <f t="shared" si="295"/>
        <v>David Copple, Dave Slaughter, Mark Winter</v>
      </c>
      <c r="AE140" s="8" t="str">
        <f t="shared" si="295"/>
        <v>Lorenzo Balzarini (1), Sam Baranowski, Eddie Dale, Myles Johnstone, Richard Pearse, Matt Twose</v>
      </c>
      <c r="AF140" s="8" t="str">
        <f t="shared" si="295"/>
        <v>Justin Baranowski (1), Billy Camuso, Matt Payne (1)</v>
      </c>
      <c r="AG140" s="8" t="str">
        <f t="shared" si="295"/>
        <v/>
      </c>
      <c r="AH140" s="8" t="str">
        <f t="shared" si="295"/>
        <v/>
      </c>
      <c r="AI140" s="8" t="str">
        <f t="shared" si="295"/>
        <v/>
      </c>
      <c r="AJ140" s="8" t="str">
        <f t="shared" si="295"/>
        <v/>
      </c>
      <c r="AK140" s="8" t="str">
        <f t="shared" si="295"/>
        <v>Jacob Thorne</v>
      </c>
      <c r="AL140" s="8" t="str">
        <f t="shared" si="295"/>
        <v>Will Lucas, Conor Mills, Dave Slaughter, Mark Winter</v>
      </c>
      <c r="AM140" s="8" t="str">
        <f t="shared" si="295"/>
        <v>Lorenzo Balzarini, Sam Baranowski, Andy Booth, Jacob Hall, Myles Johnstone (1)</v>
      </c>
      <c r="AN140" s="8" t="str">
        <f t="shared" si="295"/>
        <v>Justin Baranowski (2), Billy Camuso, Matt Payne (2)</v>
      </c>
      <c r="AO140" s="8" t="str">
        <f t="shared" si="295"/>
        <v>Jacob Thorne</v>
      </c>
      <c r="AP140" s="8" t="str">
        <f t="shared" si="295"/>
        <v>Andy Booth, David Copple, Conor Mills, Mark Winter</v>
      </c>
      <c r="AQ140" s="8" t="str">
        <f t="shared" si="295"/>
        <v>Lorenzo Balzarini, Sam Baranowski, Mike Barratt (1), Richard Pearse, Matt Twose (1)</v>
      </c>
      <c r="AR140" s="8" t="str">
        <f t="shared" si="295"/>
        <v>Justin Baranowski (1), Myles Johnstone, Matt Payne (5)</v>
      </c>
      <c r="AS140" s="8" t="str">
        <f t="shared" si="295"/>
        <v>Eliot Pugh</v>
      </c>
      <c r="AT140" s="8" t="str">
        <f t="shared" si="295"/>
        <v>Andy Booth, David Copple, Mark Winter</v>
      </c>
      <c r="AU140" s="8" t="str">
        <f t="shared" si="295"/>
        <v>Lorenzo Balzarini, Mike Barratt (1), Lewis Blackshaw, Ben Iremonger, Richard Pearse (1), Matt Twose</v>
      </c>
      <c r="AV140" s="8" t="str">
        <f t="shared" si="295"/>
        <v>Justin Baranowski, Myles Johnstone, Matt Payne (1)</v>
      </c>
      <c r="AW140" s="8" t="str">
        <f t="shared" si="295"/>
        <v>Dave Slaughter</v>
      </c>
      <c r="AX140" s="8" t="str">
        <f t="shared" si="295"/>
        <v>David Copple, Sam Guest (1)</v>
      </c>
      <c r="AY140" s="8" t="str">
        <f t="shared" si="295"/>
        <v>Jordan Anning, Lorenzo Balzarini (2), Jacob Hall, Richard Pearse, Matt Twose</v>
      </c>
      <c r="AZ140" s="8" t="str">
        <f t="shared" si="295"/>
        <v>Myles Johnstone, Matt Payne (2), Ben Reed (3)</v>
      </c>
      <c r="BA140" s="8" t="str">
        <f t="shared" si="295"/>
        <v>Jacob Thorne</v>
      </c>
      <c r="BB140" s="8" t="str">
        <f t="shared" si="295"/>
        <v>Andy Booth, David Copple, Conor Mills, Mark Winter</v>
      </c>
      <c r="BC140" s="8" t="str">
        <f t="shared" si="295"/>
        <v>Jacob Hall, Ben Iremonger (4), Matt Twose</v>
      </c>
      <c r="BD140" s="8" t="str">
        <f t="shared" si="295"/>
        <v>Myles Johnstone (1), Richard Pearse (1), Dave Slaughter (1)</v>
      </c>
      <c r="BE140" s="8" t="str">
        <f t="shared" si="295"/>
        <v>Jacob Thorne</v>
      </c>
      <c r="BF140" s="8" t="str">
        <f t="shared" si="295"/>
        <v>Andy Booth, David Copple, Sam Guest, Mark Winter</v>
      </c>
      <c r="BG140" s="8" t="str">
        <f t="shared" si="295"/>
        <v>Lorenzo Balzarini (1), Mike Barratt (3), Jacob Hall, Ben Iremonger (1), Matt Twose</v>
      </c>
      <c r="BH140" s="8" t="str">
        <f t="shared" si="295"/>
        <v>Justin Baranowski (2), Myles Johnstone (1), Matt Payne</v>
      </c>
      <c r="BI140" s="8" t="str">
        <f t="shared" si="295"/>
        <v>Jacob Thorne</v>
      </c>
      <c r="BJ140" s="8" t="str">
        <f t="shared" si="295"/>
        <v>Andy Booth, David Copple, Dave Slaughter, Mark Winter</v>
      </c>
      <c r="BK140" s="8" t="str">
        <f t="shared" si="295"/>
        <v>Lorenzo Balzarini (1), Richard Pearse (3)</v>
      </c>
      <c r="BL140" s="8" t="str">
        <f t="shared" si="295"/>
        <v>Justin Baranowski, Billy Camuso (1), Myles Johnstone, Matt Payne (2)</v>
      </c>
      <c r="BM140" s="8" t="str">
        <f t="shared" ref="BM140:CF140" si="296">IF(BM99="",BM139,IF(BM139="",BM99,BM139&amp;", "&amp;BM99))</f>
        <v/>
      </c>
      <c r="BN140" s="8" t="str">
        <f t="shared" si="296"/>
        <v/>
      </c>
      <c r="BO140" s="8" t="str">
        <f t="shared" si="296"/>
        <v/>
      </c>
      <c r="BP140" s="8" t="str">
        <f t="shared" si="296"/>
        <v/>
      </c>
      <c r="BQ140" s="8" t="str">
        <f t="shared" si="296"/>
        <v>Jacob Thorne</v>
      </c>
      <c r="BR140" s="8" t="str">
        <f t="shared" si="296"/>
        <v>Andy Booth, David Copple, Conor Mills, Dave Slaughter, Mark Winter</v>
      </c>
      <c r="BS140" s="8" t="str">
        <f t="shared" si="296"/>
        <v>Lorenzo Balzarini, Sam Baranowski, Kieran Kershaw, Richard Pearse (1), Matt Twose</v>
      </c>
      <c r="BT140" s="8" t="str">
        <f t="shared" si="296"/>
        <v>Justin Baranowski, Billy Camuso (1), Sam Hallows</v>
      </c>
      <c r="BU140" s="8" t="str">
        <f t="shared" si="296"/>
        <v/>
      </c>
      <c r="BV140" s="8" t="str">
        <f t="shared" si="296"/>
        <v/>
      </c>
      <c r="BW140" s="8" t="str">
        <f t="shared" si="296"/>
        <v/>
      </c>
      <c r="BX140" s="8" t="str">
        <f t="shared" si="296"/>
        <v/>
      </c>
      <c r="BY140" s="8" t="str">
        <f t="shared" si="296"/>
        <v/>
      </c>
      <c r="BZ140" s="8" t="str">
        <f t="shared" si="296"/>
        <v/>
      </c>
      <c r="CA140" s="8" t="str">
        <f t="shared" si="296"/>
        <v/>
      </c>
      <c r="CB140" s="8" t="str">
        <f t="shared" si="296"/>
        <v/>
      </c>
      <c r="CC140" s="8" t="str">
        <f t="shared" si="296"/>
        <v>Jacob Thorne</v>
      </c>
      <c r="CD140" s="8" t="str">
        <f t="shared" si="296"/>
        <v>David Copple, Will Lucas, Conor Mills, Mark Winter</v>
      </c>
      <c r="CE140" s="8" t="str">
        <f t="shared" si="296"/>
        <v>Sam Baranowski, Mike Barratt, Myles Johnstone, Richard Pearse, Matt Twose (1)</v>
      </c>
      <c r="CF140" s="8" t="str">
        <f t="shared" si="296"/>
        <v>Justin Baranowski (2), Sam Hallows, Matt Payne (1)</v>
      </c>
      <c r="CG140" s="8" t="str">
        <f t="shared" ref="CG140:CJ140" si="297">IF(CG99="",CG139,IF(CG139="",CG99,CG139&amp;", "&amp;CG99))</f>
        <v>Jacob Thorne</v>
      </c>
      <c r="CH140" s="8" t="str">
        <f t="shared" si="297"/>
        <v>David Copple, Sam Guest, Will Lucas, Conor Mills, Mark Winter</v>
      </c>
      <c r="CI140" s="8" t="str">
        <f t="shared" si="297"/>
        <v>Lorenzo Balzarini, Sam Baranowski, Mike Barratt (1), David Hudson, Myles Johnstone (1), Richard Pearse, Matt Twose</v>
      </c>
      <c r="CJ140" s="8" t="str">
        <f t="shared" si="297"/>
        <v>Dave Berman (1), Billy Camuso, Sam Hallows, Luke Johnstone, Matt Payne</v>
      </c>
    </row>
    <row r="141" spans="5:88">
      <c r="G141" s="8">
        <f t="shared" si="188"/>
        <v>40</v>
      </c>
      <c r="I141" s="8" t="str">
        <f t="shared" ref="I141:BL141" si="298">IF(I100="",I140,IF(I140="",I100,I140&amp;", "&amp;I100))</f>
        <v>Jacob Thorne</v>
      </c>
      <c r="J141" s="8" t="str">
        <f t="shared" si="298"/>
        <v>Andy Booth, David Copple, Dave Slaughter, Mark Winter</v>
      </c>
      <c r="K141" s="8" t="str">
        <f t="shared" si="298"/>
        <v>Sam Baranowski, Dave Berman (2), Myles Johnstone (1), Richard Pearse</v>
      </c>
      <c r="L141" s="8" t="str">
        <f t="shared" si="298"/>
        <v>Justin Baranowski (2), Billy Camuso, Luke Johnstone (1)</v>
      </c>
      <c r="M141" s="8" t="str">
        <f t="shared" si="298"/>
        <v>Jacob Thorne</v>
      </c>
      <c r="N141" s="8" t="str">
        <f t="shared" si="298"/>
        <v>Andy Booth, David Copple, Mark Winter</v>
      </c>
      <c r="O141" s="8" t="str">
        <f t="shared" si="298"/>
        <v>Sam Baranowski, Mike Barratt (2), Dave Berman (1), Eddie Dale, Ben Iremonger (2), Myles Johnstone, Richard Pearse (2), Matt Twose (1)</v>
      </c>
      <c r="P141" s="8" t="str">
        <f t="shared" si="298"/>
        <v>Justin Baranowski (2), Billy Camuso, Matt Payne (5)</v>
      </c>
      <c r="Q141" s="30" t="str">
        <f t="shared" si="298"/>
        <v>Dave Slaughter</v>
      </c>
      <c r="R141" s="8" t="str">
        <f t="shared" si="298"/>
        <v>Andy Booth, David Copple, Mark Winter</v>
      </c>
      <c r="S141" s="8" t="str">
        <f t="shared" si="298"/>
        <v>Sam Baranowski, Eddie Dale, Will Duval (1), Eugene Fung, Ben Iremonger, Myles Johnstone, Matt Twose (1)</v>
      </c>
      <c r="T141" s="8" t="str">
        <f t="shared" si="298"/>
        <v>Justin Baranowski, Billy Camuso, Matt Payne (1)</v>
      </c>
      <c r="U141" s="8" t="str">
        <f t="shared" si="298"/>
        <v>Lygon Bowen-west</v>
      </c>
      <c r="V141" s="8" t="str">
        <f t="shared" si="298"/>
        <v>Andy Booth, David Copple, Charlie Merry, Mark Winter</v>
      </c>
      <c r="W141" s="8" t="str">
        <f t="shared" si="298"/>
        <v>Sam Baranowski, Eddie Dale, Ben Iremonger (1), Myles Johnstone (1), Matt Twose (2)</v>
      </c>
      <c r="X141" s="8" t="str">
        <f t="shared" si="298"/>
        <v>Justin Baranowski (1), Luke Johnstone (2), Matt Payne (3)</v>
      </c>
      <c r="Y141" s="8" t="str">
        <f t="shared" si="298"/>
        <v>Jacob Thorne</v>
      </c>
      <c r="Z141" s="8" t="str">
        <f t="shared" si="298"/>
        <v>Andy Booth, Conor Mills, Dave Slaughter, Mark Winter</v>
      </c>
      <c r="AA141" s="8" t="str">
        <f t="shared" si="298"/>
        <v>Lorenzo Balzarini (2), Eddie Dale, Jacob Hall (1), Ben Iremonger, Myles Johnstone (1), Matt Twose (1)</v>
      </c>
      <c r="AB141" s="8" t="str">
        <f t="shared" si="298"/>
        <v>Justin Baranowski (1), Billy Camuso, Richard Pearse</v>
      </c>
      <c r="AC141" s="8" t="str">
        <f t="shared" si="298"/>
        <v>Jacob Thorne</v>
      </c>
      <c r="AD141" s="8" t="str">
        <f t="shared" si="298"/>
        <v>David Copple, Dave Slaughter, Mark Winter</v>
      </c>
      <c r="AE141" s="8" t="str">
        <f t="shared" si="298"/>
        <v>Lorenzo Balzarini (1), Sam Baranowski, Eddie Dale, Myles Johnstone, Richard Pearse, Matt Twose</v>
      </c>
      <c r="AF141" s="8" t="str">
        <f t="shared" si="298"/>
        <v>Justin Baranowski (1), Billy Camuso, Matt Payne (1)</v>
      </c>
      <c r="AG141" s="8" t="str">
        <f t="shared" si="298"/>
        <v/>
      </c>
      <c r="AH141" s="8" t="str">
        <f t="shared" si="298"/>
        <v/>
      </c>
      <c r="AI141" s="8" t="str">
        <f t="shared" si="298"/>
        <v/>
      </c>
      <c r="AJ141" s="8" t="str">
        <f t="shared" si="298"/>
        <v/>
      </c>
      <c r="AK141" s="8" t="str">
        <f t="shared" si="298"/>
        <v>Jacob Thorne</v>
      </c>
      <c r="AL141" s="8" t="str">
        <f t="shared" si="298"/>
        <v>Will Lucas, Conor Mills, Dave Slaughter, Mark Winter</v>
      </c>
      <c r="AM141" s="8" t="str">
        <f t="shared" si="298"/>
        <v>Lorenzo Balzarini, Sam Baranowski, Andy Booth, Jacob Hall, Myles Johnstone (1)</v>
      </c>
      <c r="AN141" s="8" t="str">
        <f t="shared" si="298"/>
        <v>Justin Baranowski (2), Billy Camuso, Matt Payne (2)</v>
      </c>
      <c r="AO141" s="8" t="str">
        <f t="shared" si="298"/>
        <v>Jacob Thorne</v>
      </c>
      <c r="AP141" s="8" t="str">
        <f t="shared" si="298"/>
        <v>Andy Booth, David Copple, Conor Mills, Mark Winter</v>
      </c>
      <c r="AQ141" s="8" t="str">
        <f t="shared" si="298"/>
        <v>Lorenzo Balzarini, Sam Baranowski, Mike Barratt (1), Richard Pearse, Matt Twose (1)</v>
      </c>
      <c r="AR141" s="8" t="str">
        <f t="shared" si="298"/>
        <v>Justin Baranowski (1), Myles Johnstone, Matt Payne (5)</v>
      </c>
      <c r="AS141" s="8" t="str">
        <f t="shared" si="298"/>
        <v>Eliot Pugh</v>
      </c>
      <c r="AT141" s="8" t="str">
        <f t="shared" si="298"/>
        <v>Andy Booth, David Copple, Mark Winter</v>
      </c>
      <c r="AU141" s="8" t="str">
        <f t="shared" si="298"/>
        <v>Lorenzo Balzarini, Mike Barratt (1), Lewis Blackshaw, Ben Iremonger, Richard Pearse (1), Matt Twose</v>
      </c>
      <c r="AV141" s="8" t="str">
        <f t="shared" si="298"/>
        <v>Justin Baranowski, Myles Johnstone, Matt Payne (1)</v>
      </c>
      <c r="AW141" s="8" t="str">
        <f t="shared" si="298"/>
        <v>Dave Slaughter</v>
      </c>
      <c r="AX141" s="8" t="str">
        <f t="shared" si="298"/>
        <v>David Copple, Sam Guest (1)</v>
      </c>
      <c r="AY141" s="8" t="str">
        <f t="shared" si="298"/>
        <v>Jordan Anning, Lorenzo Balzarini (2), Jacob Hall, Richard Pearse, Matt Twose</v>
      </c>
      <c r="AZ141" s="8" t="str">
        <f t="shared" si="298"/>
        <v>Myles Johnstone, Matt Payne (2), Ben Reed (3)</v>
      </c>
      <c r="BA141" s="8" t="str">
        <f t="shared" si="298"/>
        <v>Jacob Thorne</v>
      </c>
      <c r="BB141" s="8" t="str">
        <f t="shared" si="298"/>
        <v>Andy Booth, David Copple, Conor Mills, Mark Winter</v>
      </c>
      <c r="BC141" s="8" t="str">
        <f t="shared" si="298"/>
        <v>Jacob Hall, Ben Iremonger (4), Matt Twose</v>
      </c>
      <c r="BD141" s="8" t="str">
        <f t="shared" si="298"/>
        <v>Myles Johnstone (1), Richard Pearse (1), Dave Slaughter (1)</v>
      </c>
      <c r="BE141" s="8" t="str">
        <f t="shared" si="298"/>
        <v>Jacob Thorne</v>
      </c>
      <c r="BF141" s="8" t="str">
        <f t="shared" si="298"/>
        <v>Andy Booth, David Copple, Sam Guest, Mark Winter</v>
      </c>
      <c r="BG141" s="8" t="str">
        <f t="shared" si="298"/>
        <v>Lorenzo Balzarini (1), Mike Barratt (3), Jacob Hall, Ben Iremonger (1), Matt Twose</v>
      </c>
      <c r="BH141" s="8" t="str">
        <f t="shared" si="298"/>
        <v>Justin Baranowski (2), Myles Johnstone (1), Matt Payne</v>
      </c>
      <c r="BI141" s="8" t="str">
        <f t="shared" si="298"/>
        <v>Jacob Thorne</v>
      </c>
      <c r="BJ141" s="8" t="str">
        <f t="shared" si="298"/>
        <v>Andy Booth, David Copple, Dave Slaughter, Mark Winter</v>
      </c>
      <c r="BK141" s="8" t="str">
        <f t="shared" si="298"/>
        <v>Lorenzo Balzarini (1), Richard Pearse (3)</v>
      </c>
      <c r="BL141" s="8" t="str">
        <f t="shared" si="298"/>
        <v>Justin Baranowski, Billy Camuso (1), Myles Johnstone, Matt Payne (2)</v>
      </c>
      <c r="BM141" s="8" t="str">
        <f t="shared" ref="BM141:CF141" si="299">IF(BM100="",BM140,IF(BM140="",BM100,BM140&amp;", "&amp;BM100))</f>
        <v/>
      </c>
      <c r="BN141" s="8" t="str">
        <f t="shared" si="299"/>
        <v/>
      </c>
      <c r="BO141" s="8" t="str">
        <f t="shared" si="299"/>
        <v/>
      </c>
      <c r="BP141" s="8" t="str">
        <f t="shared" si="299"/>
        <v/>
      </c>
      <c r="BQ141" s="8" t="str">
        <f t="shared" si="299"/>
        <v>Jacob Thorne</v>
      </c>
      <c r="BR141" s="8" t="str">
        <f t="shared" si="299"/>
        <v>Andy Booth, David Copple, Conor Mills, Dave Slaughter, Mark Winter</v>
      </c>
      <c r="BS141" s="8" t="str">
        <f t="shared" si="299"/>
        <v>Lorenzo Balzarini, Sam Baranowski, Kieran Kershaw, Richard Pearse (1), Matt Twose</v>
      </c>
      <c r="BT141" s="8" t="str">
        <f t="shared" si="299"/>
        <v>Justin Baranowski, Billy Camuso (1), Sam Hallows</v>
      </c>
      <c r="BU141" s="8" t="str">
        <f t="shared" si="299"/>
        <v/>
      </c>
      <c r="BV141" s="8" t="str">
        <f t="shared" si="299"/>
        <v/>
      </c>
      <c r="BW141" s="8" t="str">
        <f t="shared" si="299"/>
        <v/>
      </c>
      <c r="BX141" s="8" t="str">
        <f t="shared" si="299"/>
        <v/>
      </c>
      <c r="BY141" s="8" t="str">
        <f t="shared" si="299"/>
        <v/>
      </c>
      <c r="BZ141" s="8" t="str">
        <f t="shared" si="299"/>
        <v/>
      </c>
      <c r="CA141" s="8" t="str">
        <f t="shared" si="299"/>
        <v/>
      </c>
      <c r="CB141" s="8" t="str">
        <f t="shared" si="299"/>
        <v/>
      </c>
      <c r="CC141" s="8" t="str">
        <f t="shared" si="299"/>
        <v>Jacob Thorne</v>
      </c>
      <c r="CD141" s="8" t="str">
        <f t="shared" si="299"/>
        <v>David Copple, Will Lucas, Conor Mills, Mark Winter</v>
      </c>
      <c r="CE141" s="8" t="str">
        <f t="shared" si="299"/>
        <v>Sam Baranowski, Mike Barratt, Myles Johnstone, Richard Pearse, Matt Twose (1)</v>
      </c>
      <c r="CF141" s="8" t="str">
        <f t="shared" si="299"/>
        <v>Justin Baranowski (2), Sam Hallows, Matt Payne (1)</v>
      </c>
      <c r="CG141" s="8" t="str">
        <f t="shared" ref="CG141:CJ141" si="300">IF(CG100="",CG140,IF(CG140="",CG100,CG140&amp;", "&amp;CG100))</f>
        <v>Jacob Thorne</v>
      </c>
      <c r="CH141" s="8" t="str">
        <f t="shared" si="300"/>
        <v>David Copple, Sam Guest, Will Lucas, Conor Mills, Mark Winter</v>
      </c>
      <c r="CI141" s="8" t="str">
        <f t="shared" si="300"/>
        <v>Lorenzo Balzarini, Sam Baranowski, Mike Barratt (1), David Hudson, Myles Johnstone (1), Richard Pearse, Matt Twose</v>
      </c>
      <c r="CJ141" s="8" t="str">
        <f t="shared" si="300"/>
        <v>Dave Berman (1), Billy Camuso, Sam Hallows, Luke Johnstone, Matt Payne</v>
      </c>
    </row>
    <row r="142" spans="5:88">
      <c r="H142" s="8" t="s">
        <v>37</v>
      </c>
    </row>
    <row r="143" spans="5:88" s="36" customFormat="1">
      <c r="E143" s="36" t="s">
        <v>40</v>
      </c>
      <c r="G143" s="8">
        <v>1</v>
      </c>
      <c r="I143" s="36" t="str">
        <f>IF(L10&gt;0,$D10,"")</f>
        <v/>
      </c>
      <c r="J143" s="36" t="str">
        <f>IF(I143="",IF(ISBLANK(I56),"",I56),IF(I56="",I143,I56&amp;", "&amp;I143))</f>
        <v>John Hubbard, Greg Irwin</v>
      </c>
      <c r="M143" s="36" t="str">
        <f t="shared" ref="M143:M182" si="301">IF(P10&gt;0,$D10,"")</f>
        <v/>
      </c>
      <c r="N143" s="36" t="str">
        <f t="shared" ref="N143" si="302">IF(M143="",IF(ISBLANK(M56),"",M56),IF(M56="",M143,M56&amp;", "&amp;M143))</f>
        <v/>
      </c>
      <c r="Q143" s="44" t="str">
        <f t="shared" ref="Q143:Q182" si="303">IF(T10&gt;0,$D10,"")</f>
        <v/>
      </c>
      <c r="R143" s="36" t="str">
        <f t="shared" ref="R143" si="304">IF(Q143="",IF(ISBLANK(Q56),"",Q56),IF(Q56="",Q143,Q56&amp;", "&amp;Q143))</f>
        <v>Peter Compton</v>
      </c>
      <c r="U143" s="36" t="str">
        <f t="shared" ref="U143:U182" si="305">IF(X10&gt;0,$D10,"")</f>
        <v/>
      </c>
      <c r="V143" s="36" t="str">
        <f t="shared" ref="V143" si="306">IF(U143="",IF(ISBLANK(U56),"",U56),IF(U56="",U143,U56&amp;", "&amp;U143))</f>
        <v/>
      </c>
      <c r="Y143" s="36" t="str">
        <f t="shared" ref="Y143:Y182" si="307">IF(AB10&gt;0,$D10,"")</f>
        <v/>
      </c>
      <c r="Z143" s="36" t="str">
        <f t="shared" ref="Z143" si="308">IF(Y143="",IF(ISBLANK(Y56),"",Y56),IF(Y56="",Y143,Y56&amp;", "&amp;Y143))</f>
        <v>Joe Burnett+1</v>
      </c>
      <c r="AC143" s="36" t="str">
        <f t="shared" ref="AC143:AC182" si="309">IF(AF10&gt;0,$D10,"")</f>
        <v/>
      </c>
      <c r="AD143" s="36" t="str">
        <f t="shared" ref="AD143" si="310">IF(AC143="",IF(ISBLANK(AC56),"",AC56),IF(AC56="",AC143,AC56&amp;", "&amp;AC143))</f>
        <v>Hazel Wisby  +1</v>
      </c>
      <c r="AG143" s="36" t="str">
        <f t="shared" ref="AG143:AG182" si="311">IF(AJ10&gt;0,$D10,"")</f>
        <v/>
      </c>
      <c r="AH143" s="36" t="str">
        <f t="shared" ref="AH143" si="312">IF(AG143="",IF(ISBLANK(AG56),"",AG56),IF(AG56="",AG143,AG56&amp;", "&amp;AG143))</f>
        <v/>
      </c>
      <c r="AK143" s="36" t="str">
        <f t="shared" ref="AK143:AK182" si="313">IF(AN10&gt;0,$D10,"")</f>
        <v/>
      </c>
      <c r="AL143" s="36" t="str">
        <f t="shared" ref="AL143" si="314">IF(AK143="",IF(ISBLANK(AK56),"",AK56),IF(AK56="",AK143,AK56&amp;", "&amp;AK143))</f>
        <v>Simon Peach</v>
      </c>
      <c r="AO143" s="36" t="str">
        <f t="shared" ref="AO143:AO182" si="315">IF(AR10&gt;0,$D10,"")</f>
        <v/>
      </c>
      <c r="AP143" s="36" t="str">
        <f t="shared" ref="AP143" si="316">IF(AO143="",IF(ISBLANK(AO56),"",AO56),IF(AO56="",AO143,AO56&amp;", "&amp;AO143))</f>
        <v/>
      </c>
      <c r="AS143" s="36" t="str">
        <f t="shared" ref="AS143:AS182" si="317">IF(AV10&gt;0,$D10,"")</f>
        <v/>
      </c>
      <c r="AT143" s="36" t="str">
        <f t="shared" ref="AT143" si="318">IF(AS143="",IF(ISBLANK(AS56),"",AS56),IF(AS56="",AS143,AS56&amp;", "&amp;AS143))</f>
        <v/>
      </c>
      <c r="AW143" s="36" t="str">
        <f t="shared" ref="AW143:AW182" si="319">IF(AZ10&gt;0,$D10,"")</f>
        <v/>
      </c>
      <c r="AX143" s="36" t="str">
        <f t="shared" ref="AX143" si="320">IF(AW143="",IF(ISBLANK(AW56),"",AW56),IF(AW56="",AW143,AW56&amp;", "&amp;AW143))</f>
        <v/>
      </c>
      <c r="BA143" s="36" t="str">
        <f t="shared" ref="BA143:BA182" si="321">IF(BD10&gt;0,$D10,"")</f>
        <v/>
      </c>
      <c r="BB143" s="36" t="str">
        <f t="shared" ref="BB143" si="322">IF(BA143="",IF(ISBLANK(BA56),"",BA56),IF(BA56="",BA143,BA56&amp;", "&amp;BA143))</f>
        <v>Brian Kilby (Welwyn)</v>
      </c>
      <c r="BE143" s="36" t="str">
        <f t="shared" ref="BE143:BE182" si="323">IF(BH10&gt;0,$D10,"")</f>
        <v/>
      </c>
      <c r="BF143" s="36" t="str">
        <f t="shared" ref="BF143" si="324">IF(BE143="",IF(ISBLANK(BE56),"",BE56),IF(BE56="",BE143,BE56&amp;", "&amp;BE143))</f>
        <v/>
      </c>
      <c r="BI143" s="36" t="str">
        <f t="shared" ref="BI143:BI182" si="325">IF(BL10&gt;0,$D10,"")</f>
        <v/>
      </c>
      <c r="BJ143" s="36" t="str">
        <f t="shared" ref="BJ143" si="326">IF(BI143="",IF(ISBLANK(BI56),"",BI56),IF(BI56="",BI143,BI56&amp;", "&amp;BI143))</f>
        <v>Debbie Field</v>
      </c>
      <c r="BM143" s="36" t="str">
        <f t="shared" ref="BM143:BM182" si="327">IF(BP10&gt;0,$D10,"")</f>
        <v/>
      </c>
      <c r="BN143" s="36" t="str">
        <f t="shared" ref="BN143" si="328">IF(BM143="",IF(ISBLANK(BM56),"",BM56),IF(BM56="",BM143,BM56&amp;", "&amp;BM143))</f>
        <v/>
      </c>
      <c r="BQ143" s="36" t="str">
        <f t="shared" ref="BQ143:BQ182" si="329">IF(BT10&gt;0,$D10,"")</f>
        <v/>
      </c>
      <c r="BR143" s="36" t="str">
        <f t="shared" ref="BR143" si="330">IF(BQ143="",IF(ISBLANK(BQ56),"",BQ56),IF(BQ56="",BQ143,BQ56&amp;", "&amp;BQ143))</f>
        <v>Ben Jessup</v>
      </c>
      <c r="BU143" s="36" t="str">
        <f t="shared" ref="BU143:BU182" si="331">IF(BX10&gt;0,$D10,"")</f>
        <v/>
      </c>
      <c r="BV143" s="36" t="str">
        <f t="shared" ref="BV143" si="332">IF(BU143="",IF(ISBLANK(BU56),"",BU56),IF(BU56="",BU143,BU56&amp;", "&amp;BU143))</f>
        <v/>
      </c>
      <c r="BY143" s="36" t="str">
        <f t="shared" ref="BY143:BY182" si="333">IF(CB10&gt;0,$D10,"")</f>
        <v/>
      </c>
      <c r="BZ143" s="36" t="str">
        <f t="shared" ref="BZ143" si="334">IF(BY143="",IF(ISBLANK(BY56),"",BY56),IF(BY56="",BY143,BY56&amp;", "&amp;BY143))</f>
        <v/>
      </c>
      <c r="CC143" s="36" t="str">
        <f t="shared" ref="CC143:CC182" si="335">IF(CF10&gt;0,$D10,"")</f>
        <v/>
      </c>
      <c r="CD143" s="36" t="str">
        <f t="shared" ref="CD143" si="336">IF(CC143="",IF(ISBLANK(CC56),"",CC56),IF(CC56="",CC143,CC56&amp;", "&amp;CC143))</f>
        <v/>
      </c>
      <c r="CG143" s="36" t="str">
        <f t="shared" ref="CG143:CG182" si="337">IF(CJ10&gt;0,$D10,"")</f>
        <v/>
      </c>
      <c r="CH143" s="36" t="str">
        <f t="shared" ref="CH143" si="338">IF(CG143="",IF(ISBLANK(CG56),"",CG56),IF(CG56="",CG143,CG56&amp;", "&amp;CG143))</f>
        <v/>
      </c>
    </row>
    <row r="144" spans="5:88" s="36" customFormat="1">
      <c r="G144" s="8">
        <f>G143+1</f>
        <v>2</v>
      </c>
      <c r="I144" s="36" t="str">
        <f t="shared" ref="I144:I182" si="339">IF(L11&gt;0,$D11,"")</f>
        <v/>
      </c>
      <c r="J144" s="36" t="str">
        <f>IF(I144="",J143,IF(J143="",I144,J143&amp;", "&amp;I144))</f>
        <v>John Hubbard, Greg Irwin</v>
      </c>
      <c r="M144" s="36" t="str">
        <f t="shared" si="301"/>
        <v/>
      </c>
      <c r="N144" s="36" t="str">
        <f t="shared" ref="N144:N182" si="340">IF(M144="",N143,IF(N143="",M144,N143&amp;", "&amp;M144))</f>
        <v/>
      </c>
      <c r="Q144" s="44" t="str">
        <f t="shared" si="303"/>
        <v/>
      </c>
      <c r="R144" s="36" t="str">
        <f t="shared" ref="R144:R182" si="341">IF(Q144="",R143,IF(R143="",Q144,R143&amp;", "&amp;Q144))</f>
        <v>Peter Compton</v>
      </c>
      <c r="U144" s="36" t="str">
        <f t="shared" si="305"/>
        <v/>
      </c>
      <c r="V144" s="36" t="str">
        <f t="shared" ref="V144:V182" si="342">IF(U144="",V143,IF(V143="",U144,V143&amp;", "&amp;U144))</f>
        <v/>
      </c>
      <c r="Y144" s="36" t="str">
        <f t="shared" si="307"/>
        <v/>
      </c>
      <c r="Z144" s="36" t="str">
        <f t="shared" ref="Z144:Z182" si="343">IF(Y144="",Z143,IF(Z143="",Y144,Z143&amp;", "&amp;Y144))</f>
        <v>Joe Burnett+1</v>
      </c>
      <c r="AC144" s="36" t="str">
        <f t="shared" si="309"/>
        <v/>
      </c>
      <c r="AD144" s="36" t="str">
        <f t="shared" ref="AD144:AD182" si="344">IF(AC144="",AD143,IF(AD143="",AC144,AD143&amp;", "&amp;AC144))</f>
        <v>Hazel Wisby  +1</v>
      </c>
      <c r="AG144" s="36" t="str">
        <f t="shared" si="311"/>
        <v/>
      </c>
      <c r="AH144" s="36" t="str">
        <f t="shared" ref="AH144:AH182" si="345">IF(AG144="",AH143,IF(AH143="",AG144,AH143&amp;", "&amp;AG144))</f>
        <v/>
      </c>
      <c r="AK144" s="36" t="str">
        <f t="shared" si="313"/>
        <v/>
      </c>
      <c r="AL144" s="36" t="str">
        <f t="shared" ref="AL144:AL182" si="346">IF(AK144="",AL143,IF(AL143="",AK144,AL143&amp;", "&amp;AK144))</f>
        <v>Simon Peach</v>
      </c>
      <c r="AO144" s="36" t="str">
        <f t="shared" si="315"/>
        <v/>
      </c>
      <c r="AP144" s="36" t="str">
        <f t="shared" ref="AP144:AP182" si="347">IF(AO144="",AP143,IF(AP143="",AO144,AP143&amp;", "&amp;AO144))</f>
        <v/>
      </c>
      <c r="AS144" s="36" t="str">
        <f t="shared" si="317"/>
        <v/>
      </c>
      <c r="AT144" s="36" t="str">
        <f t="shared" ref="AT144:AT182" si="348">IF(AS144="",AT143,IF(AT143="",AS144,AT143&amp;", "&amp;AS144))</f>
        <v/>
      </c>
      <c r="AW144" s="36" t="str">
        <f t="shared" si="319"/>
        <v/>
      </c>
      <c r="AX144" s="36" t="str">
        <f t="shared" ref="AX144:AX182" si="349">IF(AW144="",AX143,IF(AX143="",AW144,AX143&amp;", "&amp;AW144))</f>
        <v/>
      </c>
      <c r="BA144" s="36" t="str">
        <f t="shared" si="321"/>
        <v/>
      </c>
      <c r="BB144" s="36" t="str">
        <f t="shared" ref="BB144:BB182" si="350">IF(BA144="",BB143,IF(BB143="",BA144,BB143&amp;", "&amp;BA144))</f>
        <v>Brian Kilby (Welwyn)</v>
      </c>
      <c r="BE144" s="36" t="str">
        <f t="shared" si="323"/>
        <v/>
      </c>
      <c r="BF144" s="36" t="str">
        <f t="shared" ref="BF144:BF182" si="351">IF(BE144="",BF143,IF(BF143="",BE144,BF143&amp;", "&amp;BE144))</f>
        <v/>
      </c>
      <c r="BI144" s="36" t="str">
        <f t="shared" si="325"/>
        <v/>
      </c>
      <c r="BJ144" s="36" t="str">
        <f t="shared" ref="BJ144:BJ182" si="352">IF(BI144="",BJ143,IF(BJ143="",BI144,BJ143&amp;", "&amp;BI144))</f>
        <v>Debbie Field</v>
      </c>
      <c r="BM144" s="36" t="str">
        <f t="shared" si="327"/>
        <v/>
      </c>
      <c r="BN144" s="36" t="str">
        <f t="shared" ref="BN144:BN182" si="353">IF(BM144="",BN143,IF(BN143="",BM144,BN143&amp;", "&amp;BM144))</f>
        <v/>
      </c>
      <c r="BQ144" s="36" t="str">
        <f t="shared" si="329"/>
        <v/>
      </c>
      <c r="BR144" s="36" t="str">
        <f t="shared" ref="BR144:BR182" si="354">IF(BQ144="",BR143,IF(BR143="",BQ144,BR143&amp;", "&amp;BQ144))</f>
        <v>Ben Jessup</v>
      </c>
      <c r="BU144" s="36" t="str">
        <f t="shared" si="331"/>
        <v/>
      </c>
      <c r="BV144" s="36" t="str">
        <f t="shared" ref="BV144:BV182" si="355">IF(BU144="",BV143,IF(BV143="",BU144,BV143&amp;", "&amp;BU144))</f>
        <v/>
      </c>
      <c r="BY144" s="36" t="str">
        <f t="shared" si="333"/>
        <v/>
      </c>
      <c r="BZ144" s="36" t="str">
        <f t="shared" ref="BZ144:BZ182" si="356">IF(BY144="",BZ143,IF(BZ143="",BY144,BZ143&amp;", "&amp;BY144))</f>
        <v/>
      </c>
      <c r="CC144" s="36" t="str">
        <f t="shared" si="335"/>
        <v/>
      </c>
      <c r="CD144" s="36" t="str">
        <f t="shared" ref="CD144:CD182" si="357">IF(CC144="",CD143,IF(CD143="",CC144,CD143&amp;", "&amp;CC144))</f>
        <v/>
      </c>
      <c r="CG144" s="36" t="str">
        <f t="shared" si="337"/>
        <v/>
      </c>
      <c r="CH144" s="36" t="str">
        <f t="shared" ref="CH144:CH182" si="358">IF(CG144="",CH143,IF(CH143="",CG144,CH143&amp;", "&amp;CG144))</f>
        <v/>
      </c>
    </row>
    <row r="145" spans="7:86" s="36" customFormat="1">
      <c r="G145" s="8">
        <f t="shared" ref="G145:G182" si="359">G144+1</f>
        <v>3</v>
      </c>
      <c r="I145" s="36" t="str">
        <f t="shared" si="339"/>
        <v/>
      </c>
      <c r="J145" s="36" t="str">
        <f t="shared" ref="J145:J182" si="360">IF(I145="",J144,IF(J144="",I145,J144&amp;", "&amp;I145))</f>
        <v>John Hubbard, Greg Irwin</v>
      </c>
      <c r="M145" s="36" t="str">
        <f t="shared" si="301"/>
        <v/>
      </c>
      <c r="N145" s="36" t="str">
        <f t="shared" si="340"/>
        <v/>
      </c>
      <c r="Q145" s="44" t="str">
        <f t="shared" si="303"/>
        <v/>
      </c>
      <c r="R145" s="36" t="str">
        <f t="shared" si="341"/>
        <v>Peter Compton</v>
      </c>
      <c r="U145" s="36" t="str">
        <f t="shared" si="305"/>
        <v/>
      </c>
      <c r="V145" s="36" t="str">
        <f t="shared" si="342"/>
        <v/>
      </c>
      <c r="Y145" s="36" t="str">
        <f t="shared" si="307"/>
        <v/>
      </c>
      <c r="Z145" s="36" t="str">
        <f t="shared" si="343"/>
        <v>Joe Burnett+1</v>
      </c>
      <c r="AC145" s="36" t="str">
        <f t="shared" si="309"/>
        <v/>
      </c>
      <c r="AD145" s="36" t="str">
        <f t="shared" si="344"/>
        <v>Hazel Wisby  +1</v>
      </c>
      <c r="AG145" s="36" t="str">
        <f t="shared" si="311"/>
        <v/>
      </c>
      <c r="AH145" s="36" t="str">
        <f t="shared" si="345"/>
        <v/>
      </c>
      <c r="AK145" s="36" t="str">
        <f t="shared" si="313"/>
        <v/>
      </c>
      <c r="AL145" s="36" t="str">
        <f t="shared" si="346"/>
        <v>Simon Peach</v>
      </c>
      <c r="AO145" s="36" t="str">
        <f t="shared" si="315"/>
        <v/>
      </c>
      <c r="AP145" s="36" t="str">
        <f t="shared" si="347"/>
        <v/>
      </c>
      <c r="AS145" s="36" t="str">
        <f t="shared" si="317"/>
        <v/>
      </c>
      <c r="AT145" s="36" t="str">
        <f t="shared" si="348"/>
        <v/>
      </c>
      <c r="AW145" s="36" t="str">
        <f t="shared" si="319"/>
        <v/>
      </c>
      <c r="AX145" s="36" t="str">
        <f t="shared" si="349"/>
        <v/>
      </c>
      <c r="BA145" s="36" t="str">
        <f t="shared" si="321"/>
        <v/>
      </c>
      <c r="BB145" s="36" t="str">
        <f t="shared" si="350"/>
        <v>Brian Kilby (Welwyn)</v>
      </c>
      <c r="BE145" s="36" t="str">
        <f t="shared" si="323"/>
        <v/>
      </c>
      <c r="BF145" s="36" t="str">
        <f t="shared" si="351"/>
        <v/>
      </c>
      <c r="BI145" s="36" t="str">
        <f t="shared" si="325"/>
        <v/>
      </c>
      <c r="BJ145" s="36" t="str">
        <f t="shared" si="352"/>
        <v>Debbie Field</v>
      </c>
      <c r="BM145" s="36" t="str">
        <f t="shared" si="327"/>
        <v/>
      </c>
      <c r="BN145" s="36" t="str">
        <f t="shared" si="353"/>
        <v/>
      </c>
      <c r="BQ145" s="36" t="str">
        <f t="shared" si="329"/>
        <v/>
      </c>
      <c r="BR145" s="36" t="str">
        <f t="shared" si="354"/>
        <v>Ben Jessup</v>
      </c>
      <c r="BU145" s="36" t="str">
        <f t="shared" si="331"/>
        <v/>
      </c>
      <c r="BV145" s="36" t="str">
        <f t="shared" si="355"/>
        <v/>
      </c>
      <c r="BY145" s="36" t="str">
        <f t="shared" si="333"/>
        <v/>
      </c>
      <c r="BZ145" s="36" t="str">
        <f t="shared" si="356"/>
        <v/>
      </c>
      <c r="CC145" s="36" t="str">
        <f t="shared" si="335"/>
        <v/>
      </c>
      <c r="CD145" s="36" t="str">
        <f t="shared" si="357"/>
        <v/>
      </c>
      <c r="CG145" s="36" t="str">
        <f t="shared" si="337"/>
        <v/>
      </c>
      <c r="CH145" s="36" t="str">
        <f t="shared" si="358"/>
        <v/>
      </c>
    </row>
    <row r="146" spans="7:86" s="36" customFormat="1">
      <c r="G146" s="8">
        <f t="shared" si="359"/>
        <v>4</v>
      </c>
      <c r="I146" s="36" t="str">
        <f t="shared" si="339"/>
        <v/>
      </c>
      <c r="J146" s="36" t="str">
        <f t="shared" si="360"/>
        <v>John Hubbard, Greg Irwin</v>
      </c>
      <c r="M146" s="36" t="str">
        <f t="shared" si="301"/>
        <v/>
      </c>
      <c r="N146" s="36" t="str">
        <f t="shared" si="340"/>
        <v/>
      </c>
      <c r="Q146" s="44" t="str">
        <f t="shared" si="303"/>
        <v/>
      </c>
      <c r="R146" s="36" t="str">
        <f t="shared" si="341"/>
        <v>Peter Compton</v>
      </c>
      <c r="U146" s="36" t="str">
        <f t="shared" si="305"/>
        <v/>
      </c>
      <c r="V146" s="36" t="str">
        <f t="shared" si="342"/>
        <v/>
      </c>
      <c r="Y146" s="36" t="str">
        <f t="shared" si="307"/>
        <v/>
      </c>
      <c r="Z146" s="36" t="str">
        <f t="shared" si="343"/>
        <v>Joe Burnett+1</v>
      </c>
      <c r="AC146" s="36" t="str">
        <f t="shared" si="309"/>
        <v/>
      </c>
      <c r="AD146" s="36" t="str">
        <f t="shared" si="344"/>
        <v>Hazel Wisby  +1</v>
      </c>
      <c r="AG146" s="36" t="str">
        <f t="shared" si="311"/>
        <v/>
      </c>
      <c r="AH146" s="36" t="str">
        <f t="shared" si="345"/>
        <v/>
      </c>
      <c r="AK146" s="36" t="str">
        <f t="shared" si="313"/>
        <v/>
      </c>
      <c r="AL146" s="36" t="str">
        <f t="shared" si="346"/>
        <v>Simon Peach</v>
      </c>
      <c r="AO146" s="36" t="str">
        <f t="shared" si="315"/>
        <v/>
      </c>
      <c r="AP146" s="36" t="str">
        <f t="shared" si="347"/>
        <v/>
      </c>
      <c r="AS146" s="36" t="str">
        <f t="shared" si="317"/>
        <v/>
      </c>
      <c r="AT146" s="36" t="str">
        <f t="shared" si="348"/>
        <v/>
      </c>
      <c r="AW146" s="36" t="str">
        <f t="shared" si="319"/>
        <v/>
      </c>
      <c r="AX146" s="36" t="str">
        <f t="shared" si="349"/>
        <v/>
      </c>
      <c r="BA146" s="36" t="str">
        <f t="shared" si="321"/>
        <v/>
      </c>
      <c r="BB146" s="36" t="str">
        <f t="shared" si="350"/>
        <v>Brian Kilby (Welwyn)</v>
      </c>
      <c r="BE146" s="36" t="str">
        <f t="shared" si="323"/>
        <v/>
      </c>
      <c r="BF146" s="36" t="str">
        <f t="shared" si="351"/>
        <v/>
      </c>
      <c r="BI146" s="36" t="str">
        <f t="shared" si="325"/>
        <v/>
      </c>
      <c r="BJ146" s="36" t="str">
        <f t="shared" si="352"/>
        <v>Debbie Field</v>
      </c>
      <c r="BM146" s="36" t="str">
        <f t="shared" si="327"/>
        <v/>
      </c>
      <c r="BN146" s="36" t="str">
        <f t="shared" si="353"/>
        <v/>
      </c>
      <c r="BQ146" s="36" t="str">
        <f t="shared" si="329"/>
        <v/>
      </c>
      <c r="BR146" s="36" t="str">
        <f t="shared" si="354"/>
        <v>Ben Jessup</v>
      </c>
      <c r="BU146" s="36" t="str">
        <f t="shared" si="331"/>
        <v/>
      </c>
      <c r="BV146" s="36" t="str">
        <f t="shared" si="355"/>
        <v/>
      </c>
      <c r="BY146" s="36" t="str">
        <f t="shared" si="333"/>
        <v/>
      </c>
      <c r="BZ146" s="36" t="str">
        <f t="shared" si="356"/>
        <v/>
      </c>
      <c r="CC146" s="36" t="str">
        <f t="shared" si="335"/>
        <v/>
      </c>
      <c r="CD146" s="36" t="str">
        <f t="shared" si="357"/>
        <v/>
      </c>
      <c r="CG146" s="36" t="str">
        <f t="shared" si="337"/>
        <v/>
      </c>
      <c r="CH146" s="36" t="str">
        <f t="shared" si="358"/>
        <v/>
      </c>
    </row>
    <row r="147" spans="7:86" s="36" customFormat="1">
      <c r="G147" s="8">
        <f t="shared" si="359"/>
        <v>5</v>
      </c>
      <c r="I147" s="36" t="str">
        <f t="shared" si="339"/>
        <v/>
      </c>
      <c r="J147" s="36" t="str">
        <f t="shared" si="360"/>
        <v>John Hubbard, Greg Irwin</v>
      </c>
      <c r="M147" s="36" t="str">
        <f t="shared" si="301"/>
        <v/>
      </c>
      <c r="N147" s="36" t="str">
        <f t="shared" si="340"/>
        <v/>
      </c>
      <c r="Q147" s="44" t="str">
        <f t="shared" si="303"/>
        <v/>
      </c>
      <c r="R147" s="36" t="str">
        <f t="shared" si="341"/>
        <v>Peter Compton</v>
      </c>
      <c r="U147" s="36" t="str">
        <f t="shared" si="305"/>
        <v/>
      </c>
      <c r="V147" s="36" t="str">
        <f t="shared" si="342"/>
        <v/>
      </c>
      <c r="Y147" s="36" t="str">
        <f t="shared" si="307"/>
        <v/>
      </c>
      <c r="Z147" s="36" t="str">
        <f t="shared" si="343"/>
        <v>Joe Burnett+1</v>
      </c>
      <c r="AC147" s="36" t="str">
        <f t="shared" si="309"/>
        <v/>
      </c>
      <c r="AD147" s="36" t="str">
        <f t="shared" si="344"/>
        <v>Hazel Wisby  +1</v>
      </c>
      <c r="AG147" s="36" t="str">
        <f t="shared" si="311"/>
        <v/>
      </c>
      <c r="AH147" s="36" t="str">
        <f t="shared" si="345"/>
        <v/>
      </c>
      <c r="AK147" s="36" t="str">
        <f t="shared" si="313"/>
        <v/>
      </c>
      <c r="AL147" s="36" t="str">
        <f t="shared" si="346"/>
        <v>Simon Peach</v>
      </c>
      <c r="AO147" s="36" t="str">
        <f t="shared" si="315"/>
        <v/>
      </c>
      <c r="AP147" s="36" t="str">
        <f t="shared" si="347"/>
        <v/>
      </c>
      <c r="AS147" s="36" t="str">
        <f t="shared" si="317"/>
        <v/>
      </c>
      <c r="AT147" s="36" t="str">
        <f t="shared" si="348"/>
        <v/>
      </c>
      <c r="AW147" s="36" t="str">
        <f t="shared" si="319"/>
        <v/>
      </c>
      <c r="AX147" s="36" t="str">
        <f t="shared" si="349"/>
        <v/>
      </c>
      <c r="BA147" s="36" t="str">
        <f t="shared" si="321"/>
        <v/>
      </c>
      <c r="BB147" s="36" t="str">
        <f t="shared" si="350"/>
        <v>Brian Kilby (Welwyn)</v>
      </c>
      <c r="BE147" s="36" t="str">
        <f t="shared" si="323"/>
        <v/>
      </c>
      <c r="BF147" s="36" t="str">
        <f t="shared" si="351"/>
        <v/>
      </c>
      <c r="BI147" s="36" t="str">
        <f t="shared" si="325"/>
        <v/>
      </c>
      <c r="BJ147" s="36" t="str">
        <f t="shared" si="352"/>
        <v>Debbie Field</v>
      </c>
      <c r="BM147" s="36" t="str">
        <f t="shared" si="327"/>
        <v/>
      </c>
      <c r="BN147" s="36" t="str">
        <f t="shared" si="353"/>
        <v/>
      </c>
      <c r="BQ147" s="36" t="str">
        <f t="shared" si="329"/>
        <v/>
      </c>
      <c r="BR147" s="36" t="str">
        <f t="shared" si="354"/>
        <v>Ben Jessup</v>
      </c>
      <c r="BU147" s="36" t="str">
        <f t="shared" si="331"/>
        <v/>
      </c>
      <c r="BV147" s="36" t="str">
        <f t="shared" si="355"/>
        <v/>
      </c>
      <c r="BY147" s="36" t="str">
        <f t="shared" si="333"/>
        <v/>
      </c>
      <c r="BZ147" s="36" t="str">
        <f t="shared" si="356"/>
        <v/>
      </c>
      <c r="CC147" s="36" t="str">
        <f t="shared" si="335"/>
        <v/>
      </c>
      <c r="CD147" s="36" t="str">
        <f t="shared" si="357"/>
        <v/>
      </c>
      <c r="CG147" s="36" t="str">
        <f t="shared" si="337"/>
        <v/>
      </c>
      <c r="CH147" s="36" t="str">
        <f t="shared" si="358"/>
        <v/>
      </c>
    </row>
    <row r="148" spans="7:86" s="36" customFormat="1">
      <c r="G148" s="8">
        <f t="shared" si="359"/>
        <v>6</v>
      </c>
      <c r="I148" s="36" t="str">
        <f t="shared" si="339"/>
        <v/>
      </c>
      <c r="J148" s="36" t="str">
        <f t="shared" si="360"/>
        <v>John Hubbard, Greg Irwin</v>
      </c>
      <c r="M148" s="36" t="str">
        <f t="shared" si="301"/>
        <v/>
      </c>
      <c r="N148" s="36" t="str">
        <f t="shared" si="340"/>
        <v/>
      </c>
      <c r="Q148" s="44" t="str">
        <f t="shared" si="303"/>
        <v/>
      </c>
      <c r="R148" s="36" t="str">
        <f t="shared" si="341"/>
        <v>Peter Compton</v>
      </c>
      <c r="U148" s="36" t="str">
        <f t="shared" si="305"/>
        <v/>
      </c>
      <c r="V148" s="36" t="str">
        <f t="shared" si="342"/>
        <v/>
      </c>
      <c r="Y148" s="36" t="str">
        <f t="shared" si="307"/>
        <v/>
      </c>
      <c r="Z148" s="36" t="str">
        <f t="shared" si="343"/>
        <v>Joe Burnett+1</v>
      </c>
      <c r="AC148" s="36" t="str">
        <f t="shared" si="309"/>
        <v/>
      </c>
      <c r="AD148" s="36" t="str">
        <f t="shared" si="344"/>
        <v>Hazel Wisby  +1</v>
      </c>
      <c r="AG148" s="36" t="str">
        <f t="shared" si="311"/>
        <v/>
      </c>
      <c r="AH148" s="36" t="str">
        <f t="shared" si="345"/>
        <v/>
      </c>
      <c r="AK148" s="36" t="str">
        <f t="shared" si="313"/>
        <v/>
      </c>
      <c r="AL148" s="36" t="str">
        <f t="shared" si="346"/>
        <v>Simon Peach</v>
      </c>
      <c r="AO148" s="36" t="str">
        <f t="shared" si="315"/>
        <v/>
      </c>
      <c r="AP148" s="36" t="str">
        <f t="shared" si="347"/>
        <v/>
      </c>
      <c r="AS148" s="36" t="str">
        <f t="shared" si="317"/>
        <v/>
      </c>
      <c r="AT148" s="36" t="str">
        <f t="shared" si="348"/>
        <v/>
      </c>
      <c r="AW148" s="36" t="str">
        <f t="shared" si="319"/>
        <v/>
      </c>
      <c r="AX148" s="36" t="str">
        <f t="shared" si="349"/>
        <v/>
      </c>
      <c r="BA148" s="36" t="str">
        <f t="shared" si="321"/>
        <v/>
      </c>
      <c r="BB148" s="36" t="str">
        <f t="shared" si="350"/>
        <v>Brian Kilby (Welwyn)</v>
      </c>
      <c r="BE148" s="36" t="str">
        <f t="shared" si="323"/>
        <v/>
      </c>
      <c r="BF148" s="36" t="str">
        <f t="shared" si="351"/>
        <v/>
      </c>
      <c r="BI148" s="36" t="str">
        <f t="shared" si="325"/>
        <v/>
      </c>
      <c r="BJ148" s="36" t="str">
        <f t="shared" si="352"/>
        <v>Debbie Field</v>
      </c>
      <c r="BM148" s="36" t="str">
        <f t="shared" si="327"/>
        <v/>
      </c>
      <c r="BN148" s="36" t="str">
        <f t="shared" si="353"/>
        <v/>
      </c>
      <c r="BQ148" s="36" t="str">
        <f t="shared" si="329"/>
        <v/>
      </c>
      <c r="BR148" s="36" t="str">
        <f t="shared" si="354"/>
        <v>Ben Jessup</v>
      </c>
      <c r="BU148" s="36" t="str">
        <f t="shared" si="331"/>
        <v/>
      </c>
      <c r="BV148" s="36" t="str">
        <f t="shared" si="355"/>
        <v/>
      </c>
      <c r="BY148" s="36" t="str">
        <f t="shared" si="333"/>
        <v/>
      </c>
      <c r="BZ148" s="36" t="str">
        <f t="shared" si="356"/>
        <v/>
      </c>
      <c r="CC148" s="36" t="str">
        <f t="shared" si="335"/>
        <v/>
      </c>
      <c r="CD148" s="36" t="str">
        <f t="shared" si="357"/>
        <v/>
      </c>
      <c r="CG148" s="36" t="str">
        <f t="shared" si="337"/>
        <v/>
      </c>
      <c r="CH148" s="36" t="str">
        <f t="shared" si="358"/>
        <v/>
      </c>
    </row>
    <row r="149" spans="7:86" s="36" customFormat="1">
      <c r="G149" s="8">
        <f t="shared" si="359"/>
        <v>7</v>
      </c>
      <c r="I149" s="36" t="str">
        <f t="shared" si="339"/>
        <v/>
      </c>
      <c r="J149" s="36" t="str">
        <f t="shared" si="360"/>
        <v>John Hubbard, Greg Irwin</v>
      </c>
      <c r="M149" s="36" t="str">
        <f t="shared" si="301"/>
        <v/>
      </c>
      <c r="N149" s="36" t="str">
        <f t="shared" si="340"/>
        <v/>
      </c>
      <c r="Q149" s="44" t="str">
        <f t="shared" si="303"/>
        <v/>
      </c>
      <c r="R149" s="36" t="str">
        <f t="shared" si="341"/>
        <v>Peter Compton</v>
      </c>
      <c r="U149" s="36" t="str">
        <f t="shared" si="305"/>
        <v/>
      </c>
      <c r="V149" s="36" t="str">
        <f t="shared" si="342"/>
        <v/>
      </c>
      <c r="Y149" s="36" t="str">
        <f t="shared" si="307"/>
        <v/>
      </c>
      <c r="Z149" s="36" t="str">
        <f t="shared" si="343"/>
        <v>Joe Burnett+1</v>
      </c>
      <c r="AC149" s="36" t="str">
        <f t="shared" si="309"/>
        <v/>
      </c>
      <c r="AD149" s="36" t="str">
        <f t="shared" si="344"/>
        <v>Hazel Wisby  +1</v>
      </c>
      <c r="AG149" s="36" t="str">
        <f t="shared" si="311"/>
        <v/>
      </c>
      <c r="AH149" s="36" t="str">
        <f t="shared" si="345"/>
        <v/>
      </c>
      <c r="AK149" s="36" t="str">
        <f t="shared" si="313"/>
        <v/>
      </c>
      <c r="AL149" s="36" t="str">
        <f t="shared" si="346"/>
        <v>Simon Peach</v>
      </c>
      <c r="AO149" s="36" t="str">
        <f t="shared" si="315"/>
        <v/>
      </c>
      <c r="AP149" s="36" t="str">
        <f t="shared" si="347"/>
        <v/>
      </c>
      <c r="AS149" s="36" t="str">
        <f t="shared" si="317"/>
        <v/>
      </c>
      <c r="AT149" s="36" t="str">
        <f t="shared" si="348"/>
        <v/>
      </c>
      <c r="AW149" s="36" t="str">
        <f t="shared" si="319"/>
        <v/>
      </c>
      <c r="AX149" s="36" t="str">
        <f t="shared" si="349"/>
        <v/>
      </c>
      <c r="BA149" s="36" t="str">
        <f t="shared" si="321"/>
        <v/>
      </c>
      <c r="BB149" s="36" t="str">
        <f t="shared" si="350"/>
        <v>Brian Kilby (Welwyn)</v>
      </c>
      <c r="BE149" s="36" t="str">
        <f t="shared" si="323"/>
        <v/>
      </c>
      <c r="BF149" s="36" t="str">
        <f t="shared" si="351"/>
        <v/>
      </c>
      <c r="BI149" s="36" t="str">
        <f t="shared" si="325"/>
        <v/>
      </c>
      <c r="BJ149" s="36" t="str">
        <f t="shared" si="352"/>
        <v>Debbie Field</v>
      </c>
      <c r="BM149" s="36" t="str">
        <f t="shared" si="327"/>
        <v/>
      </c>
      <c r="BN149" s="36" t="str">
        <f t="shared" si="353"/>
        <v/>
      </c>
      <c r="BQ149" s="36" t="str">
        <f t="shared" si="329"/>
        <v/>
      </c>
      <c r="BR149" s="36" t="str">
        <f t="shared" si="354"/>
        <v>Ben Jessup</v>
      </c>
      <c r="BU149" s="36" t="str">
        <f t="shared" si="331"/>
        <v/>
      </c>
      <c r="BV149" s="36" t="str">
        <f t="shared" si="355"/>
        <v/>
      </c>
      <c r="BY149" s="36" t="str">
        <f t="shared" si="333"/>
        <v/>
      </c>
      <c r="BZ149" s="36" t="str">
        <f t="shared" si="356"/>
        <v/>
      </c>
      <c r="CC149" s="36" t="str">
        <f t="shared" si="335"/>
        <v/>
      </c>
      <c r="CD149" s="36" t="str">
        <f t="shared" si="357"/>
        <v/>
      </c>
      <c r="CG149" s="36" t="str">
        <f t="shared" si="337"/>
        <v/>
      </c>
      <c r="CH149" s="36" t="str">
        <f t="shared" si="358"/>
        <v/>
      </c>
    </row>
    <row r="150" spans="7:86" s="36" customFormat="1">
      <c r="G150" s="8">
        <f t="shared" si="359"/>
        <v>8</v>
      </c>
      <c r="I150" s="36" t="str">
        <f t="shared" si="339"/>
        <v/>
      </c>
      <c r="J150" s="36" t="str">
        <f t="shared" si="360"/>
        <v>John Hubbard, Greg Irwin</v>
      </c>
      <c r="M150" s="36" t="str">
        <f t="shared" si="301"/>
        <v/>
      </c>
      <c r="N150" s="36" t="str">
        <f t="shared" si="340"/>
        <v/>
      </c>
      <c r="Q150" s="44" t="str">
        <f t="shared" si="303"/>
        <v/>
      </c>
      <c r="R150" s="36" t="str">
        <f t="shared" si="341"/>
        <v>Peter Compton</v>
      </c>
      <c r="U150" s="36" t="str">
        <f t="shared" si="305"/>
        <v/>
      </c>
      <c r="V150" s="36" t="str">
        <f t="shared" si="342"/>
        <v/>
      </c>
      <c r="Y150" s="36" t="str">
        <f t="shared" si="307"/>
        <v/>
      </c>
      <c r="Z150" s="36" t="str">
        <f t="shared" si="343"/>
        <v>Joe Burnett+1</v>
      </c>
      <c r="AC150" s="36" t="str">
        <f t="shared" si="309"/>
        <v/>
      </c>
      <c r="AD150" s="36" t="str">
        <f t="shared" si="344"/>
        <v>Hazel Wisby  +1</v>
      </c>
      <c r="AG150" s="36" t="str">
        <f t="shared" si="311"/>
        <v/>
      </c>
      <c r="AH150" s="36" t="str">
        <f t="shared" si="345"/>
        <v/>
      </c>
      <c r="AK150" s="36" t="str">
        <f t="shared" si="313"/>
        <v/>
      </c>
      <c r="AL150" s="36" t="str">
        <f t="shared" si="346"/>
        <v>Simon Peach</v>
      </c>
      <c r="AO150" s="36" t="str">
        <f t="shared" si="315"/>
        <v/>
      </c>
      <c r="AP150" s="36" t="str">
        <f t="shared" si="347"/>
        <v/>
      </c>
      <c r="AS150" s="36" t="str">
        <f t="shared" si="317"/>
        <v/>
      </c>
      <c r="AT150" s="36" t="str">
        <f t="shared" si="348"/>
        <v/>
      </c>
      <c r="AW150" s="36" t="str">
        <f t="shared" si="319"/>
        <v>Andy Booth</v>
      </c>
      <c r="AX150" s="36" t="str">
        <f t="shared" si="349"/>
        <v>Andy Booth</v>
      </c>
      <c r="BA150" s="36" t="str">
        <f t="shared" si="321"/>
        <v/>
      </c>
      <c r="BB150" s="36" t="str">
        <f t="shared" si="350"/>
        <v>Brian Kilby (Welwyn)</v>
      </c>
      <c r="BE150" s="36" t="str">
        <f t="shared" si="323"/>
        <v/>
      </c>
      <c r="BF150" s="36" t="str">
        <f t="shared" si="351"/>
        <v/>
      </c>
      <c r="BI150" s="36" t="str">
        <f t="shared" si="325"/>
        <v/>
      </c>
      <c r="BJ150" s="36" t="str">
        <f t="shared" si="352"/>
        <v>Debbie Field</v>
      </c>
      <c r="BM150" s="36" t="str">
        <f t="shared" si="327"/>
        <v/>
      </c>
      <c r="BN150" s="36" t="str">
        <f t="shared" si="353"/>
        <v/>
      </c>
      <c r="BQ150" s="36" t="str">
        <f t="shared" si="329"/>
        <v/>
      </c>
      <c r="BR150" s="36" t="str">
        <f t="shared" si="354"/>
        <v>Ben Jessup</v>
      </c>
      <c r="BU150" s="36" t="str">
        <f t="shared" si="331"/>
        <v/>
      </c>
      <c r="BV150" s="36" t="str">
        <f t="shared" si="355"/>
        <v/>
      </c>
      <c r="BY150" s="36" t="str">
        <f t="shared" si="333"/>
        <v/>
      </c>
      <c r="BZ150" s="36" t="str">
        <f t="shared" si="356"/>
        <v/>
      </c>
      <c r="CC150" s="36" t="str">
        <f t="shared" si="335"/>
        <v>Andy Booth</v>
      </c>
      <c r="CD150" s="36" t="str">
        <f t="shared" si="357"/>
        <v>Andy Booth</v>
      </c>
      <c r="CG150" s="36" t="str">
        <f t="shared" si="337"/>
        <v>Andy Booth</v>
      </c>
      <c r="CH150" s="36" t="str">
        <f t="shared" si="358"/>
        <v>Andy Booth</v>
      </c>
    </row>
    <row r="151" spans="7:86" s="36" customFormat="1">
      <c r="G151" s="8">
        <f t="shared" si="359"/>
        <v>9</v>
      </c>
      <c r="I151" s="36" t="str">
        <f t="shared" si="339"/>
        <v/>
      </c>
      <c r="J151" s="36" t="str">
        <f t="shared" si="360"/>
        <v>John Hubbard, Greg Irwin</v>
      </c>
      <c r="M151" s="36" t="str">
        <f t="shared" si="301"/>
        <v/>
      </c>
      <c r="N151" s="36" t="str">
        <f t="shared" si="340"/>
        <v/>
      </c>
      <c r="Q151" s="44" t="str">
        <f t="shared" si="303"/>
        <v/>
      </c>
      <c r="R151" s="36" t="str">
        <f t="shared" si="341"/>
        <v>Peter Compton</v>
      </c>
      <c r="U151" s="36" t="str">
        <f t="shared" si="305"/>
        <v/>
      </c>
      <c r="V151" s="36" t="str">
        <f t="shared" si="342"/>
        <v/>
      </c>
      <c r="Y151" s="36" t="str">
        <f t="shared" si="307"/>
        <v/>
      </c>
      <c r="Z151" s="36" t="str">
        <f t="shared" si="343"/>
        <v>Joe Burnett+1</v>
      </c>
      <c r="AC151" s="36" t="str">
        <f t="shared" si="309"/>
        <v/>
      </c>
      <c r="AD151" s="36" t="str">
        <f t="shared" si="344"/>
        <v>Hazel Wisby  +1</v>
      </c>
      <c r="AG151" s="36" t="str">
        <f t="shared" si="311"/>
        <v/>
      </c>
      <c r="AH151" s="36" t="str">
        <f t="shared" si="345"/>
        <v/>
      </c>
      <c r="AK151" s="36" t="str">
        <f t="shared" si="313"/>
        <v/>
      </c>
      <c r="AL151" s="36" t="str">
        <f t="shared" si="346"/>
        <v>Simon Peach</v>
      </c>
      <c r="AO151" s="36" t="str">
        <f t="shared" si="315"/>
        <v/>
      </c>
      <c r="AP151" s="36" t="str">
        <f t="shared" si="347"/>
        <v/>
      </c>
      <c r="AS151" s="36" t="str">
        <f t="shared" si="317"/>
        <v/>
      </c>
      <c r="AT151" s="36" t="str">
        <f t="shared" si="348"/>
        <v/>
      </c>
      <c r="AW151" s="36" t="str">
        <f t="shared" si="319"/>
        <v/>
      </c>
      <c r="AX151" s="36" t="str">
        <f t="shared" si="349"/>
        <v>Andy Booth</v>
      </c>
      <c r="BA151" s="36" t="str">
        <f t="shared" si="321"/>
        <v/>
      </c>
      <c r="BB151" s="36" t="str">
        <f t="shared" si="350"/>
        <v>Brian Kilby (Welwyn)</v>
      </c>
      <c r="BE151" s="36" t="str">
        <f t="shared" si="323"/>
        <v/>
      </c>
      <c r="BF151" s="36" t="str">
        <f t="shared" si="351"/>
        <v/>
      </c>
      <c r="BI151" s="36" t="str">
        <f t="shared" si="325"/>
        <v/>
      </c>
      <c r="BJ151" s="36" t="str">
        <f t="shared" si="352"/>
        <v>Debbie Field</v>
      </c>
      <c r="BM151" s="36" t="str">
        <f t="shared" si="327"/>
        <v/>
      </c>
      <c r="BN151" s="36" t="str">
        <f t="shared" si="353"/>
        <v/>
      </c>
      <c r="BQ151" s="36" t="str">
        <f t="shared" si="329"/>
        <v/>
      </c>
      <c r="BR151" s="36" t="str">
        <f t="shared" si="354"/>
        <v>Ben Jessup</v>
      </c>
      <c r="BU151" s="36" t="str">
        <f t="shared" si="331"/>
        <v/>
      </c>
      <c r="BV151" s="36" t="str">
        <f t="shared" si="355"/>
        <v/>
      </c>
      <c r="BY151" s="36" t="str">
        <f t="shared" si="333"/>
        <v/>
      </c>
      <c r="BZ151" s="36" t="str">
        <f t="shared" si="356"/>
        <v/>
      </c>
      <c r="CC151" s="36" t="str">
        <f t="shared" si="335"/>
        <v/>
      </c>
      <c r="CD151" s="36" t="str">
        <f t="shared" si="357"/>
        <v>Andy Booth</v>
      </c>
      <c r="CG151" s="36" t="str">
        <f t="shared" si="337"/>
        <v/>
      </c>
      <c r="CH151" s="36" t="str">
        <f t="shared" si="358"/>
        <v>Andy Booth</v>
      </c>
    </row>
    <row r="152" spans="7:86" s="36" customFormat="1">
      <c r="G152" s="8">
        <f t="shared" si="359"/>
        <v>10</v>
      </c>
      <c r="I152" s="36" t="str">
        <f t="shared" si="339"/>
        <v/>
      </c>
      <c r="J152" s="36" t="str">
        <f t="shared" si="360"/>
        <v>John Hubbard, Greg Irwin</v>
      </c>
      <c r="M152" s="36" t="str">
        <f t="shared" si="301"/>
        <v/>
      </c>
      <c r="N152" s="36" t="str">
        <f t="shared" si="340"/>
        <v/>
      </c>
      <c r="Q152" s="44" t="str">
        <f t="shared" si="303"/>
        <v/>
      </c>
      <c r="R152" s="36" t="str">
        <f t="shared" si="341"/>
        <v>Peter Compton</v>
      </c>
      <c r="U152" s="36" t="str">
        <f t="shared" si="305"/>
        <v/>
      </c>
      <c r="V152" s="36" t="str">
        <f t="shared" si="342"/>
        <v/>
      </c>
      <c r="Y152" s="36" t="str">
        <f t="shared" si="307"/>
        <v/>
      </c>
      <c r="Z152" s="36" t="str">
        <f t="shared" si="343"/>
        <v>Joe Burnett+1</v>
      </c>
      <c r="AC152" s="36" t="str">
        <f t="shared" si="309"/>
        <v/>
      </c>
      <c r="AD152" s="36" t="str">
        <f t="shared" si="344"/>
        <v>Hazel Wisby  +1</v>
      </c>
      <c r="AG152" s="36" t="str">
        <f t="shared" si="311"/>
        <v/>
      </c>
      <c r="AH152" s="36" t="str">
        <f t="shared" si="345"/>
        <v/>
      </c>
      <c r="AK152" s="36" t="str">
        <f t="shared" si="313"/>
        <v/>
      </c>
      <c r="AL152" s="36" t="str">
        <f t="shared" si="346"/>
        <v>Simon Peach</v>
      </c>
      <c r="AO152" s="36" t="str">
        <f t="shared" si="315"/>
        <v/>
      </c>
      <c r="AP152" s="36" t="str">
        <f t="shared" si="347"/>
        <v/>
      </c>
      <c r="AS152" s="36" t="str">
        <f t="shared" si="317"/>
        <v/>
      </c>
      <c r="AT152" s="36" t="str">
        <f t="shared" si="348"/>
        <v/>
      </c>
      <c r="AW152" s="36" t="str">
        <f t="shared" si="319"/>
        <v/>
      </c>
      <c r="AX152" s="36" t="str">
        <f t="shared" si="349"/>
        <v>Andy Booth</v>
      </c>
      <c r="BA152" s="36" t="str">
        <f t="shared" si="321"/>
        <v/>
      </c>
      <c r="BB152" s="36" t="str">
        <f t="shared" si="350"/>
        <v>Brian Kilby (Welwyn)</v>
      </c>
      <c r="BE152" s="36" t="str">
        <f t="shared" si="323"/>
        <v/>
      </c>
      <c r="BF152" s="36" t="str">
        <f t="shared" si="351"/>
        <v/>
      </c>
      <c r="BI152" s="36" t="str">
        <f t="shared" si="325"/>
        <v/>
      </c>
      <c r="BJ152" s="36" t="str">
        <f t="shared" si="352"/>
        <v>Debbie Field</v>
      </c>
      <c r="BM152" s="36" t="str">
        <f t="shared" si="327"/>
        <v/>
      </c>
      <c r="BN152" s="36" t="str">
        <f t="shared" si="353"/>
        <v/>
      </c>
      <c r="BQ152" s="36" t="str">
        <f t="shared" si="329"/>
        <v/>
      </c>
      <c r="BR152" s="36" t="str">
        <f t="shared" si="354"/>
        <v>Ben Jessup</v>
      </c>
      <c r="BU152" s="36" t="str">
        <f t="shared" si="331"/>
        <v/>
      </c>
      <c r="BV152" s="36" t="str">
        <f t="shared" si="355"/>
        <v/>
      </c>
      <c r="BY152" s="36" t="str">
        <f t="shared" si="333"/>
        <v/>
      </c>
      <c r="BZ152" s="36" t="str">
        <f t="shared" si="356"/>
        <v/>
      </c>
      <c r="CC152" s="36" t="str">
        <f t="shared" si="335"/>
        <v/>
      </c>
      <c r="CD152" s="36" t="str">
        <f t="shared" si="357"/>
        <v>Andy Booth</v>
      </c>
      <c r="CG152" s="36" t="str">
        <f t="shared" si="337"/>
        <v/>
      </c>
      <c r="CH152" s="36" t="str">
        <f t="shared" si="358"/>
        <v>Andy Booth</v>
      </c>
    </row>
    <row r="153" spans="7:86" s="36" customFormat="1">
      <c r="G153" s="8">
        <f t="shared" si="359"/>
        <v>11</v>
      </c>
      <c r="I153" s="36" t="str">
        <f t="shared" si="339"/>
        <v/>
      </c>
      <c r="J153" s="36" t="str">
        <f t="shared" si="360"/>
        <v>John Hubbard, Greg Irwin</v>
      </c>
      <c r="M153" s="36" t="str">
        <f t="shared" si="301"/>
        <v/>
      </c>
      <c r="N153" s="36" t="str">
        <f t="shared" si="340"/>
        <v/>
      </c>
      <c r="Q153" s="44" t="str">
        <f t="shared" si="303"/>
        <v/>
      </c>
      <c r="R153" s="36" t="str">
        <f t="shared" si="341"/>
        <v>Peter Compton</v>
      </c>
      <c r="U153" s="36" t="str">
        <f t="shared" si="305"/>
        <v/>
      </c>
      <c r="V153" s="36" t="str">
        <f t="shared" si="342"/>
        <v/>
      </c>
      <c r="Y153" s="36" t="str">
        <f t="shared" si="307"/>
        <v/>
      </c>
      <c r="Z153" s="36" t="str">
        <f t="shared" si="343"/>
        <v>Joe Burnett+1</v>
      </c>
      <c r="AC153" s="36" t="str">
        <f t="shared" si="309"/>
        <v/>
      </c>
      <c r="AD153" s="36" t="str">
        <f t="shared" si="344"/>
        <v>Hazel Wisby  +1</v>
      </c>
      <c r="AG153" s="36" t="str">
        <f t="shared" si="311"/>
        <v/>
      </c>
      <c r="AH153" s="36" t="str">
        <f t="shared" si="345"/>
        <v/>
      </c>
      <c r="AK153" s="36" t="str">
        <f t="shared" si="313"/>
        <v/>
      </c>
      <c r="AL153" s="36" t="str">
        <f t="shared" si="346"/>
        <v>Simon Peach</v>
      </c>
      <c r="AO153" s="36" t="str">
        <f t="shared" si="315"/>
        <v/>
      </c>
      <c r="AP153" s="36" t="str">
        <f t="shared" si="347"/>
        <v/>
      </c>
      <c r="AS153" s="36" t="str">
        <f t="shared" si="317"/>
        <v/>
      </c>
      <c r="AT153" s="36" t="str">
        <f t="shared" si="348"/>
        <v/>
      </c>
      <c r="AW153" s="36" t="str">
        <f t="shared" si="319"/>
        <v/>
      </c>
      <c r="AX153" s="36" t="str">
        <f t="shared" si="349"/>
        <v>Andy Booth</v>
      </c>
      <c r="BA153" s="36" t="str">
        <f t="shared" si="321"/>
        <v/>
      </c>
      <c r="BB153" s="36" t="str">
        <f t="shared" si="350"/>
        <v>Brian Kilby (Welwyn)</v>
      </c>
      <c r="BE153" s="36" t="str">
        <f t="shared" si="323"/>
        <v/>
      </c>
      <c r="BF153" s="36" t="str">
        <f t="shared" si="351"/>
        <v/>
      </c>
      <c r="BI153" s="36" t="str">
        <f t="shared" si="325"/>
        <v/>
      </c>
      <c r="BJ153" s="36" t="str">
        <f t="shared" si="352"/>
        <v>Debbie Field</v>
      </c>
      <c r="BM153" s="36" t="str">
        <f t="shared" si="327"/>
        <v/>
      </c>
      <c r="BN153" s="36" t="str">
        <f t="shared" si="353"/>
        <v/>
      </c>
      <c r="BQ153" s="36" t="str">
        <f t="shared" si="329"/>
        <v/>
      </c>
      <c r="BR153" s="36" t="str">
        <f t="shared" si="354"/>
        <v>Ben Jessup</v>
      </c>
      <c r="BU153" s="36" t="str">
        <f t="shared" si="331"/>
        <v/>
      </c>
      <c r="BV153" s="36" t="str">
        <f t="shared" si="355"/>
        <v/>
      </c>
      <c r="BY153" s="36" t="str">
        <f t="shared" si="333"/>
        <v/>
      </c>
      <c r="BZ153" s="36" t="str">
        <f t="shared" si="356"/>
        <v/>
      </c>
      <c r="CC153" s="36" t="str">
        <f t="shared" si="335"/>
        <v/>
      </c>
      <c r="CD153" s="36" t="str">
        <f t="shared" si="357"/>
        <v>Andy Booth</v>
      </c>
      <c r="CG153" s="36" t="str">
        <f t="shared" si="337"/>
        <v/>
      </c>
      <c r="CH153" s="36" t="str">
        <f t="shared" si="358"/>
        <v>Andy Booth</v>
      </c>
    </row>
    <row r="154" spans="7:86" s="36" customFormat="1">
      <c r="G154" s="8">
        <f t="shared" si="359"/>
        <v>12</v>
      </c>
      <c r="I154" s="36" t="str">
        <f t="shared" si="339"/>
        <v/>
      </c>
      <c r="J154" s="36" t="str">
        <f t="shared" si="360"/>
        <v>John Hubbard, Greg Irwin</v>
      </c>
      <c r="M154" s="36" t="str">
        <f t="shared" si="301"/>
        <v/>
      </c>
      <c r="N154" s="36" t="str">
        <f t="shared" si="340"/>
        <v/>
      </c>
      <c r="Q154" s="44" t="str">
        <f t="shared" si="303"/>
        <v/>
      </c>
      <c r="R154" s="36" t="str">
        <f t="shared" si="341"/>
        <v>Peter Compton</v>
      </c>
      <c r="U154" s="36" t="str">
        <f t="shared" si="305"/>
        <v/>
      </c>
      <c r="V154" s="36" t="str">
        <f t="shared" si="342"/>
        <v/>
      </c>
      <c r="Y154" s="36" t="str">
        <f t="shared" si="307"/>
        <v/>
      </c>
      <c r="Z154" s="36" t="str">
        <f t="shared" si="343"/>
        <v>Joe Burnett+1</v>
      </c>
      <c r="AC154" s="36" t="str">
        <f t="shared" si="309"/>
        <v/>
      </c>
      <c r="AD154" s="36" t="str">
        <f t="shared" si="344"/>
        <v>Hazel Wisby  +1</v>
      </c>
      <c r="AG154" s="36" t="str">
        <f t="shared" si="311"/>
        <v/>
      </c>
      <c r="AH154" s="36" t="str">
        <f t="shared" si="345"/>
        <v/>
      </c>
      <c r="AK154" s="36" t="str">
        <f t="shared" si="313"/>
        <v/>
      </c>
      <c r="AL154" s="36" t="str">
        <f t="shared" si="346"/>
        <v>Simon Peach</v>
      </c>
      <c r="AO154" s="36" t="str">
        <f t="shared" si="315"/>
        <v/>
      </c>
      <c r="AP154" s="36" t="str">
        <f t="shared" si="347"/>
        <v/>
      </c>
      <c r="AS154" s="36" t="str">
        <f t="shared" si="317"/>
        <v/>
      </c>
      <c r="AT154" s="36" t="str">
        <f t="shared" si="348"/>
        <v/>
      </c>
      <c r="AW154" s="36" t="str">
        <f t="shared" si="319"/>
        <v/>
      </c>
      <c r="AX154" s="36" t="str">
        <f t="shared" si="349"/>
        <v>Andy Booth</v>
      </c>
      <c r="BA154" s="36" t="str">
        <f t="shared" si="321"/>
        <v/>
      </c>
      <c r="BB154" s="36" t="str">
        <f t="shared" si="350"/>
        <v>Brian Kilby (Welwyn)</v>
      </c>
      <c r="BE154" s="36" t="str">
        <f t="shared" si="323"/>
        <v/>
      </c>
      <c r="BF154" s="36" t="str">
        <f t="shared" si="351"/>
        <v/>
      </c>
      <c r="BI154" s="36" t="str">
        <f t="shared" si="325"/>
        <v/>
      </c>
      <c r="BJ154" s="36" t="str">
        <f t="shared" si="352"/>
        <v>Debbie Field</v>
      </c>
      <c r="BM154" s="36" t="str">
        <f t="shared" si="327"/>
        <v/>
      </c>
      <c r="BN154" s="36" t="str">
        <f t="shared" si="353"/>
        <v/>
      </c>
      <c r="BQ154" s="36" t="str">
        <f t="shared" si="329"/>
        <v/>
      </c>
      <c r="BR154" s="36" t="str">
        <f t="shared" si="354"/>
        <v>Ben Jessup</v>
      </c>
      <c r="BU154" s="36" t="str">
        <f t="shared" si="331"/>
        <v/>
      </c>
      <c r="BV154" s="36" t="str">
        <f t="shared" si="355"/>
        <v/>
      </c>
      <c r="BY154" s="36" t="str">
        <f t="shared" si="333"/>
        <v/>
      </c>
      <c r="BZ154" s="36" t="str">
        <f t="shared" si="356"/>
        <v/>
      </c>
      <c r="CC154" s="36" t="str">
        <f t="shared" si="335"/>
        <v/>
      </c>
      <c r="CD154" s="36" t="str">
        <f t="shared" si="357"/>
        <v>Andy Booth</v>
      </c>
      <c r="CG154" s="36" t="str">
        <f t="shared" si="337"/>
        <v/>
      </c>
      <c r="CH154" s="36" t="str">
        <f t="shared" si="358"/>
        <v>Andy Booth</v>
      </c>
    </row>
    <row r="155" spans="7:86" s="36" customFormat="1">
      <c r="G155" s="8">
        <f t="shared" si="359"/>
        <v>13</v>
      </c>
      <c r="I155" s="36" t="str">
        <f t="shared" si="339"/>
        <v/>
      </c>
      <c r="J155" s="36" t="str">
        <f t="shared" si="360"/>
        <v>John Hubbard, Greg Irwin</v>
      </c>
      <c r="M155" s="36" t="str">
        <f t="shared" si="301"/>
        <v/>
      </c>
      <c r="N155" s="36" t="str">
        <f t="shared" si="340"/>
        <v/>
      </c>
      <c r="Q155" s="44" t="str">
        <f t="shared" si="303"/>
        <v/>
      </c>
      <c r="R155" s="36" t="str">
        <f t="shared" si="341"/>
        <v>Peter Compton</v>
      </c>
      <c r="U155" s="36" t="str">
        <f t="shared" si="305"/>
        <v/>
      </c>
      <c r="V155" s="36" t="str">
        <f t="shared" si="342"/>
        <v/>
      </c>
      <c r="Y155" s="36" t="str">
        <f t="shared" si="307"/>
        <v/>
      </c>
      <c r="Z155" s="36" t="str">
        <f t="shared" si="343"/>
        <v>Joe Burnett+1</v>
      </c>
      <c r="AC155" s="36" t="str">
        <f t="shared" si="309"/>
        <v/>
      </c>
      <c r="AD155" s="36" t="str">
        <f t="shared" si="344"/>
        <v>Hazel Wisby  +1</v>
      </c>
      <c r="AG155" s="36" t="str">
        <f t="shared" si="311"/>
        <v/>
      </c>
      <c r="AH155" s="36" t="str">
        <f t="shared" si="345"/>
        <v/>
      </c>
      <c r="AK155" s="36" t="str">
        <f t="shared" si="313"/>
        <v/>
      </c>
      <c r="AL155" s="36" t="str">
        <f t="shared" si="346"/>
        <v>Simon Peach</v>
      </c>
      <c r="AO155" s="36" t="str">
        <f t="shared" si="315"/>
        <v/>
      </c>
      <c r="AP155" s="36" t="str">
        <f t="shared" si="347"/>
        <v/>
      </c>
      <c r="AS155" s="36" t="str">
        <f t="shared" si="317"/>
        <v/>
      </c>
      <c r="AT155" s="36" t="str">
        <f t="shared" si="348"/>
        <v/>
      </c>
      <c r="AW155" s="36" t="str">
        <f t="shared" si="319"/>
        <v/>
      </c>
      <c r="AX155" s="36" t="str">
        <f t="shared" si="349"/>
        <v>Andy Booth</v>
      </c>
      <c r="BA155" s="36" t="str">
        <f t="shared" si="321"/>
        <v/>
      </c>
      <c r="BB155" s="36" t="str">
        <f t="shared" si="350"/>
        <v>Brian Kilby (Welwyn)</v>
      </c>
      <c r="BE155" s="36" t="str">
        <f t="shared" si="323"/>
        <v/>
      </c>
      <c r="BF155" s="36" t="str">
        <f t="shared" si="351"/>
        <v/>
      </c>
      <c r="BI155" s="36" t="str">
        <f t="shared" si="325"/>
        <v/>
      </c>
      <c r="BJ155" s="36" t="str">
        <f t="shared" si="352"/>
        <v>Debbie Field</v>
      </c>
      <c r="BM155" s="36" t="str">
        <f t="shared" si="327"/>
        <v/>
      </c>
      <c r="BN155" s="36" t="str">
        <f t="shared" si="353"/>
        <v/>
      </c>
      <c r="BQ155" s="36" t="str">
        <f t="shared" si="329"/>
        <v/>
      </c>
      <c r="BR155" s="36" t="str">
        <f t="shared" si="354"/>
        <v>Ben Jessup</v>
      </c>
      <c r="BU155" s="36" t="str">
        <f t="shared" si="331"/>
        <v/>
      </c>
      <c r="BV155" s="36" t="str">
        <f t="shared" si="355"/>
        <v/>
      </c>
      <c r="BY155" s="36" t="str">
        <f t="shared" si="333"/>
        <v/>
      </c>
      <c r="BZ155" s="36" t="str">
        <f t="shared" si="356"/>
        <v/>
      </c>
      <c r="CC155" s="36" t="str">
        <f t="shared" si="335"/>
        <v/>
      </c>
      <c r="CD155" s="36" t="str">
        <f t="shared" si="357"/>
        <v>Andy Booth</v>
      </c>
      <c r="CG155" s="36" t="str">
        <f t="shared" si="337"/>
        <v/>
      </c>
      <c r="CH155" s="36" t="str">
        <f t="shared" si="358"/>
        <v>Andy Booth</v>
      </c>
    </row>
    <row r="156" spans="7:86" s="36" customFormat="1">
      <c r="G156" s="8">
        <f t="shared" si="359"/>
        <v>14</v>
      </c>
      <c r="I156" s="36" t="str">
        <f t="shared" si="339"/>
        <v/>
      </c>
      <c r="J156" s="36" t="str">
        <f t="shared" si="360"/>
        <v>John Hubbard, Greg Irwin</v>
      </c>
      <c r="M156" s="36" t="str">
        <f t="shared" si="301"/>
        <v/>
      </c>
      <c r="N156" s="36" t="str">
        <f t="shared" si="340"/>
        <v/>
      </c>
      <c r="Q156" s="44" t="str">
        <f t="shared" si="303"/>
        <v/>
      </c>
      <c r="R156" s="36" t="str">
        <f t="shared" si="341"/>
        <v>Peter Compton</v>
      </c>
      <c r="U156" s="36" t="str">
        <f t="shared" si="305"/>
        <v/>
      </c>
      <c r="V156" s="36" t="str">
        <f t="shared" si="342"/>
        <v/>
      </c>
      <c r="Y156" s="36" t="str">
        <f t="shared" si="307"/>
        <v/>
      </c>
      <c r="Z156" s="36" t="str">
        <f t="shared" si="343"/>
        <v>Joe Burnett+1</v>
      </c>
      <c r="AC156" s="36" t="str">
        <f t="shared" si="309"/>
        <v/>
      </c>
      <c r="AD156" s="36" t="str">
        <f t="shared" si="344"/>
        <v>Hazel Wisby  +1</v>
      </c>
      <c r="AG156" s="36" t="str">
        <f t="shared" si="311"/>
        <v/>
      </c>
      <c r="AH156" s="36" t="str">
        <f t="shared" si="345"/>
        <v/>
      </c>
      <c r="AK156" s="36" t="str">
        <f t="shared" si="313"/>
        <v/>
      </c>
      <c r="AL156" s="36" t="str">
        <f t="shared" si="346"/>
        <v>Simon Peach</v>
      </c>
      <c r="AO156" s="36" t="str">
        <f t="shared" si="315"/>
        <v/>
      </c>
      <c r="AP156" s="36" t="str">
        <f t="shared" si="347"/>
        <v/>
      </c>
      <c r="AS156" s="36" t="str">
        <f t="shared" si="317"/>
        <v/>
      </c>
      <c r="AT156" s="36" t="str">
        <f t="shared" si="348"/>
        <v/>
      </c>
      <c r="AW156" s="36" t="str">
        <f t="shared" si="319"/>
        <v/>
      </c>
      <c r="AX156" s="36" t="str">
        <f t="shared" si="349"/>
        <v>Andy Booth</v>
      </c>
      <c r="BA156" s="36" t="str">
        <f t="shared" si="321"/>
        <v/>
      </c>
      <c r="BB156" s="36" t="str">
        <f t="shared" si="350"/>
        <v>Brian Kilby (Welwyn)</v>
      </c>
      <c r="BE156" s="36" t="str">
        <f t="shared" si="323"/>
        <v/>
      </c>
      <c r="BF156" s="36" t="str">
        <f t="shared" si="351"/>
        <v/>
      </c>
      <c r="BI156" s="36" t="str">
        <f t="shared" si="325"/>
        <v/>
      </c>
      <c r="BJ156" s="36" t="str">
        <f t="shared" si="352"/>
        <v>Debbie Field</v>
      </c>
      <c r="BM156" s="36" t="str">
        <f t="shared" si="327"/>
        <v/>
      </c>
      <c r="BN156" s="36" t="str">
        <f t="shared" si="353"/>
        <v/>
      </c>
      <c r="BQ156" s="36" t="str">
        <f t="shared" si="329"/>
        <v/>
      </c>
      <c r="BR156" s="36" t="str">
        <f t="shared" si="354"/>
        <v>Ben Jessup</v>
      </c>
      <c r="BU156" s="36" t="str">
        <f t="shared" si="331"/>
        <v/>
      </c>
      <c r="BV156" s="36" t="str">
        <f t="shared" si="355"/>
        <v/>
      </c>
      <c r="BY156" s="36" t="str">
        <f t="shared" si="333"/>
        <v/>
      </c>
      <c r="BZ156" s="36" t="str">
        <f t="shared" si="356"/>
        <v/>
      </c>
      <c r="CC156" s="36" t="str">
        <f t="shared" si="335"/>
        <v/>
      </c>
      <c r="CD156" s="36" t="str">
        <f t="shared" si="357"/>
        <v>Andy Booth</v>
      </c>
      <c r="CG156" s="36" t="str">
        <f t="shared" si="337"/>
        <v/>
      </c>
      <c r="CH156" s="36" t="str">
        <f t="shared" si="358"/>
        <v>Andy Booth</v>
      </c>
    </row>
    <row r="157" spans="7:86" s="36" customFormat="1">
      <c r="G157" s="8">
        <f t="shared" si="359"/>
        <v>15</v>
      </c>
      <c r="I157" s="36" t="str">
        <f t="shared" si="339"/>
        <v/>
      </c>
      <c r="J157" s="36" t="str">
        <f t="shared" si="360"/>
        <v>John Hubbard, Greg Irwin</v>
      </c>
      <c r="M157" s="36" t="str">
        <f t="shared" si="301"/>
        <v/>
      </c>
      <c r="N157" s="36" t="str">
        <f t="shared" si="340"/>
        <v/>
      </c>
      <c r="Q157" s="44" t="str">
        <f t="shared" si="303"/>
        <v/>
      </c>
      <c r="R157" s="36" t="str">
        <f t="shared" si="341"/>
        <v>Peter Compton</v>
      </c>
      <c r="U157" s="36" t="str">
        <f t="shared" si="305"/>
        <v/>
      </c>
      <c r="V157" s="36" t="str">
        <f t="shared" si="342"/>
        <v/>
      </c>
      <c r="Y157" s="36" t="str">
        <f t="shared" si="307"/>
        <v/>
      </c>
      <c r="Z157" s="36" t="str">
        <f t="shared" si="343"/>
        <v>Joe Burnett+1</v>
      </c>
      <c r="AC157" s="36" t="str">
        <f t="shared" si="309"/>
        <v/>
      </c>
      <c r="AD157" s="36" t="str">
        <f t="shared" si="344"/>
        <v>Hazel Wisby  +1</v>
      </c>
      <c r="AG157" s="36" t="str">
        <f t="shared" si="311"/>
        <v/>
      </c>
      <c r="AH157" s="36" t="str">
        <f t="shared" si="345"/>
        <v/>
      </c>
      <c r="AK157" s="36" t="str">
        <f t="shared" si="313"/>
        <v/>
      </c>
      <c r="AL157" s="36" t="str">
        <f t="shared" si="346"/>
        <v>Simon Peach</v>
      </c>
      <c r="AO157" s="36" t="str">
        <f t="shared" si="315"/>
        <v/>
      </c>
      <c r="AP157" s="36" t="str">
        <f t="shared" si="347"/>
        <v/>
      </c>
      <c r="AS157" s="36" t="str">
        <f t="shared" si="317"/>
        <v/>
      </c>
      <c r="AT157" s="36" t="str">
        <f t="shared" si="348"/>
        <v/>
      </c>
      <c r="AW157" s="36" t="str">
        <f t="shared" si="319"/>
        <v/>
      </c>
      <c r="AX157" s="36" t="str">
        <f t="shared" si="349"/>
        <v>Andy Booth</v>
      </c>
      <c r="BA157" s="36" t="str">
        <f t="shared" si="321"/>
        <v/>
      </c>
      <c r="BB157" s="36" t="str">
        <f t="shared" si="350"/>
        <v>Brian Kilby (Welwyn)</v>
      </c>
      <c r="BE157" s="36" t="str">
        <f t="shared" si="323"/>
        <v/>
      </c>
      <c r="BF157" s="36" t="str">
        <f t="shared" si="351"/>
        <v/>
      </c>
      <c r="BI157" s="36" t="str">
        <f t="shared" si="325"/>
        <v/>
      </c>
      <c r="BJ157" s="36" t="str">
        <f t="shared" si="352"/>
        <v>Debbie Field</v>
      </c>
      <c r="BM157" s="36" t="str">
        <f t="shared" si="327"/>
        <v/>
      </c>
      <c r="BN157" s="36" t="str">
        <f t="shared" si="353"/>
        <v/>
      </c>
      <c r="BQ157" s="36" t="str">
        <f t="shared" si="329"/>
        <v/>
      </c>
      <c r="BR157" s="36" t="str">
        <f t="shared" si="354"/>
        <v>Ben Jessup</v>
      </c>
      <c r="BU157" s="36" t="str">
        <f t="shared" si="331"/>
        <v/>
      </c>
      <c r="BV157" s="36" t="str">
        <f t="shared" si="355"/>
        <v/>
      </c>
      <c r="BY157" s="36" t="str">
        <f t="shared" si="333"/>
        <v/>
      </c>
      <c r="BZ157" s="36" t="str">
        <f t="shared" si="356"/>
        <v/>
      </c>
      <c r="CC157" s="36" t="str">
        <f t="shared" si="335"/>
        <v/>
      </c>
      <c r="CD157" s="36" t="str">
        <f t="shared" si="357"/>
        <v>Andy Booth</v>
      </c>
      <c r="CG157" s="36" t="str">
        <f t="shared" si="337"/>
        <v/>
      </c>
      <c r="CH157" s="36" t="str">
        <f t="shared" si="358"/>
        <v>Andy Booth</v>
      </c>
    </row>
    <row r="158" spans="7:86" s="36" customFormat="1">
      <c r="G158" s="8">
        <f t="shared" si="359"/>
        <v>16</v>
      </c>
      <c r="I158" s="36" t="str">
        <f t="shared" si="339"/>
        <v/>
      </c>
      <c r="J158" s="36" t="str">
        <f t="shared" si="360"/>
        <v>John Hubbard, Greg Irwin</v>
      </c>
      <c r="M158" s="36" t="str">
        <f t="shared" si="301"/>
        <v/>
      </c>
      <c r="N158" s="36" t="str">
        <f t="shared" si="340"/>
        <v/>
      </c>
      <c r="Q158" s="44" t="str">
        <f t="shared" si="303"/>
        <v/>
      </c>
      <c r="R158" s="36" t="str">
        <f t="shared" si="341"/>
        <v>Peter Compton</v>
      </c>
      <c r="U158" s="36" t="str">
        <f t="shared" si="305"/>
        <v/>
      </c>
      <c r="V158" s="36" t="str">
        <f t="shared" si="342"/>
        <v/>
      </c>
      <c r="Y158" s="36" t="str">
        <f t="shared" si="307"/>
        <v/>
      </c>
      <c r="Z158" s="36" t="str">
        <f t="shared" si="343"/>
        <v>Joe Burnett+1</v>
      </c>
      <c r="AC158" s="36" t="str">
        <f t="shared" si="309"/>
        <v/>
      </c>
      <c r="AD158" s="36" t="str">
        <f t="shared" si="344"/>
        <v>Hazel Wisby  +1</v>
      </c>
      <c r="AG158" s="36" t="str">
        <f t="shared" si="311"/>
        <v/>
      </c>
      <c r="AH158" s="36" t="str">
        <f t="shared" si="345"/>
        <v/>
      </c>
      <c r="AK158" s="36" t="str">
        <f t="shared" si="313"/>
        <v/>
      </c>
      <c r="AL158" s="36" t="str">
        <f t="shared" si="346"/>
        <v>Simon Peach</v>
      </c>
      <c r="AO158" s="36" t="str">
        <f t="shared" si="315"/>
        <v/>
      </c>
      <c r="AP158" s="36" t="str">
        <f t="shared" si="347"/>
        <v/>
      </c>
      <c r="AS158" s="36" t="str">
        <f t="shared" si="317"/>
        <v/>
      </c>
      <c r="AT158" s="36" t="str">
        <f t="shared" si="348"/>
        <v/>
      </c>
      <c r="AW158" s="36" t="str">
        <f t="shared" si="319"/>
        <v/>
      </c>
      <c r="AX158" s="36" t="str">
        <f t="shared" si="349"/>
        <v>Andy Booth</v>
      </c>
      <c r="BA158" s="36" t="str">
        <f t="shared" si="321"/>
        <v/>
      </c>
      <c r="BB158" s="36" t="str">
        <f t="shared" si="350"/>
        <v>Brian Kilby (Welwyn)</v>
      </c>
      <c r="BE158" s="36" t="str">
        <f t="shared" si="323"/>
        <v/>
      </c>
      <c r="BF158" s="36" t="str">
        <f t="shared" si="351"/>
        <v/>
      </c>
      <c r="BI158" s="36" t="str">
        <f t="shared" si="325"/>
        <v/>
      </c>
      <c r="BJ158" s="36" t="str">
        <f t="shared" si="352"/>
        <v>Debbie Field</v>
      </c>
      <c r="BM158" s="36" t="str">
        <f t="shared" si="327"/>
        <v/>
      </c>
      <c r="BN158" s="36" t="str">
        <f t="shared" si="353"/>
        <v/>
      </c>
      <c r="BQ158" s="36" t="str">
        <f t="shared" si="329"/>
        <v/>
      </c>
      <c r="BR158" s="36" t="str">
        <f t="shared" si="354"/>
        <v>Ben Jessup</v>
      </c>
      <c r="BU158" s="36" t="str">
        <f t="shared" si="331"/>
        <v/>
      </c>
      <c r="BV158" s="36" t="str">
        <f t="shared" si="355"/>
        <v/>
      </c>
      <c r="BY158" s="36" t="str">
        <f t="shared" si="333"/>
        <v/>
      </c>
      <c r="BZ158" s="36" t="str">
        <f t="shared" si="356"/>
        <v/>
      </c>
      <c r="CC158" s="36" t="str">
        <f t="shared" si="335"/>
        <v/>
      </c>
      <c r="CD158" s="36" t="str">
        <f t="shared" si="357"/>
        <v>Andy Booth</v>
      </c>
      <c r="CG158" s="36" t="str">
        <f t="shared" si="337"/>
        <v/>
      </c>
      <c r="CH158" s="36" t="str">
        <f t="shared" si="358"/>
        <v>Andy Booth</v>
      </c>
    </row>
    <row r="159" spans="7:86" s="36" customFormat="1">
      <c r="G159" s="8">
        <f t="shared" si="359"/>
        <v>17</v>
      </c>
      <c r="I159" s="36" t="str">
        <f t="shared" si="339"/>
        <v/>
      </c>
      <c r="J159" s="36" t="str">
        <f t="shared" si="360"/>
        <v>John Hubbard, Greg Irwin</v>
      </c>
      <c r="M159" s="36" t="str">
        <f t="shared" si="301"/>
        <v/>
      </c>
      <c r="N159" s="36" t="str">
        <f t="shared" si="340"/>
        <v/>
      </c>
      <c r="Q159" s="44" t="str">
        <f t="shared" si="303"/>
        <v/>
      </c>
      <c r="R159" s="36" t="str">
        <f t="shared" si="341"/>
        <v>Peter Compton</v>
      </c>
      <c r="U159" s="36" t="str">
        <f t="shared" si="305"/>
        <v/>
      </c>
      <c r="V159" s="36" t="str">
        <f t="shared" si="342"/>
        <v/>
      </c>
      <c r="Y159" s="36" t="str">
        <f t="shared" si="307"/>
        <v/>
      </c>
      <c r="Z159" s="36" t="str">
        <f t="shared" si="343"/>
        <v>Joe Burnett+1</v>
      </c>
      <c r="AC159" s="36" t="str">
        <f t="shared" si="309"/>
        <v/>
      </c>
      <c r="AD159" s="36" t="str">
        <f t="shared" si="344"/>
        <v>Hazel Wisby  +1</v>
      </c>
      <c r="AG159" s="36" t="str">
        <f t="shared" si="311"/>
        <v/>
      </c>
      <c r="AH159" s="36" t="str">
        <f t="shared" si="345"/>
        <v/>
      </c>
      <c r="AK159" s="36" t="str">
        <f t="shared" si="313"/>
        <v/>
      </c>
      <c r="AL159" s="36" t="str">
        <f t="shared" si="346"/>
        <v>Simon Peach</v>
      </c>
      <c r="AO159" s="36" t="str">
        <f t="shared" si="315"/>
        <v/>
      </c>
      <c r="AP159" s="36" t="str">
        <f t="shared" si="347"/>
        <v/>
      </c>
      <c r="AS159" s="36" t="str">
        <f t="shared" si="317"/>
        <v/>
      </c>
      <c r="AT159" s="36" t="str">
        <f t="shared" si="348"/>
        <v/>
      </c>
      <c r="AW159" s="36" t="str">
        <f t="shared" si="319"/>
        <v/>
      </c>
      <c r="AX159" s="36" t="str">
        <f t="shared" si="349"/>
        <v>Andy Booth</v>
      </c>
      <c r="BA159" s="36" t="str">
        <f t="shared" si="321"/>
        <v/>
      </c>
      <c r="BB159" s="36" t="str">
        <f t="shared" si="350"/>
        <v>Brian Kilby (Welwyn)</v>
      </c>
      <c r="BE159" s="36" t="str">
        <f t="shared" si="323"/>
        <v/>
      </c>
      <c r="BF159" s="36" t="str">
        <f t="shared" si="351"/>
        <v/>
      </c>
      <c r="BI159" s="36" t="str">
        <f t="shared" si="325"/>
        <v/>
      </c>
      <c r="BJ159" s="36" t="str">
        <f t="shared" si="352"/>
        <v>Debbie Field</v>
      </c>
      <c r="BM159" s="36" t="str">
        <f t="shared" si="327"/>
        <v/>
      </c>
      <c r="BN159" s="36" t="str">
        <f t="shared" si="353"/>
        <v/>
      </c>
      <c r="BQ159" s="36" t="str">
        <f t="shared" si="329"/>
        <v/>
      </c>
      <c r="BR159" s="36" t="str">
        <f t="shared" si="354"/>
        <v>Ben Jessup</v>
      </c>
      <c r="BU159" s="36" t="str">
        <f t="shared" si="331"/>
        <v/>
      </c>
      <c r="BV159" s="36" t="str">
        <f t="shared" si="355"/>
        <v/>
      </c>
      <c r="BY159" s="36" t="str">
        <f t="shared" si="333"/>
        <v/>
      </c>
      <c r="BZ159" s="36" t="str">
        <f t="shared" si="356"/>
        <v/>
      </c>
      <c r="CC159" s="36" t="str">
        <f t="shared" si="335"/>
        <v/>
      </c>
      <c r="CD159" s="36" t="str">
        <f t="shared" si="357"/>
        <v>Andy Booth</v>
      </c>
      <c r="CG159" s="36" t="str">
        <f t="shared" si="337"/>
        <v/>
      </c>
      <c r="CH159" s="36" t="str">
        <f t="shared" si="358"/>
        <v>Andy Booth</v>
      </c>
    </row>
    <row r="160" spans="7:86" s="36" customFormat="1">
      <c r="G160" s="8">
        <f t="shared" si="359"/>
        <v>18</v>
      </c>
      <c r="I160" s="36" t="str">
        <f t="shared" si="339"/>
        <v/>
      </c>
      <c r="J160" s="36" t="str">
        <f t="shared" si="360"/>
        <v>John Hubbard, Greg Irwin</v>
      </c>
      <c r="M160" s="36" t="str">
        <f t="shared" si="301"/>
        <v/>
      </c>
      <c r="N160" s="36" t="str">
        <f t="shared" si="340"/>
        <v/>
      </c>
      <c r="Q160" s="44" t="str">
        <f t="shared" si="303"/>
        <v/>
      </c>
      <c r="R160" s="36" t="str">
        <f t="shared" si="341"/>
        <v>Peter Compton</v>
      </c>
      <c r="U160" s="36" t="str">
        <f t="shared" si="305"/>
        <v/>
      </c>
      <c r="V160" s="36" t="str">
        <f t="shared" si="342"/>
        <v/>
      </c>
      <c r="Y160" s="36" t="str">
        <f t="shared" si="307"/>
        <v/>
      </c>
      <c r="Z160" s="36" t="str">
        <f t="shared" si="343"/>
        <v>Joe Burnett+1</v>
      </c>
      <c r="AC160" s="36" t="str">
        <f t="shared" si="309"/>
        <v/>
      </c>
      <c r="AD160" s="36" t="str">
        <f t="shared" si="344"/>
        <v>Hazel Wisby  +1</v>
      </c>
      <c r="AG160" s="36" t="str">
        <f t="shared" si="311"/>
        <v/>
      </c>
      <c r="AH160" s="36" t="str">
        <f t="shared" si="345"/>
        <v/>
      </c>
      <c r="AK160" s="36" t="str">
        <f t="shared" si="313"/>
        <v/>
      </c>
      <c r="AL160" s="36" t="str">
        <f t="shared" si="346"/>
        <v>Simon Peach</v>
      </c>
      <c r="AO160" s="36" t="str">
        <f t="shared" si="315"/>
        <v/>
      </c>
      <c r="AP160" s="36" t="str">
        <f t="shared" si="347"/>
        <v/>
      </c>
      <c r="AS160" s="36" t="str">
        <f t="shared" si="317"/>
        <v/>
      </c>
      <c r="AT160" s="36" t="str">
        <f t="shared" si="348"/>
        <v/>
      </c>
      <c r="AW160" s="36" t="str">
        <f t="shared" si="319"/>
        <v/>
      </c>
      <c r="AX160" s="36" t="str">
        <f t="shared" si="349"/>
        <v>Andy Booth</v>
      </c>
      <c r="BA160" s="36" t="str">
        <f t="shared" si="321"/>
        <v/>
      </c>
      <c r="BB160" s="36" t="str">
        <f t="shared" si="350"/>
        <v>Brian Kilby (Welwyn)</v>
      </c>
      <c r="BE160" s="36" t="str">
        <f t="shared" si="323"/>
        <v/>
      </c>
      <c r="BF160" s="36" t="str">
        <f t="shared" si="351"/>
        <v/>
      </c>
      <c r="BI160" s="36" t="str">
        <f t="shared" si="325"/>
        <v/>
      </c>
      <c r="BJ160" s="36" t="str">
        <f t="shared" si="352"/>
        <v>Debbie Field</v>
      </c>
      <c r="BM160" s="36" t="str">
        <f t="shared" si="327"/>
        <v/>
      </c>
      <c r="BN160" s="36" t="str">
        <f t="shared" si="353"/>
        <v/>
      </c>
      <c r="BQ160" s="36" t="str">
        <f t="shared" si="329"/>
        <v/>
      </c>
      <c r="BR160" s="36" t="str">
        <f t="shared" si="354"/>
        <v>Ben Jessup</v>
      </c>
      <c r="BU160" s="36" t="str">
        <f t="shared" si="331"/>
        <v/>
      </c>
      <c r="BV160" s="36" t="str">
        <f t="shared" si="355"/>
        <v/>
      </c>
      <c r="BY160" s="36" t="str">
        <f t="shared" si="333"/>
        <v/>
      </c>
      <c r="BZ160" s="36" t="str">
        <f t="shared" si="356"/>
        <v/>
      </c>
      <c r="CC160" s="36" t="str">
        <f t="shared" si="335"/>
        <v/>
      </c>
      <c r="CD160" s="36" t="str">
        <f t="shared" si="357"/>
        <v>Andy Booth</v>
      </c>
      <c r="CG160" s="36" t="str">
        <f t="shared" si="337"/>
        <v/>
      </c>
      <c r="CH160" s="36" t="str">
        <f t="shared" si="358"/>
        <v>Andy Booth</v>
      </c>
    </row>
    <row r="161" spans="7:86" s="36" customFormat="1">
      <c r="G161" s="8">
        <f t="shared" si="359"/>
        <v>19</v>
      </c>
      <c r="I161" s="36" t="str">
        <f t="shared" si="339"/>
        <v/>
      </c>
      <c r="J161" s="36" t="str">
        <f t="shared" si="360"/>
        <v>John Hubbard, Greg Irwin</v>
      </c>
      <c r="M161" s="36" t="str">
        <f t="shared" si="301"/>
        <v/>
      </c>
      <c r="N161" s="36" t="str">
        <f t="shared" si="340"/>
        <v/>
      </c>
      <c r="Q161" s="44" t="str">
        <f t="shared" si="303"/>
        <v/>
      </c>
      <c r="R161" s="36" t="str">
        <f t="shared" si="341"/>
        <v>Peter Compton</v>
      </c>
      <c r="U161" s="36" t="str">
        <f t="shared" si="305"/>
        <v/>
      </c>
      <c r="V161" s="36" t="str">
        <f t="shared" si="342"/>
        <v/>
      </c>
      <c r="Y161" s="36" t="str">
        <f t="shared" si="307"/>
        <v/>
      </c>
      <c r="Z161" s="36" t="str">
        <f t="shared" si="343"/>
        <v>Joe Burnett+1</v>
      </c>
      <c r="AC161" s="36" t="str">
        <f t="shared" si="309"/>
        <v/>
      </c>
      <c r="AD161" s="36" t="str">
        <f t="shared" si="344"/>
        <v>Hazel Wisby  +1</v>
      </c>
      <c r="AG161" s="36" t="str">
        <f t="shared" si="311"/>
        <v/>
      </c>
      <c r="AH161" s="36" t="str">
        <f t="shared" si="345"/>
        <v/>
      </c>
      <c r="AK161" s="36" t="str">
        <f t="shared" si="313"/>
        <v/>
      </c>
      <c r="AL161" s="36" t="str">
        <f t="shared" si="346"/>
        <v>Simon Peach</v>
      </c>
      <c r="AO161" s="36" t="str">
        <f t="shared" si="315"/>
        <v/>
      </c>
      <c r="AP161" s="36" t="str">
        <f t="shared" si="347"/>
        <v/>
      </c>
      <c r="AS161" s="36" t="str">
        <f t="shared" si="317"/>
        <v/>
      </c>
      <c r="AT161" s="36" t="str">
        <f t="shared" si="348"/>
        <v/>
      </c>
      <c r="AW161" s="36" t="str">
        <f t="shared" si="319"/>
        <v/>
      </c>
      <c r="AX161" s="36" t="str">
        <f t="shared" si="349"/>
        <v>Andy Booth</v>
      </c>
      <c r="BA161" s="36" t="str">
        <f t="shared" si="321"/>
        <v/>
      </c>
      <c r="BB161" s="36" t="str">
        <f t="shared" si="350"/>
        <v>Brian Kilby (Welwyn)</v>
      </c>
      <c r="BE161" s="36" t="str">
        <f t="shared" si="323"/>
        <v/>
      </c>
      <c r="BF161" s="36" t="str">
        <f t="shared" si="351"/>
        <v/>
      </c>
      <c r="BI161" s="36" t="str">
        <f t="shared" si="325"/>
        <v/>
      </c>
      <c r="BJ161" s="36" t="str">
        <f t="shared" si="352"/>
        <v>Debbie Field</v>
      </c>
      <c r="BM161" s="36" t="str">
        <f t="shared" si="327"/>
        <v/>
      </c>
      <c r="BN161" s="36" t="str">
        <f t="shared" si="353"/>
        <v/>
      </c>
      <c r="BQ161" s="36" t="str">
        <f t="shared" si="329"/>
        <v/>
      </c>
      <c r="BR161" s="36" t="str">
        <f t="shared" si="354"/>
        <v>Ben Jessup</v>
      </c>
      <c r="BU161" s="36" t="str">
        <f t="shared" si="331"/>
        <v/>
      </c>
      <c r="BV161" s="36" t="str">
        <f t="shared" si="355"/>
        <v/>
      </c>
      <c r="BY161" s="36" t="str">
        <f t="shared" si="333"/>
        <v/>
      </c>
      <c r="BZ161" s="36" t="str">
        <f t="shared" si="356"/>
        <v/>
      </c>
      <c r="CC161" s="36" t="str">
        <f t="shared" si="335"/>
        <v/>
      </c>
      <c r="CD161" s="36" t="str">
        <f t="shared" si="357"/>
        <v>Andy Booth</v>
      </c>
      <c r="CG161" s="36" t="str">
        <f t="shared" si="337"/>
        <v/>
      </c>
      <c r="CH161" s="36" t="str">
        <f t="shared" si="358"/>
        <v>Andy Booth</v>
      </c>
    </row>
    <row r="162" spans="7:86" s="36" customFormat="1">
      <c r="G162" s="8">
        <f t="shared" si="359"/>
        <v>20</v>
      </c>
      <c r="I162" s="36" t="str">
        <f t="shared" si="339"/>
        <v/>
      </c>
      <c r="J162" s="36" t="str">
        <f t="shared" si="360"/>
        <v>John Hubbard, Greg Irwin</v>
      </c>
      <c r="M162" s="36" t="str">
        <f t="shared" si="301"/>
        <v/>
      </c>
      <c r="N162" s="36" t="str">
        <f t="shared" si="340"/>
        <v/>
      </c>
      <c r="Q162" s="44" t="str">
        <f t="shared" si="303"/>
        <v/>
      </c>
      <c r="R162" s="36" t="str">
        <f t="shared" si="341"/>
        <v>Peter Compton</v>
      </c>
      <c r="U162" s="36" t="str">
        <f t="shared" si="305"/>
        <v/>
      </c>
      <c r="V162" s="36" t="str">
        <f t="shared" si="342"/>
        <v/>
      </c>
      <c r="Y162" s="36" t="str">
        <f t="shared" si="307"/>
        <v/>
      </c>
      <c r="Z162" s="36" t="str">
        <f t="shared" si="343"/>
        <v>Joe Burnett+1</v>
      </c>
      <c r="AC162" s="36" t="str">
        <f t="shared" si="309"/>
        <v/>
      </c>
      <c r="AD162" s="36" t="str">
        <f t="shared" si="344"/>
        <v>Hazel Wisby  +1</v>
      </c>
      <c r="AG162" s="36" t="str">
        <f t="shared" si="311"/>
        <v/>
      </c>
      <c r="AH162" s="36" t="str">
        <f t="shared" si="345"/>
        <v/>
      </c>
      <c r="AK162" s="36" t="str">
        <f t="shared" si="313"/>
        <v/>
      </c>
      <c r="AL162" s="36" t="str">
        <f t="shared" si="346"/>
        <v>Simon Peach</v>
      </c>
      <c r="AO162" s="36" t="str">
        <f t="shared" si="315"/>
        <v/>
      </c>
      <c r="AP162" s="36" t="str">
        <f t="shared" si="347"/>
        <v/>
      </c>
      <c r="AS162" s="36" t="str">
        <f t="shared" si="317"/>
        <v/>
      </c>
      <c r="AT162" s="36" t="str">
        <f t="shared" si="348"/>
        <v/>
      </c>
      <c r="AW162" s="36" t="str">
        <f t="shared" si="319"/>
        <v/>
      </c>
      <c r="AX162" s="36" t="str">
        <f t="shared" si="349"/>
        <v>Andy Booth</v>
      </c>
      <c r="BA162" s="36" t="str">
        <f t="shared" si="321"/>
        <v/>
      </c>
      <c r="BB162" s="36" t="str">
        <f t="shared" si="350"/>
        <v>Brian Kilby (Welwyn)</v>
      </c>
      <c r="BE162" s="36" t="str">
        <f t="shared" si="323"/>
        <v/>
      </c>
      <c r="BF162" s="36" t="str">
        <f t="shared" si="351"/>
        <v/>
      </c>
      <c r="BI162" s="36" t="str">
        <f t="shared" si="325"/>
        <v/>
      </c>
      <c r="BJ162" s="36" t="str">
        <f t="shared" si="352"/>
        <v>Debbie Field</v>
      </c>
      <c r="BM162" s="36" t="str">
        <f t="shared" si="327"/>
        <v/>
      </c>
      <c r="BN162" s="36" t="str">
        <f t="shared" si="353"/>
        <v/>
      </c>
      <c r="BQ162" s="36" t="str">
        <f t="shared" si="329"/>
        <v/>
      </c>
      <c r="BR162" s="36" t="str">
        <f t="shared" si="354"/>
        <v>Ben Jessup</v>
      </c>
      <c r="BU162" s="36" t="str">
        <f t="shared" si="331"/>
        <v/>
      </c>
      <c r="BV162" s="36" t="str">
        <f t="shared" si="355"/>
        <v/>
      </c>
      <c r="BY162" s="36" t="str">
        <f t="shared" si="333"/>
        <v/>
      </c>
      <c r="BZ162" s="36" t="str">
        <f t="shared" si="356"/>
        <v/>
      </c>
      <c r="CC162" s="36" t="str">
        <f t="shared" si="335"/>
        <v/>
      </c>
      <c r="CD162" s="36" t="str">
        <f t="shared" si="357"/>
        <v>Andy Booth</v>
      </c>
      <c r="CG162" s="36" t="str">
        <f t="shared" si="337"/>
        <v/>
      </c>
      <c r="CH162" s="36" t="str">
        <f t="shared" si="358"/>
        <v>Andy Booth</v>
      </c>
    </row>
    <row r="163" spans="7:86" s="36" customFormat="1">
      <c r="G163" s="8">
        <f t="shared" si="359"/>
        <v>21</v>
      </c>
      <c r="I163" s="36" t="str">
        <f t="shared" si="339"/>
        <v/>
      </c>
      <c r="J163" s="36" t="str">
        <f t="shared" si="360"/>
        <v>John Hubbard, Greg Irwin</v>
      </c>
      <c r="M163" s="36" t="str">
        <f t="shared" si="301"/>
        <v/>
      </c>
      <c r="N163" s="36" t="str">
        <f t="shared" si="340"/>
        <v/>
      </c>
      <c r="Q163" s="44" t="str">
        <f t="shared" si="303"/>
        <v/>
      </c>
      <c r="R163" s="36" t="str">
        <f t="shared" si="341"/>
        <v>Peter Compton</v>
      </c>
      <c r="U163" s="36" t="str">
        <f t="shared" si="305"/>
        <v/>
      </c>
      <c r="V163" s="36" t="str">
        <f t="shared" si="342"/>
        <v/>
      </c>
      <c r="Y163" s="36" t="str">
        <f t="shared" si="307"/>
        <v/>
      </c>
      <c r="Z163" s="36" t="str">
        <f t="shared" si="343"/>
        <v>Joe Burnett+1</v>
      </c>
      <c r="AC163" s="36" t="str">
        <f t="shared" si="309"/>
        <v/>
      </c>
      <c r="AD163" s="36" t="str">
        <f t="shared" si="344"/>
        <v>Hazel Wisby  +1</v>
      </c>
      <c r="AG163" s="36" t="str">
        <f t="shared" si="311"/>
        <v/>
      </c>
      <c r="AH163" s="36" t="str">
        <f t="shared" si="345"/>
        <v/>
      </c>
      <c r="AK163" s="36" t="str">
        <f t="shared" si="313"/>
        <v/>
      </c>
      <c r="AL163" s="36" t="str">
        <f t="shared" si="346"/>
        <v>Simon Peach</v>
      </c>
      <c r="AO163" s="36" t="str">
        <f t="shared" si="315"/>
        <v/>
      </c>
      <c r="AP163" s="36" t="str">
        <f t="shared" si="347"/>
        <v/>
      </c>
      <c r="AS163" s="36" t="str">
        <f t="shared" si="317"/>
        <v/>
      </c>
      <c r="AT163" s="36" t="str">
        <f t="shared" si="348"/>
        <v/>
      </c>
      <c r="AW163" s="36" t="str">
        <f t="shared" si="319"/>
        <v/>
      </c>
      <c r="AX163" s="36" t="str">
        <f t="shared" si="349"/>
        <v>Andy Booth</v>
      </c>
      <c r="BA163" s="36" t="str">
        <f t="shared" si="321"/>
        <v/>
      </c>
      <c r="BB163" s="36" t="str">
        <f t="shared" si="350"/>
        <v>Brian Kilby (Welwyn)</v>
      </c>
      <c r="BE163" s="36" t="str">
        <f t="shared" si="323"/>
        <v/>
      </c>
      <c r="BF163" s="36" t="str">
        <f t="shared" si="351"/>
        <v/>
      </c>
      <c r="BI163" s="36" t="str">
        <f t="shared" si="325"/>
        <v/>
      </c>
      <c r="BJ163" s="36" t="str">
        <f t="shared" si="352"/>
        <v>Debbie Field</v>
      </c>
      <c r="BM163" s="36" t="str">
        <f t="shared" si="327"/>
        <v/>
      </c>
      <c r="BN163" s="36" t="str">
        <f t="shared" si="353"/>
        <v/>
      </c>
      <c r="BQ163" s="36" t="str">
        <f t="shared" si="329"/>
        <v/>
      </c>
      <c r="BR163" s="36" t="str">
        <f t="shared" si="354"/>
        <v>Ben Jessup</v>
      </c>
      <c r="BU163" s="36" t="str">
        <f t="shared" si="331"/>
        <v/>
      </c>
      <c r="BV163" s="36" t="str">
        <f t="shared" si="355"/>
        <v/>
      </c>
      <c r="BY163" s="36" t="str">
        <f t="shared" si="333"/>
        <v/>
      </c>
      <c r="BZ163" s="36" t="str">
        <f t="shared" si="356"/>
        <v/>
      </c>
      <c r="CC163" s="36" t="str">
        <f t="shared" si="335"/>
        <v/>
      </c>
      <c r="CD163" s="36" t="str">
        <f t="shared" si="357"/>
        <v>Andy Booth</v>
      </c>
      <c r="CG163" s="36" t="str">
        <f t="shared" si="337"/>
        <v/>
      </c>
      <c r="CH163" s="36" t="str">
        <f t="shared" si="358"/>
        <v>Andy Booth</v>
      </c>
    </row>
    <row r="164" spans="7:86" s="36" customFormat="1">
      <c r="G164" s="8">
        <f t="shared" si="359"/>
        <v>22</v>
      </c>
      <c r="I164" s="36" t="str">
        <f t="shared" si="339"/>
        <v/>
      </c>
      <c r="J164" s="36" t="str">
        <f t="shared" si="360"/>
        <v>John Hubbard, Greg Irwin</v>
      </c>
      <c r="M164" s="36" t="str">
        <f t="shared" si="301"/>
        <v/>
      </c>
      <c r="N164" s="36" t="str">
        <f t="shared" si="340"/>
        <v/>
      </c>
      <c r="Q164" s="44" t="str">
        <f t="shared" si="303"/>
        <v/>
      </c>
      <c r="R164" s="36" t="str">
        <f t="shared" si="341"/>
        <v>Peter Compton</v>
      </c>
      <c r="U164" s="36" t="str">
        <f t="shared" si="305"/>
        <v/>
      </c>
      <c r="V164" s="36" t="str">
        <f t="shared" si="342"/>
        <v/>
      </c>
      <c r="Y164" s="36" t="str">
        <f t="shared" si="307"/>
        <v/>
      </c>
      <c r="Z164" s="36" t="str">
        <f t="shared" si="343"/>
        <v>Joe Burnett+1</v>
      </c>
      <c r="AC164" s="36" t="str">
        <f t="shared" si="309"/>
        <v/>
      </c>
      <c r="AD164" s="36" t="str">
        <f t="shared" si="344"/>
        <v>Hazel Wisby  +1</v>
      </c>
      <c r="AG164" s="36" t="str">
        <f t="shared" si="311"/>
        <v/>
      </c>
      <c r="AH164" s="36" t="str">
        <f t="shared" si="345"/>
        <v/>
      </c>
      <c r="AK164" s="36" t="str">
        <f t="shared" si="313"/>
        <v/>
      </c>
      <c r="AL164" s="36" t="str">
        <f t="shared" si="346"/>
        <v>Simon Peach</v>
      </c>
      <c r="AO164" s="36" t="str">
        <f t="shared" si="315"/>
        <v/>
      </c>
      <c r="AP164" s="36" t="str">
        <f t="shared" si="347"/>
        <v/>
      </c>
      <c r="AS164" s="36" t="str">
        <f t="shared" si="317"/>
        <v/>
      </c>
      <c r="AT164" s="36" t="str">
        <f t="shared" si="348"/>
        <v/>
      </c>
      <c r="AW164" s="36" t="str">
        <f t="shared" si="319"/>
        <v/>
      </c>
      <c r="AX164" s="36" t="str">
        <f t="shared" si="349"/>
        <v>Andy Booth</v>
      </c>
      <c r="BA164" s="36" t="str">
        <f t="shared" si="321"/>
        <v/>
      </c>
      <c r="BB164" s="36" t="str">
        <f t="shared" si="350"/>
        <v>Brian Kilby (Welwyn)</v>
      </c>
      <c r="BE164" s="36" t="str">
        <f t="shared" si="323"/>
        <v/>
      </c>
      <c r="BF164" s="36" t="str">
        <f t="shared" si="351"/>
        <v/>
      </c>
      <c r="BI164" s="36" t="str">
        <f t="shared" si="325"/>
        <v/>
      </c>
      <c r="BJ164" s="36" t="str">
        <f t="shared" si="352"/>
        <v>Debbie Field</v>
      </c>
      <c r="BM164" s="36" t="str">
        <f t="shared" si="327"/>
        <v/>
      </c>
      <c r="BN164" s="36" t="str">
        <f t="shared" si="353"/>
        <v/>
      </c>
      <c r="BQ164" s="36" t="str">
        <f t="shared" si="329"/>
        <v/>
      </c>
      <c r="BR164" s="36" t="str">
        <f t="shared" si="354"/>
        <v>Ben Jessup</v>
      </c>
      <c r="BU164" s="36" t="str">
        <f t="shared" si="331"/>
        <v/>
      </c>
      <c r="BV164" s="36" t="str">
        <f t="shared" si="355"/>
        <v/>
      </c>
      <c r="BY164" s="36" t="str">
        <f t="shared" si="333"/>
        <v/>
      </c>
      <c r="BZ164" s="36" t="str">
        <f t="shared" si="356"/>
        <v/>
      </c>
      <c r="CC164" s="36" t="str">
        <f t="shared" si="335"/>
        <v/>
      </c>
      <c r="CD164" s="36" t="str">
        <f t="shared" si="357"/>
        <v>Andy Booth</v>
      </c>
      <c r="CG164" s="36" t="str">
        <f t="shared" si="337"/>
        <v/>
      </c>
      <c r="CH164" s="36" t="str">
        <f t="shared" si="358"/>
        <v>Andy Booth</v>
      </c>
    </row>
    <row r="165" spans="7:86" s="36" customFormat="1">
      <c r="G165" s="8">
        <f t="shared" si="359"/>
        <v>23</v>
      </c>
      <c r="I165" s="36" t="str">
        <f t="shared" si="339"/>
        <v/>
      </c>
      <c r="J165" s="36" t="str">
        <f t="shared" si="360"/>
        <v>John Hubbard, Greg Irwin</v>
      </c>
      <c r="M165" s="36" t="str">
        <f t="shared" si="301"/>
        <v/>
      </c>
      <c r="N165" s="36" t="str">
        <f t="shared" si="340"/>
        <v/>
      </c>
      <c r="Q165" s="44" t="str">
        <f t="shared" si="303"/>
        <v/>
      </c>
      <c r="R165" s="36" t="str">
        <f t="shared" si="341"/>
        <v>Peter Compton</v>
      </c>
      <c r="U165" s="36" t="str">
        <f t="shared" si="305"/>
        <v/>
      </c>
      <c r="V165" s="36" t="str">
        <f t="shared" si="342"/>
        <v/>
      </c>
      <c r="Y165" s="36" t="str">
        <f t="shared" si="307"/>
        <v/>
      </c>
      <c r="Z165" s="36" t="str">
        <f t="shared" si="343"/>
        <v>Joe Burnett+1</v>
      </c>
      <c r="AC165" s="36" t="str">
        <f t="shared" si="309"/>
        <v/>
      </c>
      <c r="AD165" s="36" t="str">
        <f t="shared" si="344"/>
        <v>Hazel Wisby  +1</v>
      </c>
      <c r="AG165" s="36" t="str">
        <f t="shared" si="311"/>
        <v/>
      </c>
      <c r="AH165" s="36" t="str">
        <f t="shared" si="345"/>
        <v/>
      </c>
      <c r="AK165" s="36" t="str">
        <f t="shared" si="313"/>
        <v/>
      </c>
      <c r="AL165" s="36" t="str">
        <f t="shared" si="346"/>
        <v>Simon Peach</v>
      </c>
      <c r="AO165" s="36" t="str">
        <f t="shared" si="315"/>
        <v/>
      </c>
      <c r="AP165" s="36" t="str">
        <f t="shared" si="347"/>
        <v/>
      </c>
      <c r="AS165" s="36" t="str">
        <f t="shared" si="317"/>
        <v/>
      </c>
      <c r="AT165" s="36" t="str">
        <f t="shared" si="348"/>
        <v/>
      </c>
      <c r="AW165" s="36" t="str">
        <f t="shared" si="319"/>
        <v/>
      </c>
      <c r="AX165" s="36" t="str">
        <f t="shared" si="349"/>
        <v>Andy Booth</v>
      </c>
      <c r="BA165" s="36" t="str">
        <f t="shared" si="321"/>
        <v/>
      </c>
      <c r="BB165" s="36" t="str">
        <f t="shared" si="350"/>
        <v>Brian Kilby (Welwyn)</v>
      </c>
      <c r="BE165" s="36" t="str">
        <f t="shared" si="323"/>
        <v/>
      </c>
      <c r="BF165" s="36" t="str">
        <f t="shared" si="351"/>
        <v/>
      </c>
      <c r="BI165" s="36" t="str">
        <f t="shared" si="325"/>
        <v/>
      </c>
      <c r="BJ165" s="36" t="str">
        <f t="shared" si="352"/>
        <v>Debbie Field</v>
      </c>
      <c r="BM165" s="36" t="str">
        <f t="shared" si="327"/>
        <v/>
      </c>
      <c r="BN165" s="36" t="str">
        <f t="shared" si="353"/>
        <v/>
      </c>
      <c r="BQ165" s="36" t="str">
        <f t="shared" si="329"/>
        <v/>
      </c>
      <c r="BR165" s="36" t="str">
        <f t="shared" si="354"/>
        <v>Ben Jessup</v>
      </c>
      <c r="BU165" s="36" t="str">
        <f t="shared" si="331"/>
        <v/>
      </c>
      <c r="BV165" s="36" t="str">
        <f t="shared" si="355"/>
        <v/>
      </c>
      <c r="BY165" s="36" t="str">
        <f t="shared" si="333"/>
        <v/>
      </c>
      <c r="BZ165" s="36" t="str">
        <f t="shared" si="356"/>
        <v/>
      </c>
      <c r="CC165" s="36" t="str">
        <f t="shared" si="335"/>
        <v/>
      </c>
      <c r="CD165" s="36" t="str">
        <f t="shared" si="357"/>
        <v>Andy Booth</v>
      </c>
      <c r="CG165" s="36" t="str">
        <f t="shared" si="337"/>
        <v/>
      </c>
      <c r="CH165" s="36" t="str">
        <f t="shared" si="358"/>
        <v>Andy Booth</v>
      </c>
    </row>
    <row r="166" spans="7:86" s="36" customFormat="1">
      <c r="G166" s="8">
        <f t="shared" si="359"/>
        <v>24</v>
      </c>
      <c r="I166" s="36" t="str">
        <f t="shared" si="339"/>
        <v/>
      </c>
      <c r="J166" s="36" t="str">
        <f t="shared" si="360"/>
        <v>John Hubbard, Greg Irwin</v>
      </c>
      <c r="M166" s="36" t="str">
        <f t="shared" si="301"/>
        <v/>
      </c>
      <c r="N166" s="36" t="str">
        <f t="shared" si="340"/>
        <v/>
      </c>
      <c r="Q166" s="44" t="str">
        <f t="shared" si="303"/>
        <v/>
      </c>
      <c r="R166" s="36" t="str">
        <f t="shared" si="341"/>
        <v>Peter Compton</v>
      </c>
      <c r="U166" s="36" t="str">
        <f t="shared" si="305"/>
        <v/>
      </c>
      <c r="V166" s="36" t="str">
        <f t="shared" si="342"/>
        <v/>
      </c>
      <c r="Y166" s="36" t="str">
        <f t="shared" si="307"/>
        <v/>
      </c>
      <c r="Z166" s="36" t="str">
        <f t="shared" si="343"/>
        <v>Joe Burnett+1</v>
      </c>
      <c r="AC166" s="36" t="str">
        <f t="shared" si="309"/>
        <v/>
      </c>
      <c r="AD166" s="36" t="str">
        <f t="shared" si="344"/>
        <v>Hazel Wisby  +1</v>
      </c>
      <c r="AG166" s="36" t="str">
        <f t="shared" si="311"/>
        <v/>
      </c>
      <c r="AH166" s="36" t="str">
        <f t="shared" si="345"/>
        <v/>
      </c>
      <c r="AK166" s="36" t="str">
        <f t="shared" si="313"/>
        <v/>
      </c>
      <c r="AL166" s="36" t="str">
        <f t="shared" si="346"/>
        <v>Simon Peach</v>
      </c>
      <c r="AO166" s="36" t="str">
        <f t="shared" si="315"/>
        <v/>
      </c>
      <c r="AP166" s="36" t="str">
        <f t="shared" si="347"/>
        <v/>
      </c>
      <c r="AS166" s="36" t="str">
        <f t="shared" si="317"/>
        <v/>
      </c>
      <c r="AT166" s="36" t="str">
        <f t="shared" si="348"/>
        <v/>
      </c>
      <c r="AW166" s="36" t="str">
        <f t="shared" si="319"/>
        <v/>
      </c>
      <c r="AX166" s="36" t="str">
        <f t="shared" si="349"/>
        <v>Andy Booth</v>
      </c>
      <c r="BA166" s="36" t="str">
        <f t="shared" si="321"/>
        <v/>
      </c>
      <c r="BB166" s="36" t="str">
        <f t="shared" si="350"/>
        <v>Brian Kilby (Welwyn)</v>
      </c>
      <c r="BE166" s="36" t="str">
        <f t="shared" si="323"/>
        <v/>
      </c>
      <c r="BF166" s="36" t="str">
        <f t="shared" si="351"/>
        <v/>
      </c>
      <c r="BI166" s="36" t="str">
        <f t="shared" si="325"/>
        <v/>
      </c>
      <c r="BJ166" s="36" t="str">
        <f t="shared" si="352"/>
        <v>Debbie Field</v>
      </c>
      <c r="BM166" s="36" t="str">
        <f t="shared" si="327"/>
        <v/>
      </c>
      <c r="BN166" s="36" t="str">
        <f t="shared" si="353"/>
        <v/>
      </c>
      <c r="BQ166" s="36" t="str">
        <f t="shared" si="329"/>
        <v/>
      </c>
      <c r="BR166" s="36" t="str">
        <f t="shared" si="354"/>
        <v>Ben Jessup</v>
      </c>
      <c r="BU166" s="36" t="str">
        <f t="shared" si="331"/>
        <v/>
      </c>
      <c r="BV166" s="36" t="str">
        <f t="shared" si="355"/>
        <v/>
      </c>
      <c r="BY166" s="36" t="str">
        <f t="shared" si="333"/>
        <v/>
      </c>
      <c r="BZ166" s="36" t="str">
        <f t="shared" si="356"/>
        <v/>
      </c>
      <c r="CC166" s="36" t="str">
        <f t="shared" si="335"/>
        <v/>
      </c>
      <c r="CD166" s="36" t="str">
        <f t="shared" si="357"/>
        <v>Andy Booth</v>
      </c>
      <c r="CG166" s="36" t="str">
        <f t="shared" si="337"/>
        <v/>
      </c>
      <c r="CH166" s="36" t="str">
        <f t="shared" si="358"/>
        <v>Andy Booth</v>
      </c>
    </row>
    <row r="167" spans="7:86" s="36" customFormat="1">
      <c r="G167" s="8">
        <f t="shared" si="359"/>
        <v>25</v>
      </c>
      <c r="I167" s="36" t="str">
        <f t="shared" si="339"/>
        <v/>
      </c>
      <c r="J167" s="36" t="str">
        <f t="shared" si="360"/>
        <v>John Hubbard, Greg Irwin</v>
      </c>
      <c r="M167" s="36" t="str">
        <f t="shared" si="301"/>
        <v/>
      </c>
      <c r="N167" s="36" t="str">
        <f t="shared" si="340"/>
        <v/>
      </c>
      <c r="Q167" s="44" t="str">
        <f t="shared" si="303"/>
        <v/>
      </c>
      <c r="R167" s="36" t="str">
        <f t="shared" si="341"/>
        <v>Peter Compton</v>
      </c>
      <c r="U167" s="36" t="str">
        <f t="shared" si="305"/>
        <v/>
      </c>
      <c r="V167" s="36" t="str">
        <f t="shared" si="342"/>
        <v/>
      </c>
      <c r="Y167" s="36" t="str">
        <f t="shared" si="307"/>
        <v/>
      </c>
      <c r="Z167" s="36" t="str">
        <f t="shared" si="343"/>
        <v>Joe Burnett+1</v>
      </c>
      <c r="AC167" s="36" t="str">
        <f t="shared" si="309"/>
        <v/>
      </c>
      <c r="AD167" s="36" t="str">
        <f t="shared" si="344"/>
        <v>Hazel Wisby  +1</v>
      </c>
      <c r="AG167" s="36" t="str">
        <f t="shared" si="311"/>
        <v/>
      </c>
      <c r="AH167" s="36" t="str">
        <f t="shared" si="345"/>
        <v/>
      </c>
      <c r="AK167" s="36" t="str">
        <f t="shared" si="313"/>
        <v/>
      </c>
      <c r="AL167" s="36" t="str">
        <f t="shared" si="346"/>
        <v>Simon Peach</v>
      </c>
      <c r="AO167" s="36" t="str">
        <f t="shared" si="315"/>
        <v/>
      </c>
      <c r="AP167" s="36" t="str">
        <f t="shared" si="347"/>
        <v/>
      </c>
      <c r="AS167" s="36" t="str">
        <f t="shared" si="317"/>
        <v/>
      </c>
      <c r="AT167" s="36" t="str">
        <f t="shared" si="348"/>
        <v/>
      </c>
      <c r="AW167" s="36" t="str">
        <f t="shared" si="319"/>
        <v/>
      </c>
      <c r="AX167" s="36" t="str">
        <f t="shared" si="349"/>
        <v>Andy Booth</v>
      </c>
      <c r="BA167" s="36" t="str">
        <f t="shared" si="321"/>
        <v/>
      </c>
      <c r="BB167" s="36" t="str">
        <f t="shared" si="350"/>
        <v>Brian Kilby (Welwyn)</v>
      </c>
      <c r="BE167" s="36" t="str">
        <f t="shared" si="323"/>
        <v/>
      </c>
      <c r="BF167" s="36" t="str">
        <f t="shared" si="351"/>
        <v/>
      </c>
      <c r="BI167" s="36" t="str">
        <f t="shared" si="325"/>
        <v/>
      </c>
      <c r="BJ167" s="36" t="str">
        <f t="shared" si="352"/>
        <v>Debbie Field</v>
      </c>
      <c r="BM167" s="36" t="str">
        <f t="shared" si="327"/>
        <v/>
      </c>
      <c r="BN167" s="36" t="str">
        <f t="shared" si="353"/>
        <v/>
      </c>
      <c r="BQ167" s="36" t="str">
        <f t="shared" si="329"/>
        <v/>
      </c>
      <c r="BR167" s="36" t="str">
        <f t="shared" si="354"/>
        <v>Ben Jessup</v>
      </c>
      <c r="BU167" s="36" t="str">
        <f t="shared" si="331"/>
        <v/>
      </c>
      <c r="BV167" s="36" t="str">
        <f t="shared" si="355"/>
        <v/>
      </c>
      <c r="BY167" s="36" t="str">
        <f t="shared" si="333"/>
        <v/>
      </c>
      <c r="BZ167" s="36" t="str">
        <f t="shared" si="356"/>
        <v/>
      </c>
      <c r="CC167" s="36" t="str">
        <f t="shared" si="335"/>
        <v/>
      </c>
      <c r="CD167" s="36" t="str">
        <f t="shared" si="357"/>
        <v>Andy Booth</v>
      </c>
      <c r="CG167" s="36" t="str">
        <f t="shared" si="337"/>
        <v/>
      </c>
      <c r="CH167" s="36" t="str">
        <f t="shared" si="358"/>
        <v>Andy Booth</v>
      </c>
    </row>
    <row r="168" spans="7:86" s="36" customFormat="1">
      <c r="G168" s="8">
        <f t="shared" si="359"/>
        <v>26</v>
      </c>
      <c r="I168" s="36" t="str">
        <f t="shared" si="339"/>
        <v/>
      </c>
      <c r="J168" s="36" t="str">
        <f t="shared" si="360"/>
        <v>John Hubbard, Greg Irwin</v>
      </c>
      <c r="M168" s="36" t="str">
        <f t="shared" si="301"/>
        <v/>
      </c>
      <c r="N168" s="36" t="str">
        <f t="shared" si="340"/>
        <v/>
      </c>
      <c r="Q168" s="44" t="str">
        <f t="shared" si="303"/>
        <v/>
      </c>
      <c r="R168" s="36" t="str">
        <f t="shared" si="341"/>
        <v>Peter Compton</v>
      </c>
      <c r="U168" s="36" t="str">
        <f t="shared" si="305"/>
        <v/>
      </c>
      <c r="V168" s="36" t="str">
        <f t="shared" si="342"/>
        <v/>
      </c>
      <c r="Y168" s="36" t="str">
        <f t="shared" si="307"/>
        <v/>
      </c>
      <c r="Z168" s="36" t="str">
        <f t="shared" si="343"/>
        <v>Joe Burnett+1</v>
      </c>
      <c r="AC168" s="36" t="str">
        <f t="shared" si="309"/>
        <v/>
      </c>
      <c r="AD168" s="36" t="str">
        <f t="shared" si="344"/>
        <v>Hazel Wisby  +1</v>
      </c>
      <c r="AG168" s="36" t="str">
        <f t="shared" si="311"/>
        <v/>
      </c>
      <c r="AH168" s="36" t="str">
        <f t="shared" si="345"/>
        <v/>
      </c>
      <c r="AK168" s="36" t="str">
        <f t="shared" si="313"/>
        <v/>
      </c>
      <c r="AL168" s="36" t="str">
        <f t="shared" si="346"/>
        <v>Simon Peach</v>
      </c>
      <c r="AO168" s="36" t="str">
        <f t="shared" si="315"/>
        <v/>
      </c>
      <c r="AP168" s="36" t="str">
        <f t="shared" si="347"/>
        <v/>
      </c>
      <c r="AS168" s="36" t="str">
        <f t="shared" si="317"/>
        <v/>
      </c>
      <c r="AT168" s="36" t="str">
        <f t="shared" si="348"/>
        <v/>
      </c>
      <c r="AW168" s="36" t="str">
        <f t="shared" si="319"/>
        <v/>
      </c>
      <c r="AX168" s="36" t="str">
        <f t="shared" si="349"/>
        <v>Andy Booth</v>
      </c>
      <c r="BA168" s="36" t="str">
        <f t="shared" si="321"/>
        <v/>
      </c>
      <c r="BB168" s="36" t="str">
        <f t="shared" si="350"/>
        <v>Brian Kilby (Welwyn)</v>
      </c>
      <c r="BE168" s="36" t="str">
        <f t="shared" si="323"/>
        <v/>
      </c>
      <c r="BF168" s="36" t="str">
        <f t="shared" si="351"/>
        <v/>
      </c>
      <c r="BI168" s="36" t="str">
        <f t="shared" si="325"/>
        <v/>
      </c>
      <c r="BJ168" s="36" t="str">
        <f t="shared" si="352"/>
        <v>Debbie Field</v>
      </c>
      <c r="BM168" s="36" t="str">
        <f t="shared" si="327"/>
        <v/>
      </c>
      <c r="BN168" s="36" t="str">
        <f t="shared" si="353"/>
        <v/>
      </c>
      <c r="BQ168" s="36" t="str">
        <f t="shared" si="329"/>
        <v/>
      </c>
      <c r="BR168" s="36" t="str">
        <f t="shared" si="354"/>
        <v>Ben Jessup</v>
      </c>
      <c r="BU168" s="36" t="str">
        <f t="shared" si="331"/>
        <v/>
      </c>
      <c r="BV168" s="36" t="str">
        <f t="shared" si="355"/>
        <v/>
      </c>
      <c r="BY168" s="36" t="str">
        <f t="shared" si="333"/>
        <v/>
      </c>
      <c r="BZ168" s="36" t="str">
        <f t="shared" si="356"/>
        <v/>
      </c>
      <c r="CC168" s="36" t="str">
        <f t="shared" si="335"/>
        <v/>
      </c>
      <c r="CD168" s="36" t="str">
        <f t="shared" si="357"/>
        <v>Andy Booth</v>
      </c>
      <c r="CG168" s="36" t="str">
        <f t="shared" si="337"/>
        <v/>
      </c>
      <c r="CH168" s="36" t="str">
        <f t="shared" si="358"/>
        <v>Andy Booth</v>
      </c>
    </row>
    <row r="169" spans="7:86" s="36" customFormat="1">
      <c r="G169" s="8">
        <f t="shared" si="359"/>
        <v>27</v>
      </c>
      <c r="I169" s="36" t="str">
        <f t="shared" si="339"/>
        <v/>
      </c>
      <c r="J169" s="36" t="str">
        <f t="shared" si="360"/>
        <v>John Hubbard, Greg Irwin</v>
      </c>
      <c r="M169" s="36" t="str">
        <f t="shared" si="301"/>
        <v/>
      </c>
      <c r="N169" s="36" t="str">
        <f t="shared" si="340"/>
        <v/>
      </c>
      <c r="Q169" s="44" t="str">
        <f t="shared" si="303"/>
        <v/>
      </c>
      <c r="R169" s="36" t="str">
        <f t="shared" si="341"/>
        <v>Peter Compton</v>
      </c>
      <c r="U169" s="36" t="str">
        <f t="shared" si="305"/>
        <v/>
      </c>
      <c r="V169" s="36" t="str">
        <f t="shared" si="342"/>
        <v/>
      </c>
      <c r="Y169" s="36" t="str">
        <f t="shared" si="307"/>
        <v/>
      </c>
      <c r="Z169" s="36" t="str">
        <f t="shared" si="343"/>
        <v>Joe Burnett+1</v>
      </c>
      <c r="AC169" s="36" t="str">
        <f t="shared" si="309"/>
        <v/>
      </c>
      <c r="AD169" s="36" t="str">
        <f t="shared" si="344"/>
        <v>Hazel Wisby  +1</v>
      </c>
      <c r="AG169" s="36" t="str">
        <f t="shared" si="311"/>
        <v/>
      </c>
      <c r="AH169" s="36" t="str">
        <f t="shared" si="345"/>
        <v/>
      </c>
      <c r="AK169" s="36" t="str">
        <f t="shared" si="313"/>
        <v/>
      </c>
      <c r="AL169" s="36" t="str">
        <f t="shared" si="346"/>
        <v>Simon Peach</v>
      </c>
      <c r="AO169" s="36" t="str">
        <f t="shared" si="315"/>
        <v/>
      </c>
      <c r="AP169" s="36" t="str">
        <f t="shared" si="347"/>
        <v/>
      </c>
      <c r="AS169" s="36" t="str">
        <f t="shared" si="317"/>
        <v/>
      </c>
      <c r="AT169" s="36" t="str">
        <f t="shared" si="348"/>
        <v/>
      </c>
      <c r="AW169" s="36" t="str">
        <f t="shared" si="319"/>
        <v/>
      </c>
      <c r="AX169" s="36" t="str">
        <f t="shared" si="349"/>
        <v>Andy Booth</v>
      </c>
      <c r="BA169" s="36" t="str">
        <f t="shared" si="321"/>
        <v/>
      </c>
      <c r="BB169" s="36" t="str">
        <f t="shared" si="350"/>
        <v>Brian Kilby (Welwyn)</v>
      </c>
      <c r="BE169" s="36" t="str">
        <f t="shared" si="323"/>
        <v/>
      </c>
      <c r="BF169" s="36" t="str">
        <f t="shared" si="351"/>
        <v/>
      </c>
      <c r="BI169" s="36" t="str">
        <f t="shared" si="325"/>
        <v/>
      </c>
      <c r="BJ169" s="36" t="str">
        <f t="shared" si="352"/>
        <v>Debbie Field</v>
      </c>
      <c r="BM169" s="36" t="str">
        <f t="shared" si="327"/>
        <v/>
      </c>
      <c r="BN169" s="36" t="str">
        <f t="shared" si="353"/>
        <v/>
      </c>
      <c r="BQ169" s="36" t="str">
        <f t="shared" si="329"/>
        <v/>
      </c>
      <c r="BR169" s="36" t="str">
        <f t="shared" si="354"/>
        <v>Ben Jessup</v>
      </c>
      <c r="BU169" s="36" t="str">
        <f t="shared" si="331"/>
        <v/>
      </c>
      <c r="BV169" s="36" t="str">
        <f t="shared" si="355"/>
        <v/>
      </c>
      <c r="BY169" s="36" t="str">
        <f t="shared" si="333"/>
        <v/>
      </c>
      <c r="BZ169" s="36" t="str">
        <f t="shared" si="356"/>
        <v/>
      </c>
      <c r="CC169" s="36" t="str">
        <f t="shared" si="335"/>
        <v/>
      </c>
      <c r="CD169" s="36" t="str">
        <f t="shared" si="357"/>
        <v>Andy Booth</v>
      </c>
      <c r="CG169" s="36" t="str">
        <f t="shared" si="337"/>
        <v/>
      </c>
      <c r="CH169" s="36" t="str">
        <f t="shared" si="358"/>
        <v>Andy Booth</v>
      </c>
    </row>
    <row r="170" spans="7:86" s="36" customFormat="1">
      <c r="G170" s="8">
        <f t="shared" si="359"/>
        <v>28</v>
      </c>
      <c r="I170" s="36" t="str">
        <f t="shared" si="339"/>
        <v/>
      </c>
      <c r="J170" s="36" t="str">
        <f t="shared" si="360"/>
        <v>John Hubbard, Greg Irwin</v>
      </c>
      <c r="M170" s="36" t="str">
        <f t="shared" si="301"/>
        <v/>
      </c>
      <c r="N170" s="36" t="str">
        <f t="shared" si="340"/>
        <v/>
      </c>
      <c r="Q170" s="44" t="str">
        <f t="shared" si="303"/>
        <v/>
      </c>
      <c r="R170" s="36" t="str">
        <f t="shared" si="341"/>
        <v>Peter Compton</v>
      </c>
      <c r="U170" s="36" t="str">
        <f t="shared" si="305"/>
        <v/>
      </c>
      <c r="V170" s="36" t="str">
        <f t="shared" si="342"/>
        <v/>
      </c>
      <c r="Y170" s="36" t="str">
        <f t="shared" si="307"/>
        <v/>
      </c>
      <c r="Z170" s="36" t="str">
        <f t="shared" si="343"/>
        <v>Joe Burnett+1</v>
      </c>
      <c r="AC170" s="36" t="str">
        <f t="shared" si="309"/>
        <v/>
      </c>
      <c r="AD170" s="36" t="str">
        <f t="shared" si="344"/>
        <v>Hazel Wisby  +1</v>
      </c>
      <c r="AG170" s="36" t="str">
        <f t="shared" si="311"/>
        <v/>
      </c>
      <c r="AH170" s="36" t="str">
        <f t="shared" si="345"/>
        <v/>
      </c>
      <c r="AK170" s="36" t="str">
        <f t="shared" si="313"/>
        <v/>
      </c>
      <c r="AL170" s="36" t="str">
        <f t="shared" si="346"/>
        <v>Simon Peach</v>
      </c>
      <c r="AO170" s="36" t="str">
        <f t="shared" si="315"/>
        <v/>
      </c>
      <c r="AP170" s="36" t="str">
        <f t="shared" si="347"/>
        <v/>
      </c>
      <c r="AS170" s="36" t="str">
        <f t="shared" si="317"/>
        <v/>
      </c>
      <c r="AT170" s="36" t="str">
        <f t="shared" si="348"/>
        <v/>
      </c>
      <c r="AW170" s="36" t="str">
        <f t="shared" si="319"/>
        <v/>
      </c>
      <c r="AX170" s="36" t="str">
        <f t="shared" si="349"/>
        <v>Andy Booth</v>
      </c>
      <c r="BA170" s="36" t="str">
        <f t="shared" si="321"/>
        <v/>
      </c>
      <c r="BB170" s="36" t="str">
        <f t="shared" si="350"/>
        <v>Brian Kilby (Welwyn)</v>
      </c>
      <c r="BE170" s="36" t="str">
        <f t="shared" si="323"/>
        <v/>
      </c>
      <c r="BF170" s="36" t="str">
        <f t="shared" si="351"/>
        <v/>
      </c>
      <c r="BI170" s="36" t="str">
        <f t="shared" si="325"/>
        <v/>
      </c>
      <c r="BJ170" s="36" t="str">
        <f t="shared" si="352"/>
        <v>Debbie Field</v>
      </c>
      <c r="BM170" s="36" t="str">
        <f t="shared" si="327"/>
        <v/>
      </c>
      <c r="BN170" s="36" t="str">
        <f t="shared" si="353"/>
        <v/>
      </c>
      <c r="BQ170" s="36" t="str">
        <f t="shared" si="329"/>
        <v/>
      </c>
      <c r="BR170" s="36" t="str">
        <f t="shared" si="354"/>
        <v>Ben Jessup</v>
      </c>
      <c r="BU170" s="36" t="str">
        <f t="shared" si="331"/>
        <v/>
      </c>
      <c r="BV170" s="36" t="str">
        <f t="shared" si="355"/>
        <v/>
      </c>
      <c r="BY170" s="36" t="str">
        <f t="shared" si="333"/>
        <v/>
      </c>
      <c r="BZ170" s="36" t="str">
        <f t="shared" si="356"/>
        <v/>
      </c>
      <c r="CC170" s="36" t="str">
        <f t="shared" si="335"/>
        <v/>
      </c>
      <c r="CD170" s="36" t="str">
        <f t="shared" si="357"/>
        <v>Andy Booth</v>
      </c>
      <c r="CG170" s="36" t="str">
        <f t="shared" si="337"/>
        <v/>
      </c>
      <c r="CH170" s="36" t="str">
        <f t="shared" si="358"/>
        <v>Andy Booth</v>
      </c>
    </row>
    <row r="171" spans="7:86" s="36" customFormat="1">
      <c r="G171" s="8">
        <f t="shared" si="359"/>
        <v>29</v>
      </c>
      <c r="I171" s="36" t="str">
        <f t="shared" si="339"/>
        <v/>
      </c>
      <c r="J171" s="36" t="str">
        <f t="shared" si="360"/>
        <v>John Hubbard, Greg Irwin</v>
      </c>
      <c r="M171" s="36" t="str">
        <f t="shared" si="301"/>
        <v/>
      </c>
      <c r="N171" s="36" t="str">
        <f t="shared" si="340"/>
        <v/>
      </c>
      <c r="Q171" s="44" t="str">
        <f t="shared" si="303"/>
        <v/>
      </c>
      <c r="R171" s="36" t="str">
        <f t="shared" si="341"/>
        <v>Peter Compton</v>
      </c>
      <c r="U171" s="36" t="str">
        <f t="shared" si="305"/>
        <v/>
      </c>
      <c r="V171" s="36" t="str">
        <f t="shared" si="342"/>
        <v/>
      </c>
      <c r="Y171" s="36" t="str">
        <f t="shared" si="307"/>
        <v/>
      </c>
      <c r="Z171" s="36" t="str">
        <f t="shared" si="343"/>
        <v>Joe Burnett+1</v>
      </c>
      <c r="AC171" s="36" t="str">
        <f t="shared" si="309"/>
        <v/>
      </c>
      <c r="AD171" s="36" t="str">
        <f t="shared" si="344"/>
        <v>Hazel Wisby  +1</v>
      </c>
      <c r="AG171" s="36" t="str">
        <f t="shared" si="311"/>
        <v/>
      </c>
      <c r="AH171" s="36" t="str">
        <f t="shared" si="345"/>
        <v/>
      </c>
      <c r="AK171" s="36" t="str">
        <f t="shared" si="313"/>
        <v/>
      </c>
      <c r="AL171" s="36" t="str">
        <f t="shared" si="346"/>
        <v>Simon Peach</v>
      </c>
      <c r="AO171" s="36" t="str">
        <f t="shared" si="315"/>
        <v/>
      </c>
      <c r="AP171" s="36" t="str">
        <f t="shared" si="347"/>
        <v/>
      </c>
      <c r="AS171" s="36" t="str">
        <f t="shared" si="317"/>
        <v/>
      </c>
      <c r="AT171" s="36" t="str">
        <f t="shared" si="348"/>
        <v/>
      </c>
      <c r="AW171" s="36" t="str">
        <f t="shared" si="319"/>
        <v/>
      </c>
      <c r="AX171" s="36" t="str">
        <f t="shared" si="349"/>
        <v>Andy Booth</v>
      </c>
      <c r="BA171" s="36" t="str">
        <f t="shared" si="321"/>
        <v/>
      </c>
      <c r="BB171" s="36" t="str">
        <f t="shared" si="350"/>
        <v>Brian Kilby (Welwyn)</v>
      </c>
      <c r="BE171" s="36" t="str">
        <f t="shared" si="323"/>
        <v/>
      </c>
      <c r="BF171" s="36" t="str">
        <f t="shared" si="351"/>
        <v/>
      </c>
      <c r="BI171" s="36" t="str">
        <f t="shared" si="325"/>
        <v/>
      </c>
      <c r="BJ171" s="36" t="str">
        <f t="shared" si="352"/>
        <v>Debbie Field</v>
      </c>
      <c r="BM171" s="36" t="str">
        <f t="shared" si="327"/>
        <v/>
      </c>
      <c r="BN171" s="36" t="str">
        <f t="shared" si="353"/>
        <v/>
      </c>
      <c r="BQ171" s="36" t="str">
        <f t="shared" si="329"/>
        <v/>
      </c>
      <c r="BR171" s="36" t="str">
        <f t="shared" si="354"/>
        <v>Ben Jessup</v>
      </c>
      <c r="BU171" s="36" t="str">
        <f t="shared" si="331"/>
        <v/>
      </c>
      <c r="BV171" s="36" t="str">
        <f t="shared" si="355"/>
        <v/>
      </c>
      <c r="BY171" s="36" t="str">
        <f t="shared" si="333"/>
        <v/>
      </c>
      <c r="BZ171" s="36" t="str">
        <f t="shared" si="356"/>
        <v/>
      </c>
      <c r="CC171" s="36" t="str">
        <f t="shared" si="335"/>
        <v/>
      </c>
      <c r="CD171" s="36" t="str">
        <f t="shared" si="357"/>
        <v>Andy Booth</v>
      </c>
      <c r="CG171" s="36" t="str">
        <f t="shared" si="337"/>
        <v/>
      </c>
      <c r="CH171" s="36" t="str">
        <f t="shared" si="358"/>
        <v>Andy Booth</v>
      </c>
    </row>
    <row r="172" spans="7:86" s="36" customFormat="1">
      <c r="G172" s="8">
        <f t="shared" si="359"/>
        <v>30</v>
      </c>
      <c r="I172" s="36" t="str">
        <f t="shared" si="339"/>
        <v/>
      </c>
      <c r="J172" s="36" t="str">
        <f t="shared" si="360"/>
        <v>John Hubbard, Greg Irwin</v>
      </c>
      <c r="M172" s="36" t="str">
        <f t="shared" si="301"/>
        <v>Dave Slaughter</v>
      </c>
      <c r="N172" s="36" t="str">
        <f t="shared" si="340"/>
        <v>Dave Slaughter</v>
      </c>
      <c r="Q172" s="44" t="str">
        <f t="shared" si="303"/>
        <v/>
      </c>
      <c r="R172" s="36" t="str">
        <f t="shared" si="341"/>
        <v>Peter Compton</v>
      </c>
      <c r="U172" s="36" t="str">
        <f t="shared" si="305"/>
        <v>Dave Slaughter</v>
      </c>
      <c r="V172" s="36" t="str">
        <f t="shared" si="342"/>
        <v>Dave Slaughter</v>
      </c>
      <c r="Y172" s="36" t="str">
        <f t="shared" si="307"/>
        <v/>
      </c>
      <c r="Z172" s="36" t="str">
        <f t="shared" si="343"/>
        <v>Joe Burnett+1</v>
      </c>
      <c r="AC172" s="36" t="str">
        <f t="shared" si="309"/>
        <v/>
      </c>
      <c r="AD172" s="36" t="str">
        <f t="shared" si="344"/>
        <v>Hazel Wisby  +1</v>
      </c>
      <c r="AG172" s="36" t="str">
        <f t="shared" si="311"/>
        <v/>
      </c>
      <c r="AH172" s="36" t="str">
        <f t="shared" si="345"/>
        <v/>
      </c>
      <c r="AK172" s="36" t="str">
        <f t="shared" si="313"/>
        <v/>
      </c>
      <c r="AL172" s="36" t="str">
        <f t="shared" si="346"/>
        <v>Simon Peach</v>
      </c>
      <c r="AO172" s="36" t="str">
        <f t="shared" si="315"/>
        <v>Dave Slaughter</v>
      </c>
      <c r="AP172" s="36" t="str">
        <f t="shared" si="347"/>
        <v>Dave Slaughter</v>
      </c>
      <c r="AS172" s="36" t="str">
        <f t="shared" si="317"/>
        <v>Dave Slaughter</v>
      </c>
      <c r="AT172" s="36" t="str">
        <f t="shared" si="348"/>
        <v>Dave Slaughter</v>
      </c>
      <c r="AW172" s="36" t="str">
        <f t="shared" si="319"/>
        <v/>
      </c>
      <c r="AX172" s="36" t="str">
        <f t="shared" si="349"/>
        <v>Andy Booth</v>
      </c>
      <c r="BA172" s="36" t="str">
        <f t="shared" si="321"/>
        <v/>
      </c>
      <c r="BB172" s="36" t="str">
        <f t="shared" si="350"/>
        <v>Brian Kilby (Welwyn)</v>
      </c>
      <c r="BE172" s="36" t="str">
        <f t="shared" si="323"/>
        <v>Dave Slaughter</v>
      </c>
      <c r="BF172" s="36" t="str">
        <f t="shared" si="351"/>
        <v>Dave Slaughter</v>
      </c>
      <c r="BI172" s="36" t="str">
        <f t="shared" si="325"/>
        <v/>
      </c>
      <c r="BJ172" s="36" t="str">
        <f t="shared" si="352"/>
        <v>Debbie Field</v>
      </c>
      <c r="BM172" s="36" t="str">
        <f t="shared" si="327"/>
        <v/>
      </c>
      <c r="BN172" s="36" t="str">
        <f t="shared" si="353"/>
        <v/>
      </c>
      <c r="BQ172" s="36" t="str">
        <f t="shared" si="329"/>
        <v/>
      </c>
      <c r="BR172" s="36" t="str">
        <f t="shared" si="354"/>
        <v>Ben Jessup</v>
      </c>
      <c r="BU172" s="36" t="str">
        <f t="shared" si="331"/>
        <v/>
      </c>
      <c r="BV172" s="36" t="str">
        <f t="shared" si="355"/>
        <v/>
      </c>
      <c r="BY172" s="36" t="str">
        <f t="shared" si="333"/>
        <v/>
      </c>
      <c r="BZ172" s="36" t="str">
        <f t="shared" si="356"/>
        <v/>
      </c>
      <c r="CC172" s="36" t="str">
        <f t="shared" si="335"/>
        <v/>
      </c>
      <c r="CD172" s="36" t="str">
        <f t="shared" si="357"/>
        <v>Andy Booth</v>
      </c>
      <c r="CG172" s="36" t="str">
        <f t="shared" si="337"/>
        <v/>
      </c>
      <c r="CH172" s="36" t="str">
        <f t="shared" si="358"/>
        <v>Andy Booth</v>
      </c>
    </row>
    <row r="173" spans="7:86" s="36" customFormat="1">
      <c r="G173" s="8">
        <f t="shared" si="359"/>
        <v>31</v>
      </c>
      <c r="I173" s="36" t="str">
        <f t="shared" si="339"/>
        <v/>
      </c>
      <c r="J173" s="36" t="str">
        <f t="shared" si="360"/>
        <v>John Hubbard, Greg Irwin</v>
      </c>
      <c r="M173" s="36" t="str">
        <f t="shared" si="301"/>
        <v/>
      </c>
      <c r="N173" s="36" t="str">
        <f t="shared" si="340"/>
        <v>Dave Slaughter</v>
      </c>
      <c r="Q173" s="44" t="str">
        <f t="shared" si="303"/>
        <v/>
      </c>
      <c r="R173" s="36" t="str">
        <f t="shared" si="341"/>
        <v>Peter Compton</v>
      </c>
      <c r="U173" s="36" t="str">
        <f t="shared" si="305"/>
        <v/>
      </c>
      <c r="V173" s="36" t="str">
        <f t="shared" si="342"/>
        <v>Dave Slaughter</v>
      </c>
      <c r="Y173" s="36" t="str">
        <f t="shared" si="307"/>
        <v/>
      </c>
      <c r="Z173" s="36" t="str">
        <f t="shared" si="343"/>
        <v>Joe Burnett+1</v>
      </c>
      <c r="AC173" s="36" t="str">
        <f t="shared" si="309"/>
        <v/>
      </c>
      <c r="AD173" s="36" t="str">
        <f t="shared" si="344"/>
        <v>Hazel Wisby  +1</v>
      </c>
      <c r="AG173" s="36" t="str">
        <f t="shared" si="311"/>
        <v/>
      </c>
      <c r="AH173" s="36" t="str">
        <f t="shared" si="345"/>
        <v/>
      </c>
      <c r="AK173" s="36" t="str">
        <f t="shared" si="313"/>
        <v/>
      </c>
      <c r="AL173" s="36" t="str">
        <f t="shared" si="346"/>
        <v>Simon Peach</v>
      </c>
      <c r="AO173" s="36" t="str">
        <f t="shared" si="315"/>
        <v/>
      </c>
      <c r="AP173" s="36" t="str">
        <f t="shared" si="347"/>
        <v>Dave Slaughter</v>
      </c>
      <c r="AS173" s="36" t="str">
        <f t="shared" si="317"/>
        <v/>
      </c>
      <c r="AT173" s="36" t="str">
        <f t="shared" si="348"/>
        <v>Dave Slaughter</v>
      </c>
      <c r="AW173" s="36" t="str">
        <f t="shared" si="319"/>
        <v/>
      </c>
      <c r="AX173" s="36" t="str">
        <f t="shared" si="349"/>
        <v>Andy Booth</v>
      </c>
      <c r="BA173" s="36" t="str">
        <f t="shared" si="321"/>
        <v/>
      </c>
      <c r="BB173" s="36" t="str">
        <f t="shared" si="350"/>
        <v>Brian Kilby (Welwyn)</v>
      </c>
      <c r="BE173" s="36" t="str">
        <f t="shared" si="323"/>
        <v/>
      </c>
      <c r="BF173" s="36" t="str">
        <f t="shared" si="351"/>
        <v>Dave Slaughter</v>
      </c>
      <c r="BI173" s="36" t="str">
        <f t="shared" si="325"/>
        <v/>
      </c>
      <c r="BJ173" s="36" t="str">
        <f t="shared" si="352"/>
        <v>Debbie Field</v>
      </c>
      <c r="BM173" s="36" t="str">
        <f t="shared" si="327"/>
        <v/>
      </c>
      <c r="BN173" s="36" t="str">
        <f t="shared" si="353"/>
        <v/>
      </c>
      <c r="BQ173" s="36" t="str">
        <f t="shared" si="329"/>
        <v/>
      </c>
      <c r="BR173" s="36" t="str">
        <f t="shared" si="354"/>
        <v>Ben Jessup</v>
      </c>
      <c r="BU173" s="36" t="str">
        <f t="shared" si="331"/>
        <v/>
      </c>
      <c r="BV173" s="36" t="str">
        <f t="shared" si="355"/>
        <v/>
      </c>
      <c r="BY173" s="36" t="str">
        <f t="shared" si="333"/>
        <v/>
      </c>
      <c r="BZ173" s="36" t="str">
        <f t="shared" si="356"/>
        <v/>
      </c>
      <c r="CC173" s="36" t="str">
        <f t="shared" si="335"/>
        <v/>
      </c>
      <c r="CD173" s="36" t="str">
        <f t="shared" si="357"/>
        <v>Andy Booth</v>
      </c>
      <c r="CG173" s="36" t="str">
        <f t="shared" si="337"/>
        <v/>
      </c>
      <c r="CH173" s="36" t="str">
        <f t="shared" si="358"/>
        <v>Andy Booth</v>
      </c>
    </row>
    <row r="174" spans="7:86" s="36" customFormat="1">
      <c r="G174" s="8">
        <f t="shared" si="359"/>
        <v>32</v>
      </c>
      <c r="I174" s="36" t="str">
        <f t="shared" si="339"/>
        <v/>
      </c>
      <c r="J174" s="36" t="str">
        <f t="shared" si="360"/>
        <v>John Hubbard, Greg Irwin</v>
      </c>
      <c r="M174" s="36" t="str">
        <f t="shared" si="301"/>
        <v/>
      </c>
      <c r="N174" s="36" t="str">
        <f t="shared" si="340"/>
        <v>Dave Slaughter</v>
      </c>
      <c r="Q174" s="44" t="str">
        <f t="shared" si="303"/>
        <v/>
      </c>
      <c r="R174" s="36" t="str">
        <f t="shared" si="341"/>
        <v>Peter Compton</v>
      </c>
      <c r="U174" s="36" t="str">
        <f t="shared" si="305"/>
        <v/>
      </c>
      <c r="V174" s="36" t="str">
        <f t="shared" si="342"/>
        <v>Dave Slaughter</v>
      </c>
      <c r="Y174" s="36" t="str">
        <f t="shared" si="307"/>
        <v/>
      </c>
      <c r="Z174" s="36" t="str">
        <f t="shared" si="343"/>
        <v>Joe Burnett+1</v>
      </c>
      <c r="AC174" s="36" t="str">
        <f t="shared" si="309"/>
        <v/>
      </c>
      <c r="AD174" s="36" t="str">
        <f t="shared" si="344"/>
        <v>Hazel Wisby  +1</v>
      </c>
      <c r="AG174" s="36" t="str">
        <f t="shared" si="311"/>
        <v/>
      </c>
      <c r="AH174" s="36" t="str">
        <f t="shared" si="345"/>
        <v/>
      </c>
      <c r="AK174" s="36" t="str">
        <f t="shared" si="313"/>
        <v/>
      </c>
      <c r="AL174" s="36" t="str">
        <f t="shared" si="346"/>
        <v>Simon Peach</v>
      </c>
      <c r="AO174" s="36" t="str">
        <f t="shared" si="315"/>
        <v/>
      </c>
      <c r="AP174" s="36" t="str">
        <f t="shared" si="347"/>
        <v>Dave Slaughter</v>
      </c>
      <c r="AS174" s="36" t="str">
        <f t="shared" si="317"/>
        <v/>
      </c>
      <c r="AT174" s="36" t="str">
        <f t="shared" si="348"/>
        <v>Dave Slaughter</v>
      </c>
      <c r="AW174" s="36" t="str">
        <f t="shared" si="319"/>
        <v/>
      </c>
      <c r="AX174" s="36" t="str">
        <f t="shared" si="349"/>
        <v>Andy Booth</v>
      </c>
      <c r="BA174" s="36" t="str">
        <f t="shared" si="321"/>
        <v/>
      </c>
      <c r="BB174" s="36" t="str">
        <f t="shared" si="350"/>
        <v>Brian Kilby (Welwyn)</v>
      </c>
      <c r="BE174" s="36" t="str">
        <f t="shared" si="323"/>
        <v/>
      </c>
      <c r="BF174" s="36" t="str">
        <f t="shared" si="351"/>
        <v>Dave Slaughter</v>
      </c>
      <c r="BI174" s="36" t="str">
        <f t="shared" si="325"/>
        <v/>
      </c>
      <c r="BJ174" s="36" t="str">
        <f t="shared" si="352"/>
        <v>Debbie Field</v>
      </c>
      <c r="BM174" s="36" t="str">
        <f t="shared" si="327"/>
        <v/>
      </c>
      <c r="BN174" s="36" t="str">
        <f t="shared" si="353"/>
        <v/>
      </c>
      <c r="BQ174" s="36" t="str">
        <f t="shared" si="329"/>
        <v/>
      </c>
      <c r="BR174" s="36" t="str">
        <f t="shared" si="354"/>
        <v>Ben Jessup</v>
      </c>
      <c r="BU174" s="36" t="str">
        <f t="shared" si="331"/>
        <v/>
      </c>
      <c r="BV174" s="36" t="str">
        <f t="shared" si="355"/>
        <v/>
      </c>
      <c r="BY174" s="36" t="str">
        <f t="shared" si="333"/>
        <v/>
      </c>
      <c r="BZ174" s="36" t="str">
        <f t="shared" si="356"/>
        <v/>
      </c>
      <c r="CC174" s="36" t="str">
        <f t="shared" si="335"/>
        <v/>
      </c>
      <c r="CD174" s="36" t="str">
        <f t="shared" si="357"/>
        <v>Andy Booth</v>
      </c>
      <c r="CG174" s="36" t="str">
        <f t="shared" si="337"/>
        <v/>
      </c>
      <c r="CH174" s="36" t="str">
        <f t="shared" si="358"/>
        <v>Andy Booth</v>
      </c>
    </row>
    <row r="175" spans="7:86" s="36" customFormat="1">
      <c r="G175" s="8">
        <f t="shared" si="359"/>
        <v>33</v>
      </c>
      <c r="I175" s="36" t="str">
        <f t="shared" si="339"/>
        <v/>
      </c>
      <c r="J175" s="36" t="str">
        <f t="shared" si="360"/>
        <v>John Hubbard, Greg Irwin</v>
      </c>
      <c r="M175" s="36" t="str">
        <f t="shared" si="301"/>
        <v/>
      </c>
      <c r="N175" s="36" t="str">
        <f t="shared" si="340"/>
        <v>Dave Slaughter</v>
      </c>
      <c r="Q175" s="44" t="str">
        <f t="shared" si="303"/>
        <v/>
      </c>
      <c r="R175" s="36" t="str">
        <f t="shared" si="341"/>
        <v>Peter Compton</v>
      </c>
      <c r="U175" s="36" t="str">
        <f t="shared" si="305"/>
        <v/>
      </c>
      <c r="V175" s="36" t="str">
        <f t="shared" si="342"/>
        <v>Dave Slaughter</v>
      </c>
      <c r="Y175" s="36" t="str">
        <f t="shared" si="307"/>
        <v/>
      </c>
      <c r="Z175" s="36" t="str">
        <f t="shared" si="343"/>
        <v>Joe Burnett+1</v>
      </c>
      <c r="AC175" s="36" t="str">
        <f t="shared" si="309"/>
        <v/>
      </c>
      <c r="AD175" s="36" t="str">
        <f t="shared" si="344"/>
        <v>Hazel Wisby  +1</v>
      </c>
      <c r="AG175" s="36" t="str">
        <f t="shared" si="311"/>
        <v/>
      </c>
      <c r="AH175" s="36" t="str">
        <f t="shared" si="345"/>
        <v/>
      </c>
      <c r="AK175" s="36" t="str">
        <f t="shared" si="313"/>
        <v/>
      </c>
      <c r="AL175" s="36" t="str">
        <f t="shared" si="346"/>
        <v>Simon Peach</v>
      </c>
      <c r="AO175" s="36" t="str">
        <f t="shared" si="315"/>
        <v/>
      </c>
      <c r="AP175" s="36" t="str">
        <f t="shared" si="347"/>
        <v>Dave Slaughter</v>
      </c>
      <c r="AS175" s="36" t="str">
        <f t="shared" si="317"/>
        <v/>
      </c>
      <c r="AT175" s="36" t="str">
        <f t="shared" si="348"/>
        <v>Dave Slaughter</v>
      </c>
      <c r="AW175" s="36" t="str">
        <f t="shared" si="319"/>
        <v/>
      </c>
      <c r="AX175" s="36" t="str">
        <f t="shared" si="349"/>
        <v>Andy Booth</v>
      </c>
      <c r="BA175" s="36" t="str">
        <f t="shared" si="321"/>
        <v/>
      </c>
      <c r="BB175" s="36" t="str">
        <f t="shared" si="350"/>
        <v>Brian Kilby (Welwyn)</v>
      </c>
      <c r="BE175" s="36" t="str">
        <f t="shared" si="323"/>
        <v/>
      </c>
      <c r="BF175" s="36" t="str">
        <f t="shared" si="351"/>
        <v>Dave Slaughter</v>
      </c>
      <c r="BI175" s="36" t="str">
        <f t="shared" si="325"/>
        <v/>
      </c>
      <c r="BJ175" s="36" t="str">
        <f t="shared" si="352"/>
        <v>Debbie Field</v>
      </c>
      <c r="BM175" s="36" t="str">
        <f t="shared" si="327"/>
        <v/>
      </c>
      <c r="BN175" s="36" t="str">
        <f t="shared" si="353"/>
        <v/>
      </c>
      <c r="BQ175" s="36" t="str">
        <f t="shared" si="329"/>
        <v/>
      </c>
      <c r="BR175" s="36" t="str">
        <f t="shared" si="354"/>
        <v>Ben Jessup</v>
      </c>
      <c r="BU175" s="36" t="str">
        <f t="shared" si="331"/>
        <v/>
      </c>
      <c r="BV175" s="36" t="str">
        <f t="shared" si="355"/>
        <v/>
      </c>
      <c r="BY175" s="36" t="str">
        <f t="shared" si="333"/>
        <v/>
      </c>
      <c r="BZ175" s="36" t="str">
        <f t="shared" si="356"/>
        <v/>
      </c>
      <c r="CC175" s="36" t="str">
        <f t="shared" si="335"/>
        <v/>
      </c>
      <c r="CD175" s="36" t="str">
        <f t="shared" si="357"/>
        <v>Andy Booth</v>
      </c>
      <c r="CG175" s="36" t="str">
        <f t="shared" si="337"/>
        <v/>
      </c>
      <c r="CH175" s="36" t="str">
        <f t="shared" si="358"/>
        <v>Andy Booth</v>
      </c>
    </row>
    <row r="176" spans="7:86" s="36" customFormat="1">
      <c r="G176" s="8">
        <f t="shared" si="359"/>
        <v>34</v>
      </c>
      <c r="I176" s="36" t="str">
        <f t="shared" si="339"/>
        <v/>
      </c>
      <c r="J176" s="36" t="str">
        <f t="shared" si="360"/>
        <v>John Hubbard, Greg Irwin</v>
      </c>
      <c r="M176" s="36" t="str">
        <f t="shared" si="301"/>
        <v/>
      </c>
      <c r="N176" s="36" t="str">
        <f t="shared" si="340"/>
        <v>Dave Slaughter</v>
      </c>
      <c r="Q176" s="44" t="str">
        <f t="shared" si="303"/>
        <v/>
      </c>
      <c r="R176" s="36" t="str">
        <f t="shared" si="341"/>
        <v>Peter Compton</v>
      </c>
      <c r="U176" s="36" t="str">
        <f t="shared" si="305"/>
        <v/>
      </c>
      <c r="V176" s="36" t="str">
        <f t="shared" si="342"/>
        <v>Dave Slaughter</v>
      </c>
      <c r="Y176" s="36" t="str">
        <f t="shared" si="307"/>
        <v/>
      </c>
      <c r="Z176" s="36" t="str">
        <f t="shared" si="343"/>
        <v>Joe Burnett+1</v>
      </c>
      <c r="AC176" s="36" t="str">
        <f t="shared" si="309"/>
        <v/>
      </c>
      <c r="AD176" s="36" t="str">
        <f t="shared" si="344"/>
        <v>Hazel Wisby  +1</v>
      </c>
      <c r="AG176" s="36" t="str">
        <f t="shared" si="311"/>
        <v/>
      </c>
      <c r="AH176" s="36" t="str">
        <f t="shared" si="345"/>
        <v/>
      </c>
      <c r="AK176" s="36" t="str">
        <f t="shared" si="313"/>
        <v/>
      </c>
      <c r="AL176" s="36" t="str">
        <f t="shared" si="346"/>
        <v>Simon Peach</v>
      </c>
      <c r="AO176" s="36" t="str">
        <f t="shared" si="315"/>
        <v/>
      </c>
      <c r="AP176" s="36" t="str">
        <f t="shared" si="347"/>
        <v>Dave Slaughter</v>
      </c>
      <c r="AS176" s="36" t="str">
        <f t="shared" si="317"/>
        <v/>
      </c>
      <c r="AT176" s="36" t="str">
        <f t="shared" si="348"/>
        <v>Dave Slaughter</v>
      </c>
      <c r="AW176" s="36" t="str">
        <f t="shared" si="319"/>
        <v/>
      </c>
      <c r="AX176" s="36" t="str">
        <f t="shared" si="349"/>
        <v>Andy Booth</v>
      </c>
      <c r="BA176" s="36" t="str">
        <f t="shared" si="321"/>
        <v/>
      </c>
      <c r="BB176" s="36" t="str">
        <f t="shared" si="350"/>
        <v>Brian Kilby (Welwyn)</v>
      </c>
      <c r="BE176" s="36" t="str">
        <f t="shared" si="323"/>
        <v/>
      </c>
      <c r="BF176" s="36" t="str">
        <f t="shared" si="351"/>
        <v>Dave Slaughter</v>
      </c>
      <c r="BI176" s="36" t="str">
        <f t="shared" si="325"/>
        <v/>
      </c>
      <c r="BJ176" s="36" t="str">
        <f t="shared" si="352"/>
        <v>Debbie Field</v>
      </c>
      <c r="BM176" s="36" t="str">
        <f t="shared" si="327"/>
        <v/>
      </c>
      <c r="BN176" s="36" t="str">
        <f t="shared" si="353"/>
        <v/>
      </c>
      <c r="BQ176" s="36" t="str">
        <f t="shared" si="329"/>
        <v/>
      </c>
      <c r="BR176" s="36" t="str">
        <f t="shared" si="354"/>
        <v>Ben Jessup</v>
      </c>
      <c r="BU176" s="36" t="str">
        <f t="shared" si="331"/>
        <v/>
      </c>
      <c r="BV176" s="36" t="str">
        <f t="shared" si="355"/>
        <v/>
      </c>
      <c r="BY176" s="36" t="str">
        <f t="shared" si="333"/>
        <v/>
      </c>
      <c r="BZ176" s="36" t="str">
        <f t="shared" si="356"/>
        <v/>
      </c>
      <c r="CC176" s="36" t="str">
        <f t="shared" si="335"/>
        <v/>
      </c>
      <c r="CD176" s="36" t="str">
        <f t="shared" si="357"/>
        <v>Andy Booth</v>
      </c>
      <c r="CG176" s="36" t="str">
        <f t="shared" si="337"/>
        <v/>
      </c>
      <c r="CH176" s="36" t="str">
        <f t="shared" si="358"/>
        <v>Andy Booth</v>
      </c>
    </row>
    <row r="177" spans="7:86" s="36" customFormat="1">
      <c r="G177" s="8">
        <f t="shared" si="359"/>
        <v>35</v>
      </c>
      <c r="I177" s="36" t="str">
        <f t="shared" si="339"/>
        <v/>
      </c>
      <c r="J177" s="36" t="str">
        <f t="shared" si="360"/>
        <v>John Hubbard, Greg Irwin</v>
      </c>
      <c r="M177" s="36" t="str">
        <f t="shared" si="301"/>
        <v/>
      </c>
      <c r="N177" s="36" t="str">
        <f t="shared" si="340"/>
        <v>Dave Slaughter</v>
      </c>
      <c r="Q177" s="44" t="str">
        <f t="shared" si="303"/>
        <v/>
      </c>
      <c r="R177" s="36" t="str">
        <f t="shared" si="341"/>
        <v>Peter Compton</v>
      </c>
      <c r="U177" s="36" t="str">
        <f t="shared" si="305"/>
        <v/>
      </c>
      <c r="V177" s="36" t="str">
        <f t="shared" si="342"/>
        <v>Dave Slaughter</v>
      </c>
      <c r="Y177" s="36" t="str">
        <f t="shared" si="307"/>
        <v/>
      </c>
      <c r="Z177" s="36" t="str">
        <f t="shared" si="343"/>
        <v>Joe Burnett+1</v>
      </c>
      <c r="AC177" s="36" t="str">
        <f t="shared" si="309"/>
        <v/>
      </c>
      <c r="AD177" s="36" t="str">
        <f t="shared" si="344"/>
        <v>Hazel Wisby  +1</v>
      </c>
      <c r="AG177" s="36" t="str">
        <f t="shared" si="311"/>
        <v/>
      </c>
      <c r="AH177" s="36" t="str">
        <f t="shared" si="345"/>
        <v/>
      </c>
      <c r="AK177" s="36" t="str">
        <f t="shared" si="313"/>
        <v/>
      </c>
      <c r="AL177" s="36" t="str">
        <f t="shared" si="346"/>
        <v>Simon Peach</v>
      </c>
      <c r="AO177" s="36" t="str">
        <f t="shared" si="315"/>
        <v/>
      </c>
      <c r="AP177" s="36" t="str">
        <f t="shared" si="347"/>
        <v>Dave Slaughter</v>
      </c>
      <c r="AS177" s="36" t="str">
        <f t="shared" si="317"/>
        <v/>
      </c>
      <c r="AT177" s="36" t="str">
        <f t="shared" si="348"/>
        <v>Dave Slaughter</v>
      </c>
      <c r="AW177" s="36" t="str">
        <f t="shared" si="319"/>
        <v/>
      </c>
      <c r="AX177" s="36" t="str">
        <f t="shared" si="349"/>
        <v>Andy Booth</v>
      </c>
      <c r="BA177" s="36" t="str">
        <f t="shared" si="321"/>
        <v/>
      </c>
      <c r="BB177" s="36" t="str">
        <f t="shared" si="350"/>
        <v>Brian Kilby (Welwyn)</v>
      </c>
      <c r="BE177" s="36" t="str">
        <f t="shared" si="323"/>
        <v/>
      </c>
      <c r="BF177" s="36" t="str">
        <f t="shared" si="351"/>
        <v>Dave Slaughter</v>
      </c>
      <c r="BI177" s="36" t="str">
        <f t="shared" si="325"/>
        <v/>
      </c>
      <c r="BJ177" s="36" t="str">
        <f t="shared" si="352"/>
        <v>Debbie Field</v>
      </c>
      <c r="BM177" s="36" t="str">
        <f t="shared" si="327"/>
        <v/>
      </c>
      <c r="BN177" s="36" t="str">
        <f t="shared" si="353"/>
        <v/>
      </c>
      <c r="BQ177" s="36" t="str">
        <f t="shared" si="329"/>
        <v/>
      </c>
      <c r="BR177" s="36" t="str">
        <f t="shared" si="354"/>
        <v>Ben Jessup</v>
      </c>
      <c r="BU177" s="36" t="str">
        <f t="shared" si="331"/>
        <v/>
      </c>
      <c r="BV177" s="36" t="str">
        <f t="shared" si="355"/>
        <v/>
      </c>
      <c r="BY177" s="36" t="str">
        <f t="shared" si="333"/>
        <v/>
      </c>
      <c r="BZ177" s="36" t="str">
        <f t="shared" si="356"/>
        <v/>
      </c>
      <c r="CC177" s="36" t="str">
        <f t="shared" si="335"/>
        <v/>
      </c>
      <c r="CD177" s="36" t="str">
        <f t="shared" si="357"/>
        <v>Andy Booth</v>
      </c>
      <c r="CG177" s="36" t="str">
        <f t="shared" si="337"/>
        <v/>
      </c>
      <c r="CH177" s="36" t="str">
        <f t="shared" si="358"/>
        <v>Andy Booth</v>
      </c>
    </row>
    <row r="178" spans="7:86" s="36" customFormat="1">
      <c r="G178" s="8">
        <f t="shared" si="359"/>
        <v>36</v>
      </c>
      <c r="I178" s="36" t="str">
        <f t="shared" si="339"/>
        <v/>
      </c>
      <c r="J178" s="36" t="str">
        <f t="shared" si="360"/>
        <v>John Hubbard, Greg Irwin</v>
      </c>
      <c r="M178" s="36" t="str">
        <f t="shared" si="301"/>
        <v/>
      </c>
      <c r="N178" s="36" t="str">
        <f t="shared" si="340"/>
        <v>Dave Slaughter</v>
      </c>
      <c r="Q178" s="44" t="str">
        <f t="shared" si="303"/>
        <v/>
      </c>
      <c r="R178" s="36" t="str">
        <f t="shared" si="341"/>
        <v>Peter Compton</v>
      </c>
      <c r="U178" s="36" t="str">
        <f t="shared" si="305"/>
        <v/>
      </c>
      <c r="V178" s="36" t="str">
        <f t="shared" si="342"/>
        <v>Dave Slaughter</v>
      </c>
      <c r="Y178" s="36" t="str">
        <f t="shared" si="307"/>
        <v/>
      </c>
      <c r="Z178" s="36" t="str">
        <f t="shared" si="343"/>
        <v>Joe Burnett+1</v>
      </c>
      <c r="AC178" s="36" t="str">
        <f t="shared" si="309"/>
        <v/>
      </c>
      <c r="AD178" s="36" t="str">
        <f t="shared" si="344"/>
        <v>Hazel Wisby  +1</v>
      </c>
      <c r="AG178" s="36" t="str">
        <f t="shared" si="311"/>
        <v/>
      </c>
      <c r="AH178" s="36" t="str">
        <f t="shared" si="345"/>
        <v/>
      </c>
      <c r="AK178" s="36" t="str">
        <f t="shared" si="313"/>
        <v/>
      </c>
      <c r="AL178" s="36" t="str">
        <f t="shared" si="346"/>
        <v>Simon Peach</v>
      </c>
      <c r="AO178" s="36" t="str">
        <f t="shared" si="315"/>
        <v/>
      </c>
      <c r="AP178" s="36" t="str">
        <f t="shared" si="347"/>
        <v>Dave Slaughter</v>
      </c>
      <c r="AS178" s="36" t="str">
        <f t="shared" si="317"/>
        <v/>
      </c>
      <c r="AT178" s="36" t="str">
        <f t="shared" si="348"/>
        <v>Dave Slaughter</v>
      </c>
      <c r="AW178" s="36" t="str">
        <f t="shared" si="319"/>
        <v/>
      </c>
      <c r="AX178" s="36" t="str">
        <f t="shared" si="349"/>
        <v>Andy Booth</v>
      </c>
      <c r="BA178" s="36" t="str">
        <f t="shared" si="321"/>
        <v/>
      </c>
      <c r="BB178" s="36" t="str">
        <f t="shared" si="350"/>
        <v>Brian Kilby (Welwyn)</v>
      </c>
      <c r="BE178" s="36" t="str">
        <f t="shared" si="323"/>
        <v/>
      </c>
      <c r="BF178" s="36" t="str">
        <f t="shared" si="351"/>
        <v>Dave Slaughter</v>
      </c>
      <c r="BI178" s="36" t="str">
        <f t="shared" si="325"/>
        <v/>
      </c>
      <c r="BJ178" s="36" t="str">
        <f t="shared" si="352"/>
        <v>Debbie Field</v>
      </c>
      <c r="BM178" s="36" t="str">
        <f t="shared" si="327"/>
        <v/>
      </c>
      <c r="BN178" s="36" t="str">
        <f t="shared" si="353"/>
        <v/>
      </c>
      <c r="BQ178" s="36" t="str">
        <f t="shared" si="329"/>
        <v/>
      </c>
      <c r="BR178" s="36" t="str">
        <f t="shared" si="354"/>
        <v>Ben Jessup</v>
      </c>
      <c r="BU178" s="36" t="str">
        <f t="shared" si="331"/>
        <v/>
      </c>
      <c r="BV178" s="36" t="str">
        <f t="shared" si="355"/>
        <v/>
      </c>
      <c r="BY178" s="36" t="str">
        <f t="shared" si="333"/>
        <v/>
      </c>
      <c r="BZ178" s="36" t="str">
        <f t="shared" si="356"/>
        <v/>
      </c>
      <c r="CC178" s="36" t="str">
        <f t="shared" si="335"/>
        <v/>
      </c>
      <c r="CD178" s="36" t="str">
        <f t="shared" si="357"/>
        <v>Andy Booth</v>
      </c>
      <c r="CG178" s="36" t="str">
        <f t="shared" si="337"/>
        <v/>
      </c>
      <c r="CH178" s="36" t="str">
        <f t="shared" si="358"/>
        <v>Andy Booth</v>
      </c>
    </row>
    <row r="179" spans="7:86" s="36" customFormat="1">
      <c r="G179" s="8">
        <f t="shared" si="359"/>
        <v>37</v>
      </c>
      <c r="I179" s="36" t="str">
        <f t="shared" si="339"/>
        <v/>
      </c>
      <c r="J179" s="36" t="str">
        <f t="shared" si="360"/>
        <v>John Hubbard, Greg Irwin</v>
      </c>
      <c r="M179" s="36" t="str">
        <f t="shared" si="301"/>
        <v/>
      </c>
      <c r="N179" s="36" t="str">
        <f t="shared" si="340"/>
        <v>Dave Slaughter</v>
      </c>
      <c r="Q179" s="44" t="str">
        <f t="shared" si="303"/>
        <v/>
      </c>
      <c r="R179" s="36" t="str">
        <f t="shared" si="341"/>
        <v>Peter Compton</v>
      </c>
      <c r="U179" s="36" t="str">
        <f t="shared" si="305"/>
        <v/>
      </c>
      <c r="V179" s="36" t="str">
        <f t="shared" si="342"/>
        <v>Dave Slaughter</v>
      </c>
      <c r="Y179" s="36" t="str">
        <f t="shared" si="307"/>
        <v/>
      </c>
      <c r="Z179" s="36" t="str">
        <f t="shared" si="343"/>
        <v>Joe Burnett+1</v>
      </c>
      <c r="AC179" s="36" t="str">
        <f t="shared" si="309"/>
        <v/>
      </c>
      <c r="AD179" s="36" t="str">
        <f t="shared" si="344"/>
        <v>Hazel Wisby  +1</v>
      </c>
      <c r="AG179" s="36" t="str">
        <f t="shared" si="311"/>
        <v/>
      </c>
      <c r="AH179" s="36" t="str">
        <f t="shared" si="345"/>
        <v/>
      </c>
      <c r="AK179" s="36" t="str">
        <f t="shared" si="313"/>
        <v/>
      </c>
      <c r="AL179" s="36" t="str">
        <f t="shared" si="346"/>
        <v>Simon Peach</v>
      </c>
      <c r="AO179" s="36" t="str">
        <f t="shared" si="315"/>
        <v/>
      </c>
      <c r="AP179" s="36" t="str">
        <f t="shared" si="347"/>
        <v>Dave Slaughter</v>
      </c>
      <c r="AS179" s="36" t="str">
        <f t="shared" si="317"/>
        <v/>
      </c>
      <c r="AT179" s="36" t="str">
        <f t="shared" si="348"/>
        <v>Dave Slaughter</v>
      </c>
      <c r="AW179" s="36" t="str">
        <f t="shared" si="319"/>
        <v/>
      </c>
      <c r="AX179" s="36" t="str">
        <f t="shared" si="349"/>
        <v>Andy Booth</v>
      </c>
      <c r="BA179" s="36" t="str">
        <f t="shared" si="321"/>
        <v/>
      </c>
      <c r="BB179" s="36" t="str">
        <f t="shared" si="350"/>
        <v>Brian Kilby (Welwyn)</v>
      </c>
      <c r="BE179" s="36" t="str">
        <f t="shared" si="323"/>
        <v/>
      </c>
      <c r="BF179" s="36" t="str">
        <f t="shared" si="351"/>
        <v>Dave Slaughter</v>
      </c>
      <c r="BI179" s="36" t="str">
        <f t="shared" si="325"/>
        <v/>
      </c>
      <c r="BJ179" s="36" t="str">
        <f t="shared" si="352"/>
        <v>Debbie Field</v>
      </c>
      <c r="BM179" s="36" t="str">
        <f t="shared" si="327"/>
        <v/>
      </c>
      <c r="BN179" s="36" t="str">
        <f t="shared" si="353"/>
        <v/>
      </c>
      <c r="BQ179" s="36" t="str">
        <f t="shared" si="329"/>
        <v/>
      </c>
      <c r="BR179" s="36" t="str">
        <f t="shared" si="354"/>
        <v>Ben Jessup</v>
      </c>
      <c r="BU179" s="36" t="str">
        <f t="shared" si="331"/>
        <v/>
      </c>
      <c r="BV179" s="36" t="str">
        <f t="shared" si="355"/>
        <v/>
      </c>
      <c r="BY179" s="36" t="str">
        <f t="shared" si="333"/>
        <v/>
      </c>
      <c r="BZ179" s="36" t="str">
        <f t="shared" si="356"/>
        <v/>
      </c>
      <c r="CC179" s="36" t="str">
        <f t="shared" si="335"/>
        <v/>
      </c>
      <c r="CD179" s="36" t="str">
        <f t="shared" si="357"/>
        <v>Andy Booth</v>
      </c>
      <c r="CG179" s="36" t="str">
        <f t="shared" si="337"/>
        <v/>
      </c>
      <c r="CH179" s="36" t="str">
        <f t="shared" si="358"/>
        <v>Andy Booth</v>
      </c>
    </row>
    <row r="180" spans="7:86" s="36" customFormat="1">
      <c r="G180" s="8">
        <f t="shared" si="359"/>
        <v>38</v>
      </c>
      <c r="I180" s="36" t="str">
        <f t="shared" si="339"/>
        <v/>
      </c>
      <c r="J180" s="36" t="str">
        <f t="shared" si="360"/>
        <v>John Hubbard, Greg Irwin</v>
      </c>
      <c r="M180" s="36" t="str">
        <f t="shared" si="301"/>
        <v/>
      </c>
      <c r="N180" s="36" t="str">
        <f t="shared" si="340"/>
        <v>Dave Slaughter</v>
      </c>
      <c r="Q180" s="44" t="str">
        <f t="shared" si="303"/>
        <v/>
      </c>
      <c r="R180" s="36" t="str">
        <f t="shared" si="341"/>
        <v>Peter Compton</v>
      </c>
      <c r="U180" s="36" t="str">
        <f t="shared" si="305"/>
        <v/>
      </c>
      <c r="V180" s="36" t="str">
        <f t="shared" si="342"/>
        <v>Dave Slaughter</v>
      </c>
      <c r="Y180" s="36" t="str">
        <f t="shared" si="307"/>
        <v/>
      </c>
      <c r="Z180" s="36" t="str">
        <f t="shared" si="343"/>
        <v>Joe Burnett+1</v>
      </c>
      <c r="AC180" s="36" t="str">
        <f t="shared" si="309"/>
        <v/>
      </c>
      <c r="AD180" s="36" t="str">
        <f t="shared" si="344"/>
        <v>Hazel Wisby  +1</v>
      </c>
      <c r="AG180" s="36" t="str">
        <f t="shared" si="311"/>
        <v/>
      </c>
      <c r="AH180" s="36" t="str">
        <f t="shared" si="345"/>
        <v/>
      </c>
      <c r="AK180" s="36" t="str">
        <f t="shared" si="313"/>
        <v/>
      </c>
      <c r="AL180" s="36" t="str">
        <f t="shared" si="346"/>
        <v>Simon Peach</v>
      </c>
      <c r="AO180" s="36" t="str">
        <f t="shared" si="315"/>
        <v/>
      </c>
      <c r="AP180" s="36" t="str">
        <f t="shared" si="347"/>
        <v>Dave Slaughter</v>
      </c>
      <c r="AS180" s="36" t="str">
        <f t="shared" si="317"/>
        <v/>
      </c>
      <c r="AT180" s="36" t="str">
        <f t="shared" si="348"/>
        <v>Dave Slaughter</v>
      </c>
      <c r="AW180" s="36" t="str">
        <f t="shared" si="319"/>
        <v/>
      </c>
      <c r="AX180" s="36" t="str">
        <f t="shared" si="349"/>
        <v>Andy Booth</v>
      </c>
      <c r="BA180" s="36" t="str">
        <f t="shared" si="321"/>
        <v/>
      </c>
      <c r="BB180" s="36" t="str">
        <f t="shared" si="350"/>
        <v>Brian Kilby (Welwyn)</v>
      </c>
      <c r="BE180" s="36" t="str">
        <f t="shared" si="323"/>
        <v/>
      </c>
      <c r="BF180" s="36" t="str">
        <f t="shared" si="351"/>
        <v>Dave Slaughter</v>
      </c>
      <c r="BI180" s="36" t="str">
        <f t="shared" si="325"/>
        <v/>
      </c>
      <c r="BJ180" s="36" t="str">
        <f t="shared" si="352"/>
        <v>Debbie Field</v>
      </c>
      <c r="BM180" s="36" t="str">
        <f t="shared" si="327"/>
        <v/>
      </c>
      <c r="BN180" s="36" t="str">
        <f t="shared" si="353"/>
        <v/>
      </c>
      <c r="BQ180" s="36" t="str">
        <f t="shared" si="329"/>
        <v/>
      </c>
      <c r="BR180" s="36" t="str">
        <f t="shared" si="354"/>
        <v>Ben Jessup</v>
      </c>
      <c r="BU180" s="36" t="str">
        <f t="shared" si="331"/>
        <v/>
      </c>
      <c r="BV180" s="36" t="str">
        <f t="shared" si="355"/>
        <v/>
      </c>
      <c r="BY180" s="36" t="str">
        <f t="shared" si="333"/>
        <v/>
      </c>
      <c r="BZ180" s="36" t="str">
        <f t="shared" si="356"/>
        <v/>
      </c>
      <c r="CC180" s="36" t="str">
        <f t="shared" si="335"/>
        <v/>
      </c>
      <c r="CD180" s="36" t="str">
        <f t="shared" si="357"/>
        <v>Andy Booth</v>
      </c>
      <c r="CG180" s="36" t="str">
        <f t="shared" si="337"/>
        <v/>
      </c>
      <c r="CH180" s="36" t="str">
        <f t="shared" si="358"/>
        <v>Andy Booth</v>
      </c>
    </row>
    <row r="181" spans="7:86" s="36" customFormat="1">
      <c r="G181" s="8">
        <f t="shared" si="359"/>
        <v>39</v>
      </c>
      <c r="I181" s="36" t="str">
        <f t="shared" si="339"/>
        <v/>
      </c>
      <c r="J181" s="36" t="str">
        <f t="shared" si="360"/>
        <v>John Hubbard, Greg Irwin</v>
      </c>
      <c r="M181" s="36" t="str">
        <f t="shared" si="301"/>
        <v/>
      </c>
      <c r="N181" s="36" t="str">
        <f t="shared" si="340"/>
        <v>Dave Slaughter</v>
      </c>
      <c r="Q181" s="44" t="str">
        <f t="shared" si="303"/>
        <v/>
      </c>
      <c r="R181" s="36" t="str">
        <f t="shared" si="341"/>
        <v>Peter Compton</v>
      </c>
      <c r="U181" s="36" t="str">
        <f t="shared" si="305"/>
        <v/>
      </c>
      <c r="V181" s="36" t="str">
        <f t="shared" si="342"/>
        <v>Dave Slaughter</v>
      </c>
      <c r="Y181" s="36" t="str">
        <f t="shared" si="307"/>
        <v/>
      </c>
      <c r="Z181" s="36" t="str">
        <f t="shared" si="343"/>
        <v>Joe Burnett+1</v>
      </c>
      <c r="AC181" s="36" t="str">
        <f t="shared" si="309"/>
        <v/>
      </c>
      <c r="AD181" s="36" t="str">
        <f t="shared" si="344"/>
        <v>Hazel Wisby  +1</v>
      </c>
      <c r="AG181" s="36" t="str">
        <f t="shared" si="311"/>
        <v/>
      </c>
      <c r="AH181" s="36" t="str">
        <f t="shared" si="345"/>
        <v/>
      </c>
      <c r="AK181" s="36" t="str">
        <f t="shared" si="313"/>
        <v/>
      </c>
      <c r="AL181" s="36" t="str">
        <f t="shared" si="346"/>
        <v>Simon Peach</v>
      </c>
      <c r="AO181" s="36" t="str">
        <f t="shared" si="315"/>
        <v/>
      </c>
      <c r="AP181" s="36" t="str">
        <f t="shared" si="347"/>
        <v>Dave Slaughter</v>
      </c>
      <c r="AS181" s="36" t="str">
        <f t="shared" si="317"/>
        <v/>
      </c>
      <c r="AT181" s="36" t="str">
        <f t="shared" si="348"/>
        <v>Dave Slaughter</v>
      </c>
      <c r="AW181" s="36" t="str">
        <f t="shared" si="319"/>
        <v/>
      </c>
      <c r="AX181" s="36" t="str">
        <f t="shared" si="349"/>
        <v>Andy Booth</v>
      </c>
      <c r="BA181" s="36" t="str">
        <f t="shared" si="321"/>
        <v/>
      </c>
      <c r="BB181" s="36" t="str">
        <f t="shared" si="350"/>
        <v>Brian Kilby (Welwyn)</v>
      </c>
      <c r="BE181" s="36" t="str">
        <f t="shared" si="323"/>
        <v/>
      </c>
      <c r="BF181" s="36" t="str">
        <f t="shared" si="351"/>
        <v>Dave Slaughter</v>
      </c>
      <c r="BI181" s="36" t="str">
        <f t="shared" si="325"/>
        <v/>
      </c>
      <c r="BJ181" s="36" t="str">
        <f t="shared" si="352"/>
        <v>Debbie Field</v>
      </c>
      <c r="BM181" s="36" t="str">
        <f t="shared" si="327"/>
        <v/>
      </c>
      <c r="BN181" s="36" t="str">
        <f t="shared" si="353"/>
        <v/>
      </c>
      <c r="BQ181" s="36" t="str">
        <f t="shared" si="329"/>
        <v/>
      </c>
      <c r="BR181" s="36" t="str">
        <f t="shared" si="354"/>
        <v>Ben Jessup</v>
      </c>
      <c r="BU181" s="36" t="str">
        <f t="shared" si="331"/>
        <v/>
      </c>
      <c r="BV181" s="36" t="str">
        <f t="shared" si="355"/>
        <v/>
      </c>
      <c r="BY181" s="36" t="str">
        <f t="shared" si="333"/>
        <v/>
      </c>
      <c r="BZ181" s="36" t="str">
        <f t="shared" si="356"/>
        <v/>
      </c>
      <c r="CC181" s="36" t="str">
        <f t="shared" si="335"/>
        <v/>
      </c>
      <c r="CD181" s="36" t="str">
        <f t="shared" si="357"/>
        <v>Andy Booth</v>
      </c>
      <c r="CG181" s="36" t="str">
        <f t="shared" si="337"/>
        <v/>
      </c>
      <c r="CH181" s="36" t="str">
        <f t="shared" si="358"/>
        <v>Andy Booth</v>
      </c>
    </row>
    <row r="182" spans="7:86" s="36" customFormat="1">
      <c r="G182" s="8">
        <f t="shared" si="359"/>
        <v>40</v>
      </c>
      <c r="I182" s="36" t="str">
        <f t="shared" si="339"/>
        <v/>
      </c>
      <c r="J182" s="36" t="str">
        <f t="shared" si="360"/>
        <v>John Hubbard, Greg Irwin</v>
      </c>
      <c r="M182" s="36" t="str">
        <f t="shared" si="301"/>
        <v/>
      </c>
      <c r="N182" s="36" t="str">
        <f t="shared" si="340"/>
        <v>Dave Slaughter</v>
      </c>
      <c r="Q182" s="44" t="str">
        <f t="shared" si="303"/>
        <v/>
      </c>
      <c r="R182" s="36" t="str">
        <f t="shared" si="341"/>
        <v>Peter Compton</v>
      </c>
      <c r="U182" s="36" t="str">
        <f t="shared" si="305"/>
        <v/>
      </c>
      <c r="V182" s="36" t="str">
        <f t="shared" si="342"/>
        <v>Dave Slaughter</v>
      </c>
      <c r="Y182" s="36" t="str">
        <f t="shared" si="307"/>
        <v/>
      </c>
      <c r="Z182" s="36" t="str">
        <f t="shared" si="343"/>
        <v>Joe Burnett+1</v>
      </c>
      <c r="AC182" s="36" t="str">
        <f t="shared" si="309"/>
        <v/>
      </c>
      <c r="AD182" s="36" t="str">
        <f t="shared" si="344"/>
        <v>Hazel Wisby  +1</v>
      </c>
      <c r="AG182" s="36" t="str">
        <f t="shared" si="311"/>
        <v/>
      </c>
      <c r="AH182" s="36" t="str">
        <f t="shared" si="345"/>
        <v/>
      </c>
      <c r="AK182" s="36" t="str">
        <f t="shared" si="313"/>
        <v/>
      </c>
      <c r="AL182" s="36" t="str">
        <f t="shared" si="346"/>
        <v>Simon Peach</v>
      </c>
      <c r="AO182" s="36" t="str">
        <f t="shared" si="315"/>
        <v/>
      </c>
      <c r="AP182" s="36" t="str">
        <f t="shared" si="347"/>
        <v>Dave Slaughter</v>
      </c>
      <c r="AS182" s="36" t="str">
        <f t="shared" si="317"/>
        <v/>
      </c>
      <c r="AT182" s="36" t="str">
        <f t="shared" si="348"/>
        <v>Dave Slaughter</v>
      </c>
      <c r="AW182" s="36" t="str">
        <f t="shared" si="319"/>
        <v/>
      </c>
      <c r="AX182" s="36" t="str">
        <f t="shared" si="349"/>
        <v>Andy Booth</v>
      </c>
      <c r="BA182" s="36" t="str">
        <f t="shared" si="321"/>
        <v/>
      </c>
      <c r="BB182" s="36" t="str">
        <f t="shared" si="350"/>
        <v>Brian Kilby (Welwyn)</v>
      </c>
      <c r="BE182" s="36" t="str">
        <f t="shared" si="323"/>
        <v/>
      </c>
      <c r="BF182" s="36" t="str">
        <f t="shared" si="351"/>
        <v>Dave Slaughter</v>
      </c>
      <c r="BI182" s="36" t="str">
        <f t="shared" si="325"/>
        <v/>
      </c>
      <c r="BJ182" s="36" t="str">
        <f t="shared" si="352"/>
        <v>Debbie Field</v>
      </c>
      <c r="BM182" s="36" t="str">
        <f t="shared" si="327"/>
        <v/>
      </c>
      <c r="BN182" s="36" t="str">
        <f t="shared" si="353"/>
        <v/>
      </c>
      <c r="BQ182" s="36" t="str">
        <f t="shared" si="329"/>
        <v/>
      </c>
      <c r="BR182" s="36" t="str">
        <f t="shared" si="354"/>
        <v>Ben Jessup</v>
      </c>
      <c r="BU182" s="36" t="str">
        <f t="shared" si="331"/>
        <v/>
      </c>
      <c r="BV182" s="36" t="str">
        <f t="shared" si="355"/>
        <v/>
      </c>
      <c r="BY182" s="36" t="str">
        <f t="shared" si="333"/>
        <v/>
      </c>
      <c r="BZ182" s="36" t="str">
        <f t="shared" si="356"/>
        <v/>
      </c>
      <c r="CC182" s="36" t="str">
        <f t="shared" si="335"/>
        <v/>
      </c>
      <c r="CD182" s="36" t="str">
        <f t="shared" si="357"/>
        <v>Andy Booth</v>
      </c>
      <c r="CG182" s="36" t="str">
        <f t="shared" si="337"/>
        <v/>
      </c>
      <c r="CH182" s="36" t="str">
        <f t="shared" si="358"/>
        <v>Andy Booth</v>
      </c>
    </row>
    <row r="183" spans="7:86" ht="12.75" customHeight="1">
      <c r="H183" s="8" t="s">
        <v>37</v>
      </c>
    </row>
  </sheetData>
  <sheetProtection selectLockedCells="1" selectUnlockedCells="1"/>
  <phoneticPr fontId="5" type="noConversion"/>
  <printOptions gridLine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55"/>
  <sheetViews>
    <sheetView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B21" sqref="B21"/>
    </sheetView>
  </sheetViews>
  <sheetFormatPr defaultColWidth="11.7109375" defaultRowHeight="12.75"/>
  <cols>
    <col min="1" max="1" width="4.85546875" style="1" customWidth="1"/>
    <col min="2" max="2" width="21" style="1" bestFit="1" customWidth="1"/>
    <col min="3" max="3" width="14.7109375" style="41" bestFit="1" customWidth="1"/>
    <col min="4" max="4" width="8.5703125" style="1" bestFit="1" customWidth="1"/>
    <col min="5" max="5" width="6.140625" style="1" bestFit="1" customWidth="1"/>
    <col min="6" max="6" width="4.42578125" style="1" bestFit="1" customWidth="1"/>
    <col min="7" max="7" width="8.5703125" style="1" bestFit="1" customWidth="1"/>
    <col min="8" max="8" width="7.85546875" style="1" bestFit="1" customWidth="1"/>
    <col min="9" max="9" width="7.85546875" style="48" bestFit="1" customWidth="1"/>
    <col min="10" max="10" width="5.85546875" style="1" bestFit="1" customWidth="1"/>
    <col min="11" max="11" width="6.140625" style="1" bestFit="1" customWidth="1"/>
    <col min="12" max="12" width="5.85546875" style="48" bestFit="1" customWidth="1"/>
    <col min="13" max="14" width="8.42578125" style="1" bestFit="1" customWidth="1"/>
    <col min="15" max="15" width="8.42578125" style="48" bestFit="1" customWidth="1"/>
    <col min="16" max="16" width="8.140625" style="1" bestFit="1" customWidth="1"/>
    <col min="17" max="17" width="8.7109375" style="1" bestFit="1" customWidth="1"/>
    <col min="18" max="16384" width="11.7109375" style="1"/>
  </cols>
  <sheetData>
    <row r="1" spans="1:18">
      <c r="G1" s="1" t="s">
        <v>55</v>
      </c>
      <c r="J1" s="1" t="s">
        <v>83</v>
      </c>
      <c r="M1" s="1" t="s">
        <v>2</v>
      </c>
    </row>
    <row r="2" spans="1:18">
      <c r="A2" s="2"/>
      <c r="B2" s="2"/>
      <c r="C2" s="42"/>
      <c r="D2" s="3"/>
      <c r="E2" s="3"/>
      <c r="F2" s="3"/>
      <c r="G2" s="3" t="s">
        <v>0</v>
      </c>
      <c r="H2" s="3" t="s">
        <v>0</v>
      </c>
      <c r="I2" s="3" t="s">
        <v>0</v>
      </c>
      <c r="J2" s="3" t="s">
        <v>1</v>
      </c>
      <c r="K2" s="3" t="s">
        <v>1</v>
      </c>
      <c r="L2" s="3" t="s">
        <v>1</v>
      </c>
      <c r="M2" s="3" t="s">
        <v>2</v>
      </c>
      <c r="N2" s="3" t="s">
        <v>2</v>
      </c>
      <c r="O2" s="3" t="s">
        <v>2</v>
      </c>
      <c r="P2" s="40" t="s">
        <v>35</v>
      </c>
      <c r="Q2" s="40" t="s">
        <v>35</v>
      </c>
    </row>
    <row r="3" spans="1:18" ht="16.350000000000001" customHeight="1">
      <c r="A3" s="2" t="s">
        <v>3</v>
      </c>
      <c r="B3" s="2" t="s">
        <v>4</v>
      </c>
      <c r="C3" s="42" t="s">
        <v>5</v>
      </c>
      <c r="D3" s="2" t="s">
        <v>6</v>
      </c>
      <c r="E3" s="2" t="s">
        <v>7</v>
      </c>
      <c r="F3" s="3" t="s">
        <v>8</v>
      </c>
      <c r="G3" s="2" t="s">
        <v>6</v>
      </c>
      <c r="H3" s="2" t="s">
        <v>7</v>
      </c>
      <c r="I3" s="3" t="s">
        <v>8</v>
      </c>
      <c r="J3" s="2" t="s">
        <v>6</v>
      </c>
      <c r="K3" s="2" t="s">
        <v>7</v>
      </c>
      <c r="L3" s="3" t="s">
        <v>8</v>
      </c>
      <c r="M3" s="2" t="s">
        <v>6</v>
      </c>
      <c r="N3" s="2" t="s">
        <v>7</v>
      </c>
      <c r="O3" s="3" t="s">
        <v>8</v>
      </c>
      <c r="P3" s="40" t="s">
        <v>41</v>
      </c>
      <c r="Q3" s="40" t="s">
        <v>42</v>
      </c>
    </row>
    <row r="4" spans="1:18">
      <c r="F4" s="48"/>
    </row>
    <row r="5" spans="1:18">
      <c r="A5" s="1">
        <f>Stats!A10</f>
        <v>888</v>
      </c>
      <c r="B5" s="1" t="str">
        <f>Stats!D10</f>
        <v>Jordan Anning</v>
      </c>
      <c r="C5" s="41" t="str">
        <f>Stats!E10</f>
        <v>Midfield</v>
      </c>
      <c r="D5" s="13">
        <f t="shared" ref="D5" si="0">SUM(G5,J5,M5)</f>
        <v>1</v>
      </c>
      <c r="E5" s="13">
        <f t="shared" ref="E5" si="1">SUM(H5,K5,N5)</f>
        <v>0</v>
      </c>
      <c r="F5" s="48">
        <f t="shared" ref="F5" si="2">IF(D5&gt;0,E5/D5,"")</f>
        <v>0</v>
      </c>
      <c r="G5" s="5">
        <f>COUNTIFS(Stats!$I$4:$CG$4,G$1,Stats!$I10:$CG10,"&lt;&gt;")</f>
        <v>1</v>
      </c>
      <c r="H5" s="5">
        <f>SUMIF(Stats!$I$4:$CF$4,G$1,Stats!$J10:$CI10)</f>
        <v>0</v>
      </c>
      <c r="I5" s="6">
        <f t="shared" ref="I5" si="3">IF(G5&gt;0,H5/G5,"")</f>
        <v>0</v>
      </c>
      <c r="J5" s="5">
        <f>COUNTIFS(Stats!$I$4:$CG$4,J$1,Stats!$I10:$CG10,"&lt;&gt;")</f>
        <v>0</v>
      </c>
      <c r="K5" s="5">
        <f>SUMIF(Stats!$I$4:$CF$4,J$1,Stats!$J10:$CI10)</f>
        <v>0</v>
      </c>
      <c r="L5" s="6" t="str">
        <f t="shared" ref="L5" si="4">IF(J5&gt;0,K5/J5,"")</f>
        <v/>
      </c>
      <c r="M5" s="5">
        <f>COUNTIFS(Stats!$I$4:$CG$4,M$1,Stats!$I10:$CG10,"&lt;&gt;")</f>
        <v>0</v>
      </c>
      <c r="N5" s="5">
        <f>SUMIF(Stats!$I$4:$CF$4,M$1,Stats!$J10:$CI10)</f>
        <v>0</v>
      </c>
      <c r="O5" s="6" t="str">
        <f t="shared" ref="O5" si="5">IF(M5&gt;0,N5/M5,"")</f>
        <v/>
      </c>
      <c r="P5" s="13">
        <f>COUNTIFS(Stats!$L$9:$CG$9,"R",Stats!$L10:$CG10,"&gt;0")</f>
        <v>0</v>
      </c>
      <c r="Q5" s="13">
        <f>SUMIF(Stats!$L$9:$CG$9,"R",Stats!$L10:$CG10)</f>
        <v>0</v>
      </c>
      <c r="R5" s="13">
        <f>Stats!G10-E5</f>
        <v>0</v>
      </c>
    </row>
    <row r="6" spans="1:18">
      <c r="A6" s="1">
        <f>Stats!A11</f>
        <v>888</v>
      </c>
      <c r="B6" s="1" t="str">
        <f>Stats!D11</f>
        <v>Lorenzo Balzarini</v>
      </c>
      <c r="C6" s="41" t="str">
        <f>Stats!E11</f>
        <v>Midfield</v>
      </c>
      <c r="D6" s="13">
        <f t="shared" ref="D6:D44" si="6">SUM(G6,J6,M6)</f>
        <v>10</v>
      </c>
      <c r="E6" s="13">
        <f t="shared" ref="E6:E44" si="7">SUM(H6,K6,N6)</f>
        <v>7</v>
      </c>
      <c r="F6" s="48">
        <f t="shared" ref="F6:F44" si="8">IF(D6&gt;0,E6/D6,"")</f>
        <v>0.7</v>
      </c>
      <c r="G6" s="5">
        <f>COUNTIFS(Stats!$I$4:$CG$4,G$1,Stats!$I11:$CG11,"&lt;&gt;")</f>
        <v>9</v>
      </c>
      <c r="H6" s="5">
        <f>SUMIF(Stats!$I$4:$CF$4,G$1,Stats!$J11:$CI11)</f>
        <v>6</v>
      </c>
      <c r="I6" s="6">
        <f t="shared" ref="I6:I44" si="9">IF(G6&gt;0,H6/G6,"")</f>
        <v>0.66666666666666663</v>
      </c>
      <c r="J6" s="5">
        <f>COUNTIFS(Stats!$I$4:$CG$4,J$1,Stats!$I11:$CG11,"&lt;&gt;")</f>
        <v>1</v>
      </c>
      <c r="K6" s="5">
        <f>SUMIF(Stats!$I$4:$CF$4,J$1,Stats!$J11:$CI11)</f>
        <v>1</v>
      </c>
      <c r="L6" s="6">
        <f t="shared" ref="L6:L44" si="10">IF(J6&gt;0,K6/J6,"")</f>
        <v>1</v>
      </c>
      <c r="M6" s="5">
        <f>COUNTIFS(Stats!$I$4:$CG$4,M$1,Stats!$I11:$CG11,"&lt;&gt;")</f>
        <v>0</v>
      </c>
      <c r="N6" s="5">
        <f>SUMIF(Stats!$I$4:$CF$4,M$1,Stats!$J11:$CI11)</f>
        <v>0</v>
      </c>
      <c r="O6" s="6" t="str">
        <f t="shared" ref="O6:O44" si="11">IF(M6&gt;0,N6/M6,"")</f>
        <v/>
      </c>
      <c r="P6" s="13">
        <f>COUNTIFS(Stats!$L$9:$CG$9,"R",Stats!$L11:$CG11,"&gt;0")</f>
        <v>0</v>
      </c>
      <c r="Q6" s="13">
        <f>SUMIF(Stats!$L$9:$CG$9,"R",Stats!$L11:$CG11)</f>
        <v>0</v>
      </c>
      <c r="R6" s="13">
        <f>Stats!G11-E6</f>
        <v>0</v>
      </c>
    </row>
    <row r="7" spans="1:18">
      <c r="A7" s="1">
        <f>Stats!A12</f>
        <v>5</v>
      </c>
      <c r="B7" s="1" t="str">
        <f>Stats!D12</f>
        <v>Justin Baranowski</v>
      </c>
      <c r="C7" s="41" t="str">
        <f>Stats!E12</f>
        <v>Attack</v>
      </c>
      <c r="D7" s="13">
        <f t="shared" si="6"/>
        <v>13</v>
      </c>
      <c r="E7" s="13">
        <f t="shared" si="7"/>
        <v>14</v>
      </c>
      <c r="F7" s="48">
        <f t="shared" si="8"/>
        <v>1.0769230769230769</v>
      </c>
      <c r="G7" s="5">
        <f>COUNTIFS(Stats!$I$4:$CG$4,G$1,Stats!$I12:$CG12,"&lt;&gt;")</f>
        <v>12</v>
      </c>
      <c r="H7" s="5">
        <f>SUMIF(Stats!$I$4:$CF$4,G$1,Stats!$J12:$CI12)</f>
        <v>13</v>
      </c>
      <c r="I7" s="6">
        <f t="shared" si="9"/>
        <v>1.0833333333333333</v>
      </c>
      <c r="J7" s="5">
        <f>COUNTIFS(Stats!$I$4:$CG$4,J$1,Stats!$I12:$CG12,"&lt;&gt;")</f>
        <v>1</v>
      </c>
      <c r="K7" s="5">
        <f>SUMIF(Stats!$I$4:$CF$4,J$1,Stats!$J12:$CI12)</f>
        <v>1</v>
      </c>
      <c r="L7" s="6">
        <f t="shared" si="10"/>
        <v>1</v>
      </c>
      <c r="M7" s="5">
        <f>COUNTIFS(Stats!$I$4:$CG$4,M$1,Stats!$I12:$CG12,"&lt;&gt;")</f>
        <v>0</v>
      </c>
      <c r="N7" s="5">
        <f>SUMIF(Stats!$I$4:$CF$4,M$1,Stats!$J12:$CI12)</f>
        <v>0</v>
      </c>
      <c r="O7" s="6" t="str">
        <f t="shared" si="11"/>
        <v/>
      </c>
      <c r="P7" s="13">
        <f>COUNTIFS(Stats!$L$9:$CG$9,"R",Stats!$L12:$CG12,"&gt;0")</f>
        <v>0</v>
      </c>
      <c r="Q7" s="13">
        <f>SUMIF(Stats!$L$9:$CG$9,"R",Stats!$L12:$CG12)</f>
        <v>0</v>
      </c>
      <c r="R7" s="13">
        <f>Stats!G12-E7</f>
        <v>0</v>
      </c>
    </row>
    <row r="8" spans="1:18">
      <c r="A8" s="1">
        <f>Stats!A13</f>
        <v>888</v>
      </c>
      <c r="B8" s="1" t="str">
        <f>Stats!D13</f>
        <v>Sam Baranowski</v>
      </c>
      <c r="C8" s="41" t="str">
        <f>Stats!E13</f>
        <v>Midfield</v>
      </c>
      <c r="D8" s="13">
        <f t="shared" si="6"/>
        <v>10</v>
      </c>
      <c r="E8" s="13">
        <f t="shared" si="7"/>
        <v>0</v>
      </c>
      <c r="F8" s="48">
        <f t="shared" si="8"/>
        <v>0</v>
      </c>
      <c r="G8" s="5">
        <f>COUNTIFS(Stats!$I$4:$CG$4,G$1,Stats!$I13:$CG13,"&lt;&gt;")</f>
        <v>9</v>
      </c>
      <c r="H8" s="5">
        <f>SUMIF(Stats!$I$4:$CF$4,G$1,Stats!$J13:$CI13)</f>
        <v>0</v>
      </c>
      <c r="I8" s="6">
        <f t="shared" si="9"/>
        <v>0</v>
      </c>
      <c r="J8" s="5">
        <f>COUNTIFS(Stats!$I$4:$CG$4,J$1,Stats!$I13:$CG13,"&lt;&gt;")</f>
        <v>1</v>
      </c>
      <c r="K8" s="5">
        <f>SUMIF(Stats!$I$4:$CF$4,J$1,Stats!$J13:$CI13)</f>
        <v>0</v>
      </c>
      <c r="L8" s="6">
        <f t="shared" si="10"/>
        <v>0</v>
      </c>
      <c r="M8" s="5">
        <f>COUNTIFS(Stats!$I$4:$CG$4,M$1,Stats!$I13:$CG13,"&lt;&gt;")</f>
        <v>0</v>
      </c>
      <c r="N8" s="5">
        <f>SUMIF(Stats!$I$4:$CF$4,M$1,Stats!$J13:$CI13)</f>
        <v>0</v>
      </c>
      <c r="O8" s="6" t="str">
        <f t="shared" si="11"/>
        <v/>
      </c>
      <c r="P8" s="13">
        <f>COUNTIFS(Stats!$L$9:$CG$9,"R",Stats!$L13:$CG13,"&gt;0")</f>
        <v>0</v>
      </c>
      <c r="Q8" s="13">
        <f>SUMIF(Stats!$L$9:$CG$9,"R",Stats!$L13:$CG13)</f>
        <v>0</v>
      </c>
      <c r="R8" s="13">
        <f>Stats!G13-E8</f>
        <v>0</v>
      </c>
    </row>
    <row r="9" spans="1:18">
      <c r="A9" s="1">
        <f>Stats!A14</f>
        <v>888</v>
      </c>
      <c r="B9" s="1" t="str">
        <f>Stats!D14</f>
        <v>Mike Barratt</v>
      </c>
      <c r="C9" s="41" t="str">
        <f>Stats!E14</f>
        <v>Midfield/FO</v>
      </c>
      <c r="D9" s="13">
        <f t="shared" si="6"/>
        <v>6</v>
      </c>
      <c r="E9" s="13">
        <f t="shared" si="7"/>
        <v>7</v>
      </c>
      <c r="F9" s="48">
        <f t="shared" si="8"/>
        <v>1.1666666666666667</v>
      </c>
      <c r="G9" s="5">
        <f>COUNTIFS(Stats!$I$4:$CG$4,G$1,Stats!$I14:$CG14,"&lt;&gt;")</f>
        <v>6</v>
      </c>
      <c r="H9" s="5">
        <f>SUMIF(Stats!$I$4:$CF$4,G$1,Stats!$J14:$CI14)</f>
        <v>7</v>
      </c>
      <c r="I9" s="6">
        <f t="shared" si="9"/>
        <v>1.1666666666666667</v>
      </c>
      <c r="J9" s="5">
        <f>COUNTIFS(Stats!$I$4:$CG$4,J$1,Stats!$I14:$CG14,"&lt;&gt;")</f>
        <v>0</v>
      </c>
      <c r="K9" s="5">
        <f>SUMIF(Stats!$I$4:$CF$4,J$1,Stats!$J14:$CI14)</f>
        <v>0</v>
      </c>
      <c r="L9" s="6" t="str">
        <f t="shared" si="10"/>
        <v/>
      </c>
      <c r="M9" s="5">
        <f>COUNTIFS(Stats!$I$4:$CG$4,M$1,Stats!$I14:$CG14,"&lt;&gt;")</f>
        <v>0</v>
      </c>
      <c r="N9" s="5">
        <f>SUMIF(Stats!$I$4:$CF$4,M$1,Stats!$J14:$CI14)</f>
        <v>0</v>
      </c>
      <c r="O9" s="6" t="str">
        <f t="shared" si="11"/>
        <v/>
      </c>
      <c r="P9" s="13">
        <f>COUNTIFS(Stats!$L$9:$CG$9,"R",Stats!$L14:$CG14,"&gt;0")</f>
        <v>0</v>
      </c>
      <c r="Q9" s="13">
        <f>SUMIF(Stats!$L$9:$CG$9,"R",Stats!$L14:$CG14)</f>
        <v>0</v>
      </c>
      <c r="R9" s="13">
        <f>Stats!G14-E9</f>
        <v>1</v>
      </c>
    </row>
    <row r="10" spans="1:18">
      <c r="A10" s="1">
        <f>Stats!A15</f>
        <v>888</v>
      </c>
      <c r="B10" s="1" t="str">
        <f>Stats!D15</f>
        <v>Dave Berman</v>
      </c>
      <c r="C10" s="41" t="str">
        <f>Stats!E15</f>
        <v>Midfield</v>
      </c>
      <c r="D10" s="13">
        <f t="shared" si="6"/>
        <v>3</v>
      </c>
      <c r="E10" s="13">
        <f t="shared" si="7"/>
        <v>3</v>
      </c>
      <c r="F10" s="48">
        <f t="shared" si="8"/>
        <v>1</v>
      </c>
      <c r="G10" s="5">
        <f>COUNTIFS(Stats!$I$4:$CG$4,G$1,Stats!$I15:$CG15,"&lt;&gt;")</f>
        <v>3</v>
      </c>
      <c r="H10" s="5">
        <f>SUMIF(Stats!$I$4:$CF$4,G$1,Stats!$J15:$CI15)</f>
        <v>3</v>
      </c>
      <c r="I10" s="6">
        <f t="shared" si="9"/>
        <v>1</v>
      </c>
      <c r="J10" s="5">
        <f>COUNTIFS(Stats!$I$4:$CG$4,J$1,Stats!$I15:$CG15,"&lt;&gt;")</f>
        <v>0</v>
      </c>
      <c r="K10" s="5">
        <f>SUMIF(Stats!$I$4:$CF$4,J$1,Stats!$J15:$CI15)</f>
        <v>0</v>
      </c>
      <c r="L10" s="6" t="str">
        <f t="shared" si="10"/>
        <v/>
      </c>
      <c r="M10" s="5">
        <f>COUNTIFS(Stats!$I$4:$CG$4,M$1,Stats!$I15:$CG15,"&lt;&gt;")</f>
        <v>0</v>
      </c>
      <c r="N10" s="5">
        <f>SUMIF(Stats!$I$4:$CF$4,M$1,Stats!$J15:$CI15)</f>
        <v>0</v>
      </c>
      <c r="O10" s="6" t="str">
        <f t="shared" si="11"/>
        <v/>
      </c>
      <c r="P10" s="13">
        <f>COUNTIFS(Stats!$L$9:$CG$9,"R",Stats!$L15:$CG15,"&gt;0")</f>
        <v>0</v>
      </c>
      <c r="Q10" s="13">
        <f>SUMIF(Stats!$L$9:$CG$9,"R",Stats!$L15:$CG15)</f>
        <v>0</v>
      </c>
      <c r="R10" s="13">
        <f>Stats!G15-E10</f>
        <v>1</v>
      </c>
    </row>
    <row r="11" spans="1:18">
      <c r="A11" s="1">
        <f>Stats!A16</f>
        <v>888</v>
      </c>
      <c r="B11" s="1" t="str">
        <f>Stats!D16</f>
        <v>Lewis Blackshaw</v>
      </c>
      <c r="C11" s="41" t="str">
        <f>Stats!E16</f>
        <v>Midfield</v>
      </c>
      <c r="D11" s="13">
        <f t="shared" si="6"/>
        <v>1</v>
      </c>
      <c r="E11" s="13">
        <f t="shared" si="7"/>
        <v>0</v>
      </c>
      <c r="F11" s="48">
        <f t="shared" si="8"/>
        <v>0</v>
      </c>
      <c r="G11" s="5">
        <f>COUNTIFS(Stats!$I$4:$CG$4,G$1,Stats!$I16:$CG16,"&lt;&gt;")</f>
        <v>1</v>
      </c>
      <c r="H11" s="5">
        <f>SUMIF(Stats!$I$4:$CF$4,G$1,Stats!$J16:$CI16)</f>
        <v>0</v>
      </c>
      <c r="I11" s="6">
        <f t="shared" si="9"/>
        <v>0</v>
      </c>
      <c r="J11" s="5">
        <f>COUNTIFS(Stats!$I$4:$CG$4,J$1,Stats!$I16:$CG16,"&lt;&gt;")</f>
        <v>0</v>
      </c>
      <c r="K11" s="5">
        <f>SUMIF(Stats!$I$4:$CF$4,J$1,Stats!$J16:$CI16)</f>
        <v>0</v>
      </c>
      <c r="L11" s="6" t="str">
        <f t="shared" si="10"/>
        <v/>
      </c>
      <c r="M11" s="5">
        <f>COUNTIFS(Stats!$I$4:$CG$4,M$1,Stats!$I16:$CG16,"&lt;&gt;")</f>
        <v>0</v>
      </c>
      <c r="N11" s="5">
        <f>SUMIF(Stats!$I$4:$CF$4,M$1,Stats!$J16:$CI16)</f>
        <v>0</v>
      </c>
      <c r="O11" s="6" t="str">
        <f t="shared" si="11"/>
        <v/>
      </c>
      <c r="P11" s="13">
        <f>COUNTIFS(Stats!$L$9:$CG$9,"R",Stats!$L16:$CG16,"&gt;0")</f>
        <v>0</v>
      </c>
      <c r="Q11" s="13">
        <f>SUMIF(Stats!$L$9:$CG$9,"R",Stats!$L16:$CG16)</f>
        <v>0</v>
      </c>
      <c r="R11" s="13">
        <f>Stats!G16-E11</f>
        <v>0</v>
      </c>
    </row>
    <row r="12" spans="1:18">
      <c r="A12" s="1">
        <f>Stats!A17</f>
        <v>3</v>
      </c>
      <c r="B12" s="1" t="str">
        <f>Stats!D17</f>
        <v>Andy Booth</v>
      </c>
      <c r="C12" s="41" t="str">
        <f>Stats!E17</f>
        <v>Defence</v>
      </c>
      <c r="D12" s="13">
        <f t="shared" si="6"/>
        <v>12</v>
      </c>
      <c r="E12" s="13">
        <f t="shared" si="7"/>
        <v>0</v>
      </c>
      <c r="F12" s="48">
        <f t="shared" si="8"/>
        <v>0</v>
      </c>
      <c r="G12" s="5">
        <f>COUNTIFS(Stats!$I$4:$CG$4,G$1,Stats!$I17:$CG17,"&lt;&gt;")</f>
        <v>12</v>
      </c>
      <c r="H12" s="5">
        <f>SUMIF(Stats!$I$4:$CF$4,G$1,Stats!$J17:$CI17)</f>
        <v>0</v>
      </c>
      <c r="I12" s="6">
        <f t="shared" si="9"/>
        <v>0</v>
      </c>
      <c r="J12" s="5">
        <f>COUNTIFS(Stats!$I$4:$CG$4,J$1,Stats!$I17:$CG17,"&lt;&gt;")</f>
        <v>0</v>
      </c>
      <c r="K12" s="5">
        <f>SUMIF(Stats!$I$4:$CF$4,J$1,Stats!$J17:$CI17)</f>
        <v>0</v>
      </c>
      <c r="L12" s="6" t="str">
        <f t="shared" si="10"/>
        <v/>
      </c>
      <c r="M12" s="5">
        <f>COUNTIFS(Stats!$I$4:$CG$4,M$1,Stats!$I17:$CG17,"&lt;&gt;")</f>
        <v>0</v>
      </c>
      <c r="N12" s="5">
        <f>SUMIF(Stats!$I$4:$CF$4,M$1,Stats!$J17:$CI17)</f>
        <v>0</v>
      </c>
      <c r="O12" s="6" t="str">
        <f t="shared" si="11"/>
        <v/>
      </c>
      <c r="P12" s="13">
        <f>COUNTIFS(Stats!$L$9:$CG$9,"R",Stats!$L17:$CG17,"&gt;0")</f>
        <v>2</v>
      </c>
      <c r="Q12" s="13">
        <f>SUMIF(Stats!$L$9:$CG$9,"R",Stats!$L17:$CG17)</f>
        <v>8</v>
      </c>
      <c r="R12" s="13">
        <f>Stats!G17-E12</f>
        <v>0</v>
      </c>
    </row>
    <row r="13" spans="1:18">
      <c r="A13" s="1">
        <f>Stats!A18</f>
        <v>888</v>
      </c>
      <c r="B13" s="1" t="str">
        <f>Stats!D18</f>
        <v>Lygon Bowen-west</v>
      </c>
      <c r="C13" s="41" t="str">
        <f>Stats!E18</f>
        <v>Goal</v>
      </c>
      <c r="D13" s="13">
        <f t="shared" si="6"/>
        <v>1</v>
      </c>
      <c r="E13" s="13">
        <f t="shared" si="7"/>
        <v>0</v>
      </c>
      <c r="F13" s="48">
        <f t="shared" si="8"/>
        <v>0</v>
      </c>
      <c r="G13" s="5">
        <f>COUNTIFS(Stats!$I$4:$CG$4,G$1,Stats!$I18:$CG18,"&lt;&gt;")</f>
        <v>1</v>
      </c>
      <c r="H13" s="5">
        <f>SUMIF(Stats!$I$4:$CF$4,G$1,Stats!$J18:$CI18)</f>
        <v>0</v>
      </c>
      <c r="I13" s="6">
        <f t="shared" si="9"/>
        <v>0</v>
      </c>
      <c r="J13" s="5">
        <f>COUNTIFS(Stats!$I$4:$CG$4,J$1,Stats!$I18:$CG18,"&lt;&gt;")</f>
        <v>0</v>
      </c>
      <c r="K13" s="5">
        <f>SUMIF(Stats!$I$4:$CF$4,J$1,Stats!$J18:$CI18)</f>
        <v>0</v>
      </c>
      <c r="L13" s="6" t="str">
        <f t="shared" si="10"/>
        <v/>
      </c>
      <c r="M13" s="5">
        <f>COUNTIFS(Stats!$I$4:$CG$4,M$1,Stats!$I18:$CG18,"&lt;&gt;")</f>
        <v>0</v>
      </c>
      <c r="N13" s="5">
        <f>SUMIF(Stats!$I$4:$CF$4,M$1,Stats!$J18:$CI18)</f>
        <v>0</v>
      </c>
      <c r="O13" s="6" t="str">
        <f t="shared" si="11"/>
        <v/>
      </c>
      <c r="P13" s="13">
        <f>COUNTIFS(Stats!$L$9:$CG$9,"R",Stats!$L18:$CG18,"&gt;0")</f>
        <v>0</v>
      </c>
      <c r="Q13" s="13">
        <f>SUMIF(Stats!$L$9:$CG$9,"R",Stats!$L18:$CG18)</f>
        <v>0</v>
      </c>
      <c r="R13" s="13">
        <f>Stats!G18-E13</f>
        <v>0</v>
      </c>
    </row>
    <row r="14" spans="1:18">
      <c r="A14" s="1">
        <f>Stats!A19</f>
        <v>888</v>
      </c>
      <c r="B14" s="1" t="str">
        <f>Stats!D19</f>
        <v>Billy Camuso</v>
      </c>
      <c r="C14" s="41" t="str">
        <f>Stats!E19</f>
        <v>Attack</v>
      </c>
      <c r="D14" s="13">
        <f t="shared" si="6"/>
        <v>9</v>
      </c>
      <c r="E14" s="13">
        <f t="shared" si="7"/>
        <v>2</v>
      </c>
      <c r="F14" s="48">
        <f t="shared" si="8"/>
        <v>0.22222222222222221</v>
      </c>
      <c r="G14" s="5">
        <f>COUNTIFS(Stats!$I$4:$CG$4,G$1,Stats!$I19:$CG19,"&lt;&gt;")</f>
        <v>8</v>
      </c>
      <c r="H14" s="5">
        <f>SUMIF(Stats!$I$4:$CF$4,G$1,Stats!$J19:$CI19)</f>
        <v>2</v>
      </c>
      <c r="I14" s="6">
        <f t="shared" si="9"/>
        <v>0.25</v>
      </c>
      <c r="J14" s="5">
        <f>COUNTIFS(Stats!$I$4:$CG$4,J$1,Stats!$I19:$CG19,"&lt;&gt;")</f>
        <v>1</v>
      </c>
      <c r="K14" s="5">
        <f>SUMIF(Stats!$I$4:$CF$4,J$1,Stats!$J19:$CI19)</f>
        <v>0</v>
      </c>
      <c r="L14" s="6">
        <f t="shared" si="10"/>
        <v>0</v>
      </c>
      <c r="M14" s="5">
        <f>COUNTIFS(Stats!$I$4:$CG$4,M$1,Stats!$I19:$CG19,"&lt;&gt;")</f>
        <v>0</v>
      </c>
      <c r="N14" s="5">
        <f>SUMIF(Stats!$I$4:$CF$4,M$1,Stats!$J19:$CI19)</f>
        <v>0</v>
      </c>
      <c r="O14" s="6" t="str">
        <f t="shared" si="11"/>
        <v/>
      </c>
      <c r="P14" s="13">
        <f>COUNTIFS(Stats!$L$9:$CG$9,"R",Stats!$L19:$CG19,"&gt;0")</f>
        <v>0</v>
      </c>
      <c r="Q14" s="13">
        <f>SUMIF(Stats!$L$9:$CG$9,"R",Stats!$L19:$CG19)</f>
        <v>0</v>
      </c>
      <c r="R14" s="13">
        <f>Stats!G19-E14</f>
        <v>0</v>
      </c>
    </row>
    <row r="15" spans="1:18">
      <c r="A15" s="1">
        <f>Stats!A20</f>
        <v>6</v>
      </c>
      <c r="B15" s="1" t="str">
        <f>Stats!D20</f>
        <v>David Copple</v>
      </c>
      <c r="C15" s="41" t="str">
        <f>Stats!E20</f>
        <v>Defence</v>
      </c>
      <c r="D15" s="13">
        <f t="shared" si="6"/>
        <v>14</v>
      </c>
      <c r="E15" s="13">
        <f t="shared" si="7"/>
        <v>0</v>
      </c>
      <c r="F15" s="48">
        <f t="shared" si="8"/>
        <v>0</v>
      </c>
      <c r="G15" s="5">
        <f>COUNTIFS(Stats!$I$4:$CG$4,G$1,Stats!$I20:$CG20,"&lt;&gt;")</f>
        <v>13</v>
      </c>
      <c r="H15" s="5">
        <f>SUMIF(Stats!$I$4:$CF$4,G$1,Stats!$J20:$CI20)</f>
        <v>0</v>
      </c>
      <c r="I15" s="6">
        <f t="shared" si="9"/>
        <v>0</v>
      </c>
      <c r="J15" s="5">
        <f>COUNTIFS(Stats!$I$4:$CG$4,J$1,Stats!$I20:$CG20,"&lt;&gt;")</f>
        <v>1</v>
      </c>
      <c r="K15" s="5">
        <f>SUMIF(Stats!$I$4:$CF$4,J$1,Stats!$J20:$CI20)</f>
        <v>0</v>
      </c>
      <c r="L15" s="6">
        <f t="shared" si="10"/>
        <v>0</v>
      </c>
      <c r="M15" s="5">
        <f>COUNTIFS(Stats!$I$4:$CG$4,M$1,Stats!$I20:$CG20,"&lt;&gt;")</f>
        <v>0</v>
      </c>
      <c r="N15" s="5">
        <f>SUMIF(Stats!$I$4:$CF$4,M$1,Stats!$J20:$CI20)</f>
        <v>0</v>
      </c>
      <c r="O15" s="6" t="str">
        <f t="shared" si="11"/>
        <v/>
      </c>
      <c r="P15" s="13">
        <f>COUNTIFS(Stats!$L$9:$CG$9,"R",Stats!$L20:$CG20,"&gt;0")</f>
        <v>0</v>
      </c>
      <c r="Q15" s="13">
        <f>SUMIF(Stats!$L$9:$CG$9,"R",Stats!$L20:$CG20)</f>
        <v>0</v>
      </c>
      <c r="R15" s="13">
        <f>Stats!G20-E15</f>
        <v>0</v>
      </c>
    </row>
    <row r="16" spans="1:18">
      <c r="A16" s="1">
        <f>Stats!A21</f>
        <v>888</v>
      </c>
      <c r="B16" s="1" t="str">
        <f>Stats!D21</f>
        <v>Eddie Dale</v>
      </c>
      <c r="C16" s="41" t="str">
        <f>Stats!E21</f>
        <v>Midfield/FO</v>
      </c>
      <c r="D16" s="13">
        <f t="shared" si="6"/>
        <v>6</v>
      </c>
      <c r="E16" s="13">
        <f t="shared" si="7"/>
        <v>0</v>
      </c>
      <c r="F16" s="48">
        <f t="shared" si="8"/>
        <v>0</v>
      </c>
      <c r="G16" s="5">
        <f>COUNTIFS(Stats!$I$4:$CG$4,G$1,Stats!$I21:$CG21,"&lt;&gt;")</f>
        <v>5</v>
      </c>
      <c r="H16" s="5">
        <f>SUMIF(Stats!$I$4:$CF$4,G$1,Stats!$J21:$CI21)</f>
        <v>0</v>
      </c>
      <c r="I16" s="6">
        <f t="shared" si="9"/>
        <v>0</v>
      </c>
      <c r="J16" s="5">
        <f>COUNTIFS(Stats!$I$4:$CG$4,J$1,Stats!$I21:$CG21,"&lt;&gt;")</f>
        <v>1</v>
      </c>
      <c r="K16" s="5">
        <f>SUMIF(Stats!$I$4:$CF$4,J$1,Stats!$J21:$CI21)</f>
        <v>0</v>
      </c>
      <c r="L16" s="6">
        <f t="shared" si="10"/>
        <v>0</v>
      </c>
      <c r="M16" s="5">
        <f>COUNTIFS(Stats!$I$4:$CG$4,M$1,Stats!$I21:$CG21,"&lt;&gt;")</f>
        <v>0</v>
      </c>
      <c r="N16" s="5">
        <f>SUMIF(Stats!$I$4:$CF$4,M$1,Stats!$J21:$CI21)</f>
        <v>0</v>
      </c>
      <c r="O16" s="6" t="str">
        <f t="shared" si="11"/>
        <v/>
      </c>
      <c r="P16" s="13">
        <f>COUNTIFS(Stats!$L$9:$CG$9,"R",Stats!$L21:$CG21,"&gt;0")</f>
        <v>0</v>
      </c>
      <c r="Q16" s="13">
        <f>SUMIF(Stats!$L$9:$CG$9,"R",Stats!$L21:$CG21)</f>
        <v>0</v>
      </c>
      <c r="R16" s="13">
        <f>Stats!G21-E16</f>
        <v>0</v>
      </c>
    </row>
    <row r="17" spans="1:18">
      <c r="A17" s="1">
        <f>Stats!A22</f>
        <v>888</v>
      </c>
      <c r="B17" s="1" t="str">
        <f>Stats!D22</f>
        <v>Will Duval</v>
      </c>
      <c r="C17" s="41" t="str">
        <f>Stats!E22</f>
        <v>Midfield</v>
      </c>
      <c r="D17" s="13">
        <f t="shared" si="6"/>
        <v>1</v>
      </c>
      <c r="E17" s="13">
        <f t="shared" si="7"/>
        <v>1</v>
      </c>
      <c r="F17" s="48">
        <f t="shared" si="8"/>
        <v>1</v>
      </c>
      <c r="G17" s="5">
        <f>COUNTIFS(Stats!$I$4:$CG$4,G$1,Stats!$I22:$CG22,"&lt;&gt;")</f>
        <v>1</v>
      </c>
      <c r="H17" s="5">
        <f>SUMIF(Stats!$I$4:$CF$4,G$1,Stats!$J22:$CI22)</f>
        <v>1</v>
      </c>
      <c r="I17" s="6">
        <f t="shared" si="9"/>
        <v>1</v>
      </c>
      <c r="J17" s="5">
        <f>COUNTIFS(Stats!$I$4:$CG$4,J$1,Stats!$I22:$CG22,"&lt;&gt;")</f>
        <v>0</v>
      </c>
      <c r="K17" s="5">
        <f>SUMIF(Stats!$I$4:$CF$4,J$1,Stats!$J22:$CI22)</f>
        <v>0</v>
      </c>
      <c r="L17" s="6" t="str">
        <f t="shared" si="10"/>
        <v/>
      </c>
      <c r="M17" s="5">
        <f>COUNTIFS(Stats!$I$4:$CG$4,M$1,Stats!$I22:$CG22,"&lt;&gt;")</f>
        <v>0</v>
      </c>
      <c r="N17" s="5">
        <f>SUMIF(Stats!$I$4:$CF$4,M$1,Stats!$J22:$CI22)</f>
        <v>0</v>
      </c>
      <c r="O17" s="6" t="str">
        <f t="shared" si="11"/>
        <v/>
      </c>
      <c r="P17" s="13">
        <f>COUNTIFS(Stats!$L$9:$CG$9,"R",Stats!$L22:$CG22,"&gt;0")</f>
        <v>0</v>
      </c>
      <c r="Q17" s="13">
        <f>SUMIF(Stats!$L$9:$CG$9,"R",Stats!$L22:$CG22)</f>
        <v>0</v>
      </c>
      <c r="R17" s="13">
        <f>Stats!G22-E17</f>
        <v>0</v>
      </c>
    </row>
    <row r="18" spans="1:18">
      <c r="A18" s="1">
        <f>Stats!A23</f>
        <v>888</v>
      </c>
      <c r="B18" s="1" t="str">
        <f>Stats!D23</f>
        <v>Eugene Fung</v>
      </c>
      <c r="C18" s="41" t="str">
        <f>Stats!E23</f>
        <v>Midfield</v>
      </c>
      <c r="D18" s="13">
        <f t="shared" si="6"/>
        <v>1</v>
      </c>
      <c r="E18" s="13">
        <f t="shared" si="7"/>
        <v>0</v>
      </c>
      <c r="F18" s="48">
        <f t="shared" si="8"/>
        <v>0</v>
      </c>
      <c r="G18" s="5">
        <f>COUNTIFS(Stats!$I$4:$CG$4,G$1,Stats!$I23:$CG23,"&lt;&gt;")</f>
        <v>1</v>
      </c>
      <c r="H18" s="5">
        <f>SUMIF(Stats!$I$4:$CF$4,G$1,Stats!$J23:$CI23)</f>
        <v>0</v>
      </c>
      <c r="I18" s="6">
        <f t="shared" si="9"/>
        <v>0</v>
      </c>
      <c r="J18" s="5">
        <f>COUNTIFS(Stats!$I$4:$CG$4,J$1,Stats!$I23:$CG23,"&lt;&gt;")</f>
        <v>0</v>
      </c>
      <c r="K18" s="5">
        <f>SUMIF(Stats!$I$4:$CF$4,J$1,Stats!$J23:$CI23)</f>
        <v>0</v>
      </c>
      <c r="L18" s="6" t="str">
        <f t="shared" si="10"/>
        <v/>
      </c>
      <c r="M18" s="5">
        <f>COUNTIFS(Stats!$I$4:$CG$4,M$1,Stats!$I23:$CG23,"&lt;&gt;")</f>
        <v>0</v>
      </c>
      <c r="N18" s="5">
        <f>SUMIF(Stats!$I$4:$CF$4,M$1,Stats!$J23:$CI23)</f>
        <v>0</v>
      </c>
      <c r="O18" s="6" t="str">
        <f t="shared" si="11"/>
        <v/>
      </c>
      <c r="P18" s="13">
        <f>COUNTIFS(Stats!$L$9:$CG$9,"R",Stats!$L23:$CG23,"&gt;0")</f>
        <v>0</v>
      </c>
      <c r="Q18" s="13">
        <f>SUMIF(Stats!$L$9:$CG$9,"R",Stats!$L23:$CG23)</f>
        <v>0</v>
      </c>
      <c r="R18" s="13">
        <f>Stats!G23-E18</f>
        <v>0</v>
      </c>
    </row>
    <row r="19" spans="1:18">
      <c r="A19" s="1">
        <f>Stats!A24</f>
        <v>888</v>
      </c>
      <c r="B19" s="1" t="str">
        <f>Stats!D24</f>
        <v>Sam Guest</v>
      </c>
      <c r="C19" s="41" t="str">
        <f>Stats!E24</f>
        <v>Defence</v>
      </c>
      <c r="D19" s="13">
        <f t="shared" si="6"/>
        <v>3</v>
      </c>
      <c r="E19" s="13">
        <f t="shared" si="7"/>
        <v>1</v>
      </c>
      <c r="F19" s="48">
        <f t="shared" si="8"/>
        <v>0.33333333333333331</v>
      </c>
      <c r="G19" s="5">
        <f>COUNTIFS(Stats!$I$4:$CG$4,G$1,Stats!$I24:$CG24,"&lt;&gt;")</f>
        <v>3</v>
      </c>
      <c r="H19" s="5">
        <f>SUMIF(Stats!$I$4:$CF$4,G$1,Stats!$J24:$CI24)</f>
        <v>1</v>
      </c>
      <c r="I19" s="6">
        <f t="shared" si="9"/>
        <v>0.33333333333333331</v>
      </c>
      <c r="J19" s="5">
        <f>COUNTIFS(Stats!$I$4:$CG$4,J$1,Stats!$I24:$CG24,"&lt;&gt;")</f>
        <v>0</v>
      </c>
      <c r="K19" s="5">
        <f>SUMIF(Stats!$I$4:$CF$4,J$1,Stats!$J24:$CI24)</f>
        <v>0</v>
      </c>
      <c r="L19" s="6" t="str">
        <f t="shared" si="10"/>
        <v/>
      </c>
      <c r="M19" s="5">
        <f>COUNTIFS(Stats!$I$4:$CG$4,M$1,Stats!$I24:$CG24,"&lt;&gt;")</f>
        <v>0</v>
      </c>
      <c r="N19" s="5">
        <f>SUMIF(Stats!$I$4:$CF$4,M$1,Stats!$J24:$CI24)</f>
        <v>0</v>
      </c>
      <c r="O19" s="6" t="str">
        <f t="shared" si="11"/>
        <v/>
      </c>
      <c r="P19" s="13">
        <f>COUNTIFS(Stats!$L$9:$CG$9,"R",Stats!$L24:$CG24,"&gt;0")</f>
        <v>0</v>
      </c>
      <c r="Q19" s="13">
        <f>SUMIF(Stats!$L$9:$CG$9,"R",Stats!$L24:$CG24)</f>
        <v>0</v>
      </c>
      <c r="R19" s="13">
        <f>Stats!G24-E19</f>
        <v>0</v>
      </c>
    </row>
    <row r="20" spans="1:18">
      <c r="A20" s="1">
        <f>Stats!A25</f>
        <v>888</v>
      </c>
      <c r="B20" s="1" t="str">
        <f>Stats!D25</f>
        <v>Jacob Hall</v>
      </c>
      <c r="C20" s="41" t="str">
        <f>Stats!E25</f>
        <v>Midfield</v>
      </c>
      <c r="D20" s="13">
        <f t="shared" si="6"/>
        <v>5</v>
      </c>
      <c r="E20" s="13">
        <f t="shared" si="7"/>
        <v>1</v>
      </c>
      <c r="F20" s="48">
        <f t="shared" si="8"/>
        <v>0.2</v>
      </c>
      <c r="G20" s="5">
        <f>COUNTIFS(Stats!$I$4:$CG$4,G$1,Stats!$I25:$CG25,"&lt;&gt;")</f>
        <v>5</v>
      </c>
      <c r="H20" s="5">
        <f>SUMIF(Stats!$I$4:$CF$4,G$1,Stats!$J25:$CI25)</f>
        <v>1</v>
      </c>
      <c r="I20" s="6">
        <f t="shared" si="9"/>
        <v>0.2</v>
      </c>
      <c r="J20" s="5">
        <f>COUNTIFS(Stats!$I$4:$CG$4,J$1,Stats!$I25:$CG25,"&lt;&gt;")</f>
        <v>0</v>
      </c>
      <c r="K20" s="5">
        <f>SUMIF(Stats!$I$4:$CF$4,J$1,Stats!$J25:$CI25)</f>
        <v>0</v>
      </c>
      <c r="L20" s="6" t="str">
        <f t="shared" si="10"/>
        <v/>
      </c>
      <c r="M20" s="5">
        <f>COUNTIFS(Stats!$I$4:$CG$4,M$1,Stats!$I25:$CG25,"&lt;&gt;")</f>
        <v>0</v>
      </c>
      <c r="N20" s="5">
        <f>SUMIF(Stats!$I$4:$CF$4,M$1,Stats!$J25:$CI25)</f>
        <v>0</v>
      </c>
      <c r="O20" s="6" t="str">
        <f t="shared" si="11"/>
        <v/>
      </c>
      <c r="P20" s="13">
        <f>COUNTIFS(Stats!$L$9:$CG$9,"R",Stats!$L25:$CG25,"&gt;0")</f>
        <v>0</v>
      </c>
      <c r="Q20" s="13">
        <f>SUMIF(Stats!$L$9:$CG$9,"R",Stats!$L25:$CG25)</f>
        <v>0</v>
      </c>
      <c r="R20" s="13">
        <f>Stats!G25-E20</f>
        <v>0</v>
      </c>
    </row>
    <row r="21" spans="1:18">
      <c r="A21" s="1">
        <f>Stats!A26</f>
        <v>888</v>
      </c>
      <c r="B21" s="1" t="str">
        <f>Stats!D26</f>
        <v>Sam Hallows</v>
      </c>
      <c r="C21" s="41" t="str">
        <f>Stats!E26</f>
        <v>Attack</v>
      </c>
      <c r="D21" s="13">
        <f t="shared" si="6"/>
        <v>3</v>
      </c>
      <c r="E21" s="13">
        <f t="shared" si="7"/>
        <v>0</v>
      </c>
      <c r="F21" s="48">
        <f t="shared" si="8"/>
        <v>0</v>
      </c>
      <c r="G21" s="5">
        <f>COUNTIFS(Stats!$I$4:$CG$4,G$1,Stats!$I26:$CG26,"&lt;&gt;")</f>
        <v>3</v>
      </c>
      <c r="H21" s="5">
        <f>SUMIF(Stats!$I$4:$CF$4,G$1,Stats!$J26:$CI26)</f>
        <v>0</v>
      </c>
      <c r="I21" s="6">
        <f t="shared" si="9"/>
        <v>0</v>
      </c>
      <c r="J21" s="5">
        <f>COUNTIFS(Stats!$I$4:$CG$4,J$1,Stats!$I26:$CG26,"&lt;&gt;")</f>
        <v>0</v>
      </c>
      <c r="K21" s="5">
        <f>SUMIF(Stats!$I$4:$CF$4,J$1,Stats!$J26:$CI26)</f>
        <v>0</v>
      </c>
      <c r="L21" s="6" t="str">
        <f t="shared" si="10"/>
        <v/>
      </c>
      <c r="M21" s="5">
        <f>COUNTIFS(Stats!$I$4:$CG$4,M$1,Stats!$I26:$CG26,"&lt;&gt;")</f>
        <v>0</v>
      </c>
      <c r="N21" s="5">
        <f>SUMIF(Stats!$I$4:$CF$4,M$1,Stats!$J26:$CI26)</f>
        <v>0</v>
      </c>
      <c r="O21" s="6" t="str">
        <f t="shared" si="11"/>
        <v/>
      </c>
      <c r="P21" s="13">
        <f>COUNTIFS(Stats!$L$9:$CG$9,"R",Stats!$L26:$CG26,"&gt;0")</f>
        <v>0</v>
      </c>
      <c r="Q21" s="13">
        <f>SUMIF(Stats!$L$9:$CG$9,"R",Stats!$L26:$CG26)</f>
        <v>0</v>
      </c>
      <c r="R21" s="13">
        <f>Stats!G26-E21</f>
        <v>0</v>
      </c>
    </row>
    <row r="22" spans="1:18">
      <c r="A22" s="1">
        <f>Stats!A27</f>
        <v>888</v>
      </c>
      <c r="B22" s="1" t="str">
        <f>Stats!D27</f>
        <v>David Hudson</v>
      </c>
      <c r="C22" s="41" t="str">
        <f>Stats!E27</f>
        <v>Defence</v>
      </c>
      <c r="D22" s="13">
        <f t="shared" si="6"/>
        <v>1</v>
      </c>
      <c r="E22" s="13">
        <f t="shared" si="7"/>
        <v>0</v>
      </c>
      <c r="F22" s="48">
        <f t="shared" si="8"/>
        <v>0</v>
      </c>
      <c r="G22" s="5">
        <f>COUNTIFS(Stats!$I$4:$CG$4,G$1,Stats!$I27:$CG27,"&lt;&gt;")</f>
        <v>1</v>
      </c>
      <c r="H22" s="5">
        <f>SUMIF(Stats!$I$4:$CF$4,G$1,Stats!$J27:$CI27)</f>
        <v>0</v>
      </c>
      <c r="I22" s="6">
        <f t="shared" si="9"/>
        <v>0</v>
      </c>
      <c r="J22" s="5">
        <f>COUNTIFS(Stats!$I$4:$CG$4,J$1,Stats!$I27:$CG27,"&lt;&gt;")</f>
        <v>0</v>
      </c>
      <c r="K22" s="5">
        <f>SUMIF(Stats!$I$4:$CF$4,J$1,Stats!$J27:$CI27)</f>
        <v>0</v>
      </c>
      <c r="L22" s="6" t="str">
        <f t="shared" si="10"/>
        <v/>
      </c>
      <c r="M22" s="5">
        <f>COUNTIFS(Stats!$I$4:$CG$4,M$1,Stats!$I27:$CG27,"&lt;&gt;")</f>
        <v>0</v>
      </c>
      <c r="N22" s="5">
        <f>SUMIF(Stats!$I$4:$CF$4,M$1,Stats!$J27:$CI27)</f>
        <v>0</v>
      </c>
      <c r="O22" s="6" t="str">
        <f t="shared" si="11"/>
        <v/>
      </c>
      <c r="P22" s="13">
        <f>COUNTIFS(Stats!$L$9:$CG$9,"R",Stats!$L27:$CG27,"&gt;0")</f>
        <v>0</v>
      </c>
      <c r="Q22" s="13">
        <f>SUMIF(Stats!$L$9:$CG$9,"R",Stats!$L27:$CG27)</f>
        <v>0</v>
      </c>
      <c r="R22" s="13">
        <f>Stats!G27-E22</f>
        <v>0</v>
      </c>
    </row>
    <row r="23" spans="1:18">
      <c r="A23" s="1">
        <f>Stats!A28</f>
        <v>888</v>
      </c>
      <c r="B23" s="1" t="str">
        <f>Stats!D28</f>
        <v>Ben Iremonger</v>
      </c>
      <c r="C23" s="41" t="str">
        <f>Stats!E28</f>
        <v>Midfield</v>
      </c>
      <c r="D23" s="13">
        <f t="shared" si="6"/>
        <v>7</v>
      </c>
      <c r="E23" s="13">
        <f t="shared" si="7"/>
        <v>8</v>
      </c>
      <c r="F23" s="48">
        <f t="shared" si="8"/>
        <v>1.1428571428571428</v>
      </c>
      <c r="G23" s="5">
        <f>COUNTIFS(Stats!$I$4:$CG$4,G$1,Stats!$I28:$CG28,"&lt;&gt;")</f>
        <v>7</v>
      </c>
      <c r="H23" s="5">
        <f>SUMIF(Stats!$I$4:$CF$4,G$1,Stats!$J28:$CI28)</f>
        <v>8</v>
      </c>
      <c r="I23" s="6">
        <f t="shared" si="9"/>
        <v>1.1428571428571428</v>
      </c>
      <c r="J23" s="5">
        <f>COUNTIFS(Stats!$I$4:$CG$4,J$1,Stats!$I28:$CG28,"&lt;&gt;")</f>
        <v>0</v>
      </c>
      <c r="K23" s="5">
        <f>SUMIF(Stats!$I$4:$CF$4,J$1,Stats!$J28:$CI28)</f>
        <v>0</v>
      </c>
      <c r="L23" s="6" t="str">
        <f t="shared" si="10"/>
        <v/>
      </c>
      <c r="M23" s="5">
        <f>COUNTIFS(Stats!$I$4:$CG$4,M$1,Stats!$I28:$CG28,"&lt;&gt;")</f>
        <v>0</v>
      </c>
      <c r="N23" s="5">
        <f>SUMIF(Stats!$I$4:$CF$4,M$1,Stats!$J28:$CI28)</f>
        <v>0</v>
      </c>
      <c r="O23" s="6" t="str">
        <f t="shared" si="11"/>
        <v/>
      </c>
      <c r="P23" s="13">
        <f>COUNTIFS(Stats!$L$9:$CG$9,"R",Stats!$L28:$CG28,"&gt;0")</f>
        <v>0</v>
      </c>
      <c r="Q23" s="13">
        <f>SUMIF(Stats!$L$9:$CG$9,"R",Stats!$L28:$CG28)</f>
        <v>0</v>
      </c>
      <c r="R23" s="13">
        <f>Stats!G28-E23</f>
        <v>0</v>
      </c>
    </row>
    <row r="24" spans="1:18">
      <c r="A24" s="1">
        <f>Stats!A29</f>
        <v>888</v>
      </c>
      <c r="B24" s="1" t="str">
        <f>Stats!D29</f>
        <v>Luke Johnstone</v>
      </c>
      <c r="C24" s="41" t="str">
        <f>Stats!E29</f>
        <v>Attack</v>
      </c>
      <c r="D24" s="13">
        <f t="shared" si="6"/>
        <v>3</v>
      </c>
      <c r="E24" s="13">
        <f t="shared" si="7"/>
        <v>3</v>
      </c>
      <c r="F24" s="48">
        <f t="shared" si="8"/>
        <v>1</v>
      </c>
      <c r="G24" s="5">
        <f>COUNTIFS(Stats!$I$4:$CG$4,G$1,Stats!$I29:$CG29,"&lt;&gt;")</f>
        <v>3</v>
      </c>
      <c r="H24" s="5">
        <f>SUMIF(Stats!$I$4:$CF$4,G$1,Stats!$J29:$CI29)</f>
        <v>3</v>
      </c>
      <c r="I24" s="6">
        <f t="shared" si="9"/>
        <v>1</v>
      </c>
      <c r="J24" s="5">
        <f>COUNTIFS(Stats!$I$4:$CG$4,J$1,Stats!$I29:$CG29,"&lt;&gt;")</f>
        <v>0</v>
      </c>
      <c r="K24" s="5">
        <f>SUMIF(Stats!$I$4:$CF$4,J$1,Stats!$J29:$CI29)</f>
        <v>0</v>
      </c>
      <c r="L24" s="6" t="str">
        <f t="shared" si="10"/>
        <v/>
      </c>
      <c r="M24" s="5">
        <f>COUNTIFS(Stats!$I$4:$CG$4,M$1,Stats!$I29:$CG29,"&lt;&gt;")</f>
        <v>0</v>
      </c>
      <c r="N24" s="5">
        <f>SUMIF(Stats!$I$4:$CF$4,M$1,Stats!$J29:$CI29)</f>
        <v>0</v>
      </c>
      <c r="O24" s="6" t="str">
        <f t="shared" si="11"/>
        <v/>
      </c>
      <c r="P24" s="13">
        <f>COUNTIFS(Stats!$L$9:$CG$9,"R",Stats!$L29:$CG29,"&gt;0")</f>
        <v>0</v>
      </c>
      <c r="Q24" s="13">
        <f>SUMIF(Stats!$L$9:$CG$9,"R",Stats!$L29:$CG29)</f>
        <v>0</v>
      </c>
      <c r="R24" s="13">
        <f>Stats!G29-E24</f>
        <v>0</v>
      </c>
    </row>
    <row r="25" spans="1:18">
      <c r="A25" s="1">
        <f>Stats!A30</f>
        <v>9</v>
      </c>
      <c r="B25" s="1" t="str">
        <f>Stats!D30</f>
        <v>Myles Johnstone</v>
      </c>
      <c r="C25" s="41" t="str">
        <f>Stats!E30</f>
        <v>Midfield</v>
      </c>
      <c r="D25" s="13">
        <f t="shared" si="6"/>
        <v>15</v>
      </c>
      <c r="E25" s="13">
        <f t="shared" si="7"/>
        <v>6</v>
      </c>
      <c r="F25" s="48">
        <f t="shared" si="8"/>
        <v>0.4</v>
      </c>
      <c r="G25" s="5">
        <f>COUNTIFS(Stats!$I$4:$CG$4,G$1,Stats!$I30:$CG30,"&lt;&gt;")</f>
        <v>14</v>
      </c>
      <c r="H25" s="5">
        <f>SUMIF(Stats!$I$4:$CF$4,G$1,Stats!$J30:$CI30)</f>
        <v>6</v>
      </c>
      <c r="I25" s="6">
        <f t="shared" si="9"/>
        <v>0.42857142857142855</v>
      </c>
      <c r="J25" s="5">
        <f>COUNTIFS(Stats!$I$4:$CG$4,J$1,Stats!$I30:$CG30,"&lt;&gt;")</f>
        <v>1</v>
      </c>
      <c r="K25" s="5">
        <f>SUMIF(Stats!$I$4:$CF$4,J$1,Stats!$J30:$CI30)</f>
        <v>0</v>
      </c>
      <c r="L25" s="6">
        <f t="shared" si="10"/>
        <v>0</v>
      </c>
      <c r="M25" s="5">
        <f>COUNTIFS(Stats!$I$4:$CG$4,M$1,Stats!$I30:$CG30,"&lt;&gt;")</f>
        <v>0</v>
      </c>
      <c r="N25" s="5">
        <f>SUMIF(Stats!$I$4:$CF$4,M$1,Stats!$J30:$CI30)</f>
        <v>0</v>
      </c>
      <c r="O25" s="6" t="str">
        <f t="shared" si="11"/>
        <v/>
      </c>
      <c r="P25" s="13">
        <f>COUNTIFS(Stats!$L$9:$CG$9,"R",Stats!$L30:$CG30,"&gt;0")</f>
        <v>0</v>
      </c>
      <c r="Q25" s="13">
        <f>SUMIF(Stats!$L$9:$CG$9,"R",Stats!$L30:$CG30)</f>
        <v>0</v>
      </c>
      <c r="R25" s="13">
        <f>Stats!G30-E25</f>
        <v>1</v>
      </c>
    </row>
    <row r="26" spans="1:18">
      <c r="A26" s="1">
        <f>Stats!A31</f>
        <v>888</v>
      </c>
      <c r="B26" s="1" t="str">
        <f>Stats!D31</f>
        <v>Will Lucas</v>
      </c>
      <c r="C26" s="41" t="str">
        <f>Stats!E31</f>
        <v>Defence</v>
      </c>
      <c r="D26" s="13">
        <f t="shared" si="6"/>
        <v>3</v>
      </c>
      <c r="E26" s="13">
        <f t="shared" si="7"/>
        <v>0</v>
      </c>
      <c r="F26" s="48">
        <f t="shared" si="8"/>
        <v>0</v>
      </c>
      <c r="G26" s="5">
        <f>COUNTIFS(Stats!$I$4:$CG$4,G$1,Stats!$I31:$CG31,"&lt;&gt;")</f>
        <v>3</v>
      </c>
      <c r="H26" s="5">
        <f>SUMIF(Stats!$I$4:$CF$4,G$1,Stats!$J31:$CI31)</f>
        <v>0</v>
      </c>
      <c r="I26" s="6">
        <f t="shared" si="9"/>
        <v>0</v>
      </c>
      <c r="J26" s="5">
        <f>COUNTIFS(Stats!$I$4:$CG$4,J$1,Stats!$I31:$CG31,"&lt;&gt;")</f>
        <v>0</v>
      </c>
      <c r="K26" s="5">
        <f>SUMIF(Stats!$I$4:$CF$4,J$1,Stats!$J31:$CI31)</f>
        <v>0</v>
      </c>
      <c r="L26" s="6" t="str">
        <f t="shared" si="10"/>
        <v/>
      </c>
      <c r="M26" s="5">
        <f>COUNTIFS(Stats!$I$4:$CG$4,M$1,Stats!$I31:$CG31,"&lt;&gt;")</f>
        <v>0</v>
      </c>
      <c r="N26" s="5">
        <f>SUMIF(Stats!$I$4:$CF$4,M$1,Stats!$J31:$CI31)</f>
        <v>0</v>
      </c>
      <c r="O26" s="6" t="str">
        <f t="shared" si="11"/>
        <v/>
      </c>
      <c r="P26" s="13">
        <f>COUNTIFS(Stats!$L$9:$CG$9,"R",Stats!$L31:$CG31,"&gt;0")</f>
        <v>0</v>
      </c>
      <c r="Q26" s="13">
        <f>SUMIF(Stats!$L$9:$CG$9,"R",Stats!$L31:$CG31)</f>
        <v>0</v>
      </c>
      <c r="R26" s="13">
        <f>Stats!G31-E26</f>
        <v>0</v>
      </c>
    </row>
    <row r="27" spans="1:18">
      <c r="A27" s="1">
        <f>Stats!A32</f>
        <v>888</v>
      </c>
      <c r="B27" s="1" t="str">
        <f>Stats!D32</f>
        <v>Kieran Kershaw</v>
      </c>
      <c r="C27" s="41" t="str">
        <f>Stats!E32</f>
        <v>Midfield</v>
      </c>
      <c r="D27" s="13">
        <f t="shared" si="6"/>
        <v>1</v>
      </c>
      <c r="E27" s="13">
        <f t="shared" si="7"/>
        <v>0</v>
      </c>
      <c r="F27" s="48">
        <f t="shared" si="8"/>
        <v>0</v>
      </c>
      <c r="G27" s="5">
        <f>COUNTIFS(Stats!$I$4:$CG$4,G$1,Stats!$I32:$CG32,"&lt;&gt;")</f>
        <v>1</v>
      </c>
      <c r="H27" s="5">
        <f>SUMIF(Stats!$I$4:$CF$4,G$1,Stats!$J32:$CI32)</f>
        <v>0</v>
      </c>
      <c r="I27" s="6">
        <f t="shared" si="9"/>
        <v>0</v>
      </c>
      <c r="J27" s="5">
        <f>COUNTIFS(Stats!$I$4:$CG$4,J$1,Stats!$I32:$CG32,"&lt;&gt;")</f>
        <v>0</v>
      </c>
      <c r="K27" s="5">
        <f>SUMIF(Stats!$I$4:$CF$4,J$1,Stats!$J32:$CI32)</f>
        <v>0</v>
      </c>
      <c r="L27" s="6" t="str">
        <f t="shared" si="10"/>
        <v/>
      </c>
      <c r="M27" s="5">
        <f>COUNTIFS(Stats!$I$4:$CG$4,M$1,Stats!$I32:$CG32,"&lt;&gt;")</f>
        <v>0</v>
      </c>
      <c r="N27" s="5">
        <f>SUMIF(Stats!$I$4:$CF$4,M$1,Stats!$J32:$CI32)</f>
        <v>0</v>
      </c>
      <c r="O27" s="6" t="str">
        <f t="shared" si="11"/>
        <v/>
      </c>
      <c r="P27" s="13">
        <f>COUNTIFS(Stats!$L$9:$CG$9,"R",Stats!$L32:$CG32,"&gt;0")</f>
        <v>0</v>
      </c>
      <c r="Q27" s="13">
        <f>SUMIF(Stats!$L$9:$CG$9,"R",Stats!$L32:$CG32)</f>
        <v>0</v>
      </c>
      <c r="R27" s="13">
        <f>Stats!G32-E27</f>
        <v>0</v>
      </c>
    </row>
    <row r="28" spans="1:18">
      <c r="A28" s="1">
        <f>Stats!A33</f>
        <v>888</v>
      </c>
      <c r="B28" s="1" t="str">
        <f>Stats!D33</f>
        <v>Charlie Merry</v>
      </c>
      <c r="C28" s="41" t="str">
        <f>Stats!E33</f>
        <v>Defence</v>
      </c>
      <c r="D28" s="13">
        <f t="shared" si="6"/>
        <v>1</v>
      </c>
      <c r="E28" s="13">
        <f t="shared" si="7"/>
        <v>0</v>
      </c>
      <c r="F28" s="48">
        <f t="shared" si="8"/>
        <v>0</v>
      </c>
      <c r="G28" s="5">
        <f>COUNTIFS(Stats!$I$4:$CG$4,G$1,Stats!$I33:$CG33,"&lt;&gt;")</f>
        <v>1</v>
      </c>
      <c r="H28" s="5">
        <f>SUMIF(Stats!$I$4:$CF$4,G$1,Stats!$J33:$CI33)</f>
        <v>0</v>
      </c>
      <c r="I28" s="6">
        <f t="shared" si="9"/>
        <v>0</v>
      </c>
      <c r="J28" s="5">
        <f>COUNTIFS(Stats!$I$4:$CG$4,J$1,Stats!$I33:$CG33,"&lt;&gt;")</f>
        <v>0</v>
      </c>
      <c r="K28" s="5">
        <f>SUMIF(Stats!$I$4:$CF$4,J$1,Stats!$J33:$CI33)</f>
        <v>0</v>
      </c>
      <c r="L28" s="6" t="str">
        <f t="shared" si="10"/>
        <v/>
      </c>
      <c r="M28" s="5">
        <f>COUNTIFS(Stats!$I$4:$CG$4,M$1,Stats!$I33:$CG33,"&lt;&gt;")</f>
        <v>0</v>
      </c>
      <c r="N28" s="5">
        <f>SUMIF(Stats!$I$4:$CF$4,M$1,Stats!$J33:$CI33)</f>
        <v>0</v>
      </c>
      <c r="O28" s="6" t="str">
        <f t="shared" si="11"/>
        <v/>
      </c>
      <c r="P28" s="13">
        <f>COUNTIFS(Stats!$L$9:$CG$9,"R",Stats!$L33:$CG33,"&gt;0")</f>
        <v>0</v>
      </c>
      <c r="Q28" s="13">
        <f>SUMIF(Stats!$L$9:$CG$9,"R",Stats!$L33:$CG33)</f>
        <v>0</v>
      </c>
      <c r="R28" s="13">
        <f>Stats!G33-E28</f>
        <v>0</v>
      </c>
    </row>
    <row r="29" spans="1:18">
      <c r="A29" s="1">
        <f>Stats!A34</f>
        <v>888</v>
      </c>
      <c r="B29" s="1" t="str">
        <f>Stats!D34</f>
        <v>Conor Mills</v>
      </c>
      <c r="C29" s="41" t="str">
        <f>Stats!E34</f>
        <v>Defence</v>
      </c>
      <c r="D29" s="13">
        <f t="shared" si="6"/>
        <v>7</v>
      </c>
      <c r="E29" s="13">
        <f t="shared" si="7"/>
        <v>0</v>
      </c>
      <c r="F29" s="48">
        <f t="shared" si="8"/>
        <v>0</v>
      </c>
      <c r="G29" s="5">
        <f>COUNTIFS(Stats!$I$4:$CG$4,G$1,Stats!$I34:$CG34,"&lt;&gt;")</f>
        <v>7</v>
      </c>
      <c r="H29" s="5">
        <f>SUMIF(Stats!$I$4:$CF$4,G$1,Stats!$J34:$CI34)</f>
        <v>0</v>
      </c>
      <c r="I29" s="6">
        <f t="shared" si="9"/>
        <v>0</v>
      </c>
      <c r="J29" s="5">
        <f>COUNTIFS(Stats!$I$4:$CG$4,J$1,Stats!$I34:$CG34,"&lt;&gt;")</f>
        <v>0</v>
      </c>
      <c r="K29" s="5">
        <f>SUMIF(Stats!$I$4:$CF$4,J$1,Stats!$J34:$CI34)</f>
        <v>0</v>
      </c>
      <c r="L29" s="6" t="str">
        <f t="shared" si="10"/>
        <v/>
      </c>
      <c r="M29" s="5">
        <f>COUNTIFS(Stats!$I$4:$CG$4,M$1,Stats!$I34:$CG34,"&lt;&gt;")</f>
        <v>0</v>
      </c>
      <c r="N29" s="5">
        <f>SUMIF(Stats!$I$4:$CF$4,M$1,Stats!$J34:$CI34)</f>
        <v>0</v>
      </c>
      <c r="O29" s="6" t="str">
        <f t="shared" si="11"/>
        <v/>
      </c>
      <c r="P29" s="13">
        <f>COUNTIFS(Stats!$L$9:$CG$9,"R",Stats!$L34:$CG34,"&gt;0")</f>
        <v>0</v>
      </c>
      <c r="Q29" s="13">
        <f>SUMIF(Stats!$L$9:$CG$9,"R",Stats!$L34:$CG34)</f>
        <v>0</v>
      </c>
      <c r="R29" s="13">
        <f>Stats!G34-E29</f>
        <v>0</v>
      </c>
    </row>
    <row r="30" spans="1:18">
      <c r="A30" s="1">
        <f>Stats!A35</f>
        <v>7</v>
      </c>
      <c r="B30" s="1" t="str">
        <f>Stats!D35</f>
        <v>Matt Payne</v>
      </c>
      <c r="C30" s="41" t="str">
        <f>Stats!E35</f>
        <v>Attack</v>
      </c>
      <c r="D30" s="13">
        <f t="shared" si="6"/>
        <v>12</v>
      </c>
      <c r="E30" s="13">
        <f t="shared" si="7"/>
        <v>23</v>
      </c>
      <c r="F30" s="48">
        <f t="shared" si="8"/>
        <v>1.9166666666666667</v>
      </c>
      <c r="G30" s="5">
        <f>COUNTIFS(Stats!$I$4:$CG$4,G$1,Stats!$I35:$CG35,"&lt;&gt;")</f>
        <v>11</v>
      </c>
      <c r="H30" s="5">
        <f>SUMIF(Stats!$I$4:$CF$4,G$1,Stats!$J35:$CI35)</f>
        <v>22</v>
      </c>
      <c r="I30" s="6">
        <f t="shared" si="9"/>
        <v>2</v>
      </c>
      <c r="J30" s="5">
        <f>COUNTIFS(Stats!$I$4:$CG$4,J$1,Stats!$I35:$CG35,"&lt;&gt;")</f>
        <v>1</v>
      </c>
      <c r="K30" s="5">
        <f>SUMIF(Stats!$I$4:$CF$4,J$1,Stats!$J35:$CI35)</f>
        <v>1</v>
      </c>
      <c r="L30" s="6">
        <f t="shared" si="10"/>
        <v>1</v>
      </c>
      <c r="M30" s="5">
        <f>COUNTIFS(Stats!$I$4:$CG$4,M$1,Stats!$I35:$CG35,"&lt;&gt;")</f>
        <v>0</v>
      </c>
      <c r="N30" s="5">
        <f>SUMIF(Stats!$I$4:$CF$4,M$1,Stats!$J35:$CI35)</f>
        <v>0</v>
      </c>
      <c r="O30" s="6" t="str">
        <f t="shared" si="11"/>
        <v/>
      </c>
      <c r="P30" s="13">
        <f>COUNTIFS(Stats!$L$9:$CG$9,"R",Stats!$L35:$CG35,"&gt;0")</f>
        <v>0</v>
      </c>
      <c r="Q30" s="13">
        <f>SUMIF(Stats!$L$9:$CG$9,"R",Stats!$L35:$CG35)</f>
        <v>0</v>
      </c>
      <c r="R30" s="13">
        <f>Stats!G35-E30</f>
        <v>0</v>
      </c>
    </row>
    <row r="31" spans="1:18">
      <c r="A31" s="1">
        <f>Stats!A36</f>
        <v>888</v>
      </c>
      <c r="B31" s="1" t="str">
        <f>Stats!D36</f>
        <v>Richard Pearse</v>
      </c>
      <c r="C31" s="41" t="str">
        <f>Stats!E36</f>
        <v>Midfield</v>
      </c>
      <c r="D31" s="13">
        <f t="shared" si="6"/>
        <v>12</v>
      </c>
      <c r="E31" s="13">
        <f t="shared" si="7"/>
        <v>8</v>
      </c>
      <c r="F31" s="48">
        <f t="shared" si="8"/>
        <v>0.66666666666666663</v>
      </c>
      <c r="G31" s="5">
        <f>COUNTIFS(Stats!$I$4:$CG$4,G$1,Stats!$I36:$CG36,"&lt;&gt;")</f>
        <v>11</v>
      </c>
      <c r="H31" s="5">
        <f>SUMIF(Stats!$I$4:$CF$4,G$1,Stats!$J36:$CI36)</f>
        <v>8</v>
      </c>
      <c r="I31" s="6">
        <f t="shared" si="9"/>
        <v>0.72727272727272729</v>
      </c>
      <c r="J31" s="5">
        <f>COUNTIFS(Stats!$I$4:$CG$4,J$1,Stats!$I36:$CG36,"&lt;&gt;")</f>
        <v>1</v>
      </c>
      <c r="K31" s="5">
        <f>SUMIF(Stats!$I$4:$CF$4,J$1,Stats!$J36:$CI36)</f>
        <v>0</v>
      </c>
      <c r="L31" s="6">
        <f t="shared" si="10"/>
        <v>0</v>
      </c>
      <c r="M31" s="5">
        <f>COUNTIFS(Stats!$I$4:$CG$4,M$1,Stats!$I36:$CG36,"&lt;&gt;")</f>
        <v>0</v>
      </c>
      <c r="N31" s="5">
        <f>SUMIF(Stats!$I$4:$CF$4,M$1,Stats!$J36:$CI36)</f>
        <v>0</v>
      </c>
      <c r="O31" s="6" t="str">
        <f t="shared" si="11"/>
        <v/>
      </c>
      <c r="P31" s="13">
        <f>COUNTIFS(Stats!$L$9:$CG$9,"R",Stats!$L36:$CG36,"&gt;0")</f>
        <v>0</v>
      </c>
      <c r="Q31" s="13">
        <f>SUMIF(Stats!$L$9:$CG$9,"R",Stats!$L36:$CG36)</f>
        <v>0</v>
      </c>
      <c r="R31" s="13">
        <f>Stats!G36-E31</f>
        <v>0</v>
      </c>
    </row>
    <row r="32" spans="1:18">
      <c r="A32" s="1">
        <f>Stats!A37</f>
        <v>888</v>
      </c>
      <c r="B32" s="1" t="str">
        <f>Stats!D37</f>
        <v>Eliot Pugh</v>
      </c>
      <c r="C32" s="41" t="str">
        <f>Stats!E37</f>
        <v>Goal</v>
      </c>
      <c r="D32" s="13">
        <f t="shared" si="6"/>
        <v>1</v>
      </c>
      <c r="E32" s="13">
        <f t="shared" si="7"/>
        <v>0</v>
      </c>
      <c r="F32" s="48">
        <f t="shared" si="8"/>
        <v>0</v>
      </c>
      <c r="G32" s="5">
        <f>COUNTIFS(Stats!$I$4:$CG$4,G$1,Stats!$I37:$CG37,"&lt;&gt;")</f>
        <v>1</v>
      </c>
      <c r="H32" s="5">
        <f>SUMIF(Stats!$I$4:$CF$4,G$1,Stats!$J37:$CI37)</f>
        <v>0</v>
      </c>
      <c r="I32" s="6">
        <f t="shared" si="9"/>
        <v>0</v>
      </c>
      <c r="J32" s="5">
        <f>COUNTIFS(Stats!$I$4:$CG$4,J$1,Stats!$I37:$CG37,"&lt;&gt;")</f>
        <v>0</v>
      </c>
      <c r="K32" s="5">
        <f>SUMIF(Stats!$I$4:$CF$4,J$1,Stats!$J37:$CI37)</f>
        <v>0</v>
      </c>
      <c r="L32" s="6" t="str">
        <f t="shared" si="10"/>
        <v/>
      </c>
      <c r="M32" s="5">
        <f>COUNTIFS(Stats!$I$4:$CG$4,M$1,Stats!$I37:$CG37,"&lt;&gt;")</f>
        <v>0</v>
      </c>
      <c r="N32" s="5">
        <f>SUMIF(Stats!$I$4:$CF$4,M$1,Stats!$J37:$CI37)</f>
        <v>0</v>
      </c>
      <c r="O32" s="6" t="str">
        <f t="shared" si="11"/>
        <v/>
      </c>
      <c r="P32" s="13">
        <f>COUNTIFS(Stats!$L$9:$CG$9,"R",Stats!$L37:$CG37,"&gt;0")</f>
        <v>0</v>
      </c>
      <c r="Q32" s="13">
        <f>SUMIF(Stats!$L$9:$CG$9,"R",Stats!$L37:$CG37)</f>
        <v>0</v>
      </c>
      <c r="R32" s="13">
        <f>Stats!G37-E32</f>
        <v>0</v>
      </c>
    </row>
    <row r="33" spans="1:18">
      <c r="A33" s="1">
        <f>Stats!A38</f>
        <v>888</v>
      </c>
      <c r="B33" s="1" t="str">
        <f>Stats!D38</f>
        <v>Ben Reed</v>
      </c>
      <c r="C33" s="41" t="str">
        <f>Stats!E38</f>
        <v>Attack</v>
      </c>
      <c r="D33" s="13">
        <f t="shared" si="6"/>
        <v>1</v>
      </c>
      <c r="E33" s="13">
        <f t="shared" si="7"/>
        <v>3</v>
      </c>
      <c r="F33" s="48">
        <f t="shared" si="8"/>
        <v>3</v>
      </c>
      <c r="G33" s="5">
        <f>COUNTIFS(Stats!$I$4:$CG$4,G$1,Stats!$I38:$CG38,"&lt;&gt;")</f>
        <v>1</v>
      </c>
      <c r="H33" s="5">
        <f>SUMIF(Stats!$I$4:$CF$4,G$1,Stats!$J38:$CI38)</f>
        <v>3</v>
      </c>
      <c r="I33" s="6">
        <f t="shared" si="9"/>
        <v>3</v>
      </c>
      <c r="J33" s="5">
        <f>COUNTIFS(Stats!$I$4:$CG$4,J$1,Stats!$I38:$CG38,"&lt;&gt;")</f>
        <v>0</v>
      </c>
      <c r="K33" s="5">
        <f>SUMIF(Stats!$I$4:$CF$4,J$1,Stats!$J38:$CI38)</f>
        <v>0</v>
      </c>
      <c r="L33" s="6" t="str">
        <f t="shared" si="10"/>
        <v/>
      </c>
      <c r="M33" s="5">
        <f>COUNTIFS(Stats!$I$4:$CG$4,M$1,Stats!$I38:$CG38,"&lt;&gt;")</f>
        <v>0</v>
      </c>
      <c r="N33" s="5">
        <f>SUMIF(Stats!$I$4:$CF$4,M$1,Stats!$J38:$CI38)</f>
        <v>0</v>
      </c>
      <c r="O33" s="6" t="str">
        <f t="shared" si="11"/>
        <v/>
      </c>
      <c r="P33" s="13">
        <f>COUNTIFS(Stats!$L$9:$CG$9,"R",Stats!$L38:$CG38,"&gt;0")</f>
        <v>0</v>
      </c>
      <c r="Q33" s="13">
        <f>SUMIF(Stats!$L$9:$CG$9,"R",Stats!$L38:$CG38)</f>
        <v>0</v>
      </c>
      <c r="R33" s="13">
        <f>Stats!G38-E33</f>
        <v>0</v>
      </c>
    </row>
    <row r="34" spans="1:18">
      <c r="A34" s="1">
        <f>Stats!A39</f>
        <v>28</v>
      </c>
      <c r="B34" s="1" t="str">
        <f>Stats!D39</f>
        <v>Dave Slaughter</v>
      </c>
      <c r="C34" s="41" t="str">
        <f>Stats!E39</f>
        <v>Defence</v>
      </c>
      <c r="D34" s="13">
        <f t="shared" si="6"/>
        <v>9</v>
      </c>
      <c r="E34" s="13">
        <f t="shared" si="7"/>
        <v>1</v>
      </c>
      <c r="F34" s="48">
        <f t="shared" si="8"/>
        <v>0.1111111111111111</v>
      </c>
      <c r="G34" s="5">
        <f>COUNTIFS(Stats!$I$4:$CG$4,G$1,Stats!$I39:$CG39,"&lt;&gt;")</f>
        <v>8</v>
      </c>
      <c r="H34" s="5">
        <f>SUMIF(Stats!$I$4:$CF$4,G$1,Stats!$J39:$CI39)</f>
        <v>1</v>
      </c>
      <c r="I34" s="6">
        <f t="shared" si="9"/>
        <v>0.125</v>
      </c>
      <c r="J34" s="5">
        <f>COUNTIFS(Stats!$I$4:$CG$4,J$1,Stats!$I39:$CG39,"&lt;&gt;")</f>
        <v>1</v>
      </c>
      <c r="K34" s="5">
        <f>SUMIF(Stats!$I$4:$CF$4,J$1,Stats!$J39:$CI39)</f>
        <v>0</v>
      </c>
      <c r="L34" s="6">
        <f t="shared" si="10"/>
        <v>0</v>
      </c>
      <c r="M34" s="5">
        <f>COUNTIFS(Stats!$I$4:$CG$4,M$1,Stats!$I39:$CG39,"&lt;&gt;")</f>
        <v>0</v>
      </c>
      <c r="N34" s="5">
        <f>SUMIF(Stats!$I$4:$CF$4,M$1,Stats!$J39:$CI39)</f>
        <v>0</v>
      </c>
      <c r="O34" s="6" t="str">
        <f t="shared" si="11"/>
        <v/>
      </c>
      <c r="P34" s="13">
        <f>COUNTIFS(Stats!$L$9:$CG$9,"R",Stats!$L39:$CG39,"&gt;0")</f>
        <v>5</v>
      </c>
      <c r="Q34" s="13">
        <f>SUMIF(Stats!$L$9:$CG$9,"R",Stats!$L39:$CG39)</f>
        <v>20</v>
      </c>
      <c r="R34" s="13">
        <f>Stats!G39-E34</f>
        <v>0</v>
      </c>
    </row>
    <row r="35" spans="1:18">
      <c r="A35" s="1">
        <f>Stats!A40</f>
        <v>888</v>
      </c>
      <c r="B35" s="1" t="str">
        <f>Stats!D40</f>
        <v>Jacob Thorne</v>
      </c>
      <c r="C35" s="41" t="str">
        <f>Stats!E40</f>
        <v>Goal</v>
      </c>
      <c r="D35" s="13">
        <f t="shared" si="6"/>
        <v>12</v>
      </c>
      <c r="E35" s="13">
        <f t="shared" si="7"/>
        <v>0</v>
      </c>
      <c r="F35" s="48">
        <f t="shared" si="8"/>
        <v>0</v>
      </c>
      <c r="G35" s="5">
        <f>COUNTIFS(Stats!$I$4:$CG$4,G$1,Stats!$I40:$CG40,"&lt;&gt;")</f>
        <v>11</v>
      </c>
      <c r="H35" s="5">
        <f>SUMIF(Stats!$I$4:$CF$4,G$1,Stats!$J40:$CI40)</f>
        <v>0</v>
      </c>
      <c r="I35" s="6">
        <f t="shared" si="9"/>
        <v>0</v>
      </c>
      <c r="J35" s="5">
        <f>COUNTIFS(Stats!$I$4:$CG$4,J$1,Stats!$I40:$CG40,"&lt;&gt;")</f>
        <v>1</v>
      </c>
      <c r="K35" s="5">
        <f>SUMIF(Stats!$I$4:$CF$4,J$1,Stats!$J40:$CI40)</f>
        <v>0</v>
      </c>
      <c r="L35" s="6">
        <f t="shared" si="10"/>
        <v>0</v>
      </c>
      <c r="M35" s="5">
        <f>COUNTIFS(Stats!$I$4:$CG$4,M$1,Stats!$I40:$CG40,"&lt;&gt;")</f>
        <v>0</v>
      </c>
      <c r="N35" s="5">
        <f>SUMIF(Stats!$I$4:$CF$4,M$1,Stats!$J40:$CI40)</f>
        <v>0</v>
      </c>
      <c r="O35" s="6" t="str">
        <f t="shared" si="11"/>
        <v/>
      </c>
      <c r="P35" s="13">
        <f>COUNTIFS(Stats!$L$9:$CG$9,"R",Stats!$L40:$CG40,"&gt;0")</f>
        <v>0</v>
      </c>
      <c r="Q35" s="13">
        <f>SUMIF(Stats!$L$9:$CG$9,"R",Stats!$L40:$CG40)</f>
        <v>0</v>
      </c>
      <c r="R35" s="13">
        <f>Stats!G40-E35</f>
        <v>0</v>
      </c>
    </row>
    <row r="36" spans="1:18">
      <c r="A36" s="1">
        <f>Stats!A41</f>
        <v>888</v>
      </c>
      <c r="B36" s="1" t="str">
        <f>Stats!D41</f>
        <v>Matt Twose</v>
      </c>
      <c r="C36" s="41" t="str">
        <f>Stats!E41</f>
        <v>Midfield</v>
      </c>
      <c r="D36" s="13">
        <f t="shared" si="6"/>
        <v>13</v>
      </c>
      <c r="E36" s="13">
        <f t="shared" si="7"/>
        <v>7</v>
      </c>
      <c r="F36" s="48">
        <f t="shared" si="8"/>
        <v>0.53846153846153844</v>
      </c>
      <c r="G36" s="5">
        <f>COUNTIFS(Stats!$I$4:$CG$4,G$1,Stats!$I41:$CG41,"&lt;&gt;")</f>
        <v>12</v>
      </c>
      <c r="H36" s="5">
        <f>SUMIF(Stats!$I$4:$CF$4,G$1,Stats!$J41:$CI41)</f>
        <v>7</v>
      </c>
      <c r="I36" s="6">
        <f t="shared" si="9"/>
        <v>0.58333333333333337</v>
      </c>
      <c r="J36" s="5">
        <f>COUNTIFS(Stats!$I$4:$CG$4,J$1,Stats!$I41:$CG41,"&lt;&gt;")</f>
        <v>1</v>
      </c>
      <c r="K36" s="5">
        <f>SUMIF(Stats!$I$4:$CF$4,J$1,Stats!$J41:$CI41)</f>
        <v>0</v>
      </c>
      <c r="L36" s="6">
        <f t="shared" si="10"/>
        <v>0</v>
      </c>
      <c r="M36" s="5">
        <f>COUNTIFS(Stats!$I$4:$CG$4,M$1,Stats!$I41:$CG41,"&lt;&gt;")</f>
        <v>0</v>
      </c>
      <c r="N36" s="5">
        <f>SUMIF(Stats!$I$4:$CF$4,M$1,Stats!$J41:$CI41)</f>
        <v>0</v>
      </c>
      <c r="O36" s="6" t="str">
        <f t="shared" si="11"/>
        <v/>
      </c>
      <c r="P36" s="13">
        <f>COUNTIFS(Stats!$L$9:$CG$9,"R",Stats!$L41:$CG41,"&gt;0")</f>
        <v>0</v>
      </c>
      <c r="Q36" s="13">
        <f>SUMIF(Stats!$L$9:$CG$9,"R",Stats!$L41:$CG41)</f>
        <v>0</v>
      </c>
      <c r="R36" s="13">
        <f>Stats!G41-E36</f>
        <v>0</v>
      </c>
    </row>
    <row r="37" spans="1:18">
      <c r="A37" s="1">
        <f>Stats!A42</f>
        <v>888</v>
      </c>
      <c r="B37" s="1" t="str">
        <f>Stats!D42</f>
        <v>Mark Winter</v>
      </c>
      <c r="C37" s="41" t="str">
        <f>Stats!E42</f>
        <v>Defence</v>
      </c>
      <c r="D37" s="13">
        <f t="shared" si="6"/>
        <v>15</v>
      </c>
      <c r="E37" s="13">
        <f t="shared" si="7"/>
        <v>0</v>
      </c>
      <c r="F37" s="48">
        <f t="shared" si="8"/>
        <v>0</v>
      </c>
      <c r="G37" s="5">
        <f>COUNTIFS(Stats!$I$4:$CG$4,G$1,Stats!$I42:$CG42,"&lt;&gt;")</f>
        <v>14</v>
      </c>
      <c r="H37" s="5">
        <f>SUMIF(Stats!$I$4:$CF$4,G$1,Stats!$J42:$CI42)</f>
        <v>0</v>
      </c>
      <c r="I37" s="6">
        <f t="shared" si="9"/>
        <v>0</v>
      </c>
      <c r="J37" s="5">
        <f>COUNTIFS(Stats!$I$4:$CG$4,J$1,Stats!$I42:$CG42,"&lt;&gt;")</f>
        <v>1</v>
      </c>
      <c r="K37" s="5">
        <f>SUMIF(Stats!$I$4:$CF$4,J$1,Stats!$J42:$CI42)</f>
        <v>0</v>
      </c>
      <c r="L37" s="6">
        <f t="shared" si="10"/>
        <v>0</v>
      </c>
      <c r="M37" s="5">
        <f>COUNTIFS(Stats!$I$4:$CG$4,M$1,Stats!$I42:$CG42,"&lt;&gt;")</f>
        <v>0</v>
      </c>
      <c r="N37" s="5">
        <f>SUMIF(Stats!$I$4:$CF$4,M$1,Stats!$J42:$CI42)</f>
        <v>0</v>
      </c>
      <c r="O37" s="6" t="str">
        <f t="shared" si="11"/>
        <v/>
      </c>
      <c r="P37" s="13">
        <f>COUNTIFS(Stats!$L$9:$CG$9,"R",Stats!$L42:$CG42,"&gt;0")</f>
        <v>0</v>
      </c>
      <c r="Q37" s="13">
        <f>SUMIF(Stats!$L$9:$CG$9,"R",Stats!$L42:$CG42)</f>
        <v>0</v>
      </c>
      <c r="R37" s="13">
        <f>Stats!G42-E37</f>
        <v>0</v>
      </c>
    </row>
    <row r="38" spans="1:18">
      <c r="A38" s="1">
        <f>Stats!A43</f>
        <v>0</v>
      </c>
      <c r="B38" s="1">
        <f>Stats!D43</f>
        <v>0</v>
      </c>
      <c r="C38" s="41">
        <f>Stats!E43</f>
        <v>0</v>
      </c>
      <c r="D38" s="13">
        <f t="shared" si="6"/>
        <v>0</v>
      </c>
      <c r="E38" s="13">
        <f t="shared" si="7"/>
        <v>0</v>
      </c>
      <c r="F38" s="48" t="str">
        <f t="shared" si="8"/>
        <v/>
      </c>
      <c r="G38" s="5">
        <f>COUNTIFS(Stats!$I$4:$CG$4,G$1,Stats!$I43:$CG43,"&lt;&gt;")</f>
        <v>0</v>
      </c>
      <c r="H38" s="5">
        <f>SUMIF(Stats!$I$4:$CF$4,G$1,Stats!$J43:$CI43)</f>
        <v>0</v>
      </c>
      <c r="I38" s="6" t="str">
        <f t="shared" si="9"/>
        <v/>
      </c>
      <c r="J38" s="5">
        <f>COUNTIFS(Stats!$I$4:$CG$4,J$1,Stats!$I43:$CG43,"&lt;&gt;")</f>
        <v>0</v>
      </c>
      <c r="K38" s="5">
        <f>SUMIF(Stats!$I$4:$CF$4,J$1,Stats!$J43:$CI43)</f>
        <v>0</v>
      </c>
      <c r="L38" s="6" t="str">
        <f t="shared" si="10"/>
        <v/>
      </c>
      <c r="M38" s="5">
        <f>COUNTIFS(Stats!$I$4:$CG$4,M$1,Stats!$I43:$CG43,"&lt;&gt;")</f>
        <v>0</v>
      </c>
      <c r="N38" s="5">
        <f>SUMIF(Stats!$I$4:$CF$4,M$1,Stats!$J43:$CI43)</f>
        <v>0</v>
      </c>
      <c r="O38" s="6" t="str">
        <f t="shared" si="11"/>
        <v/>
      </c>
      <c r="P38" s="13">
        <f>COUNTIFS(Stats!$L$9:$CG$9,"R",Stats!$L43:$CG43,"&gt;0")</f>
        <v>0</v>
      </c>
      <c r="Q38" s="13">
        <f>SUMIF(Stats!$L$9:$CG$9,"R",Stats!$L43:$CG43)</f>
        <v>0</v>
      </c>
      <c r="R38" s="13">
        <f>Stats!G43-E38</f>
        <v>0</v>
      </c>
    </row>
    <row r="39" spans="1:18">
      <c r="A39" s="1">
        <f>Stats!A44</f>
        <v>0</v>
      </c>
      <c r="B39" s="1">
        <f>Stats!D44</f>
        <v>0</v>
      </c>
      <c r="C39" s="41">
        <f>Stats!E44</f>
        <v>0</v>
      </c>
      <c r="D39" s="13">
        <f t="shared" si="6"/>
        <v>0</v>
      </c>
      <c r="E39" s="13">
        <f t="shared" si="7"/>
        <v>0</v>
      </c>
      <c r="F39" s="48" t="str">
        <f t="shared" si="8"/>
        <v/>
      </c>
      <c r="G39" s="5">
        <f>COUNTIFS(Stats!$I$4:$CG$4,G$1,Stats!$I44:$CG44,"&lt;&gt;")</f>
        <v>0</v>
      </c>
      <c r="H39" s="5">
        <f>SUMIF(Stats!$I$4:$CF$4,G$1,Stats!$J44:$CI44)</f>
        <v>0</v>
      </c>
      <c r="I39" s="6" t="str">
        <f t="shared" si="9"/>
        <v/>
      </c>
      <c r="J39" s="5">
        <f>COUNTIFS(Stats!$I$4:$CG$4,J$1,Stats!$I44:$CG44,"&lt;&gt;")</f>
        <v>0</v>
      </c>
      <c r="K39" s="5">
        <f>SUMIF(Stats!$I$4:$CF$4,J$1,Stats!$J44:$CI44)</f>
        <v>0</v>
      </c>
      <c r="L39" s="6" t="str">
        <f t="shared" si="10"/>
        <v/>
      </c>
      <c r="M39" s="5">
        <f>COUNTIFS(Stats!$I$4:$CG$4,M$1,Stats!$I44:$CG44,"&lt;&gt;")</f>
        <v>0</v>
      </c>
      <c r="N39" s="5">
        <f>SUMIF(Stats!$I$4:$CF$4,M$1,Stats!$J44:$CI44)</f>
        <v>0</v>
      </c>
      <c r="O39" s="6" t="str">
        <f t="shared" si="11"/>
        <v/>
      </c>
      <c r="P39" s="13">
        <f>COUNTIFS(Stats!$L$9:$CG$9,"R",Stats!$L44:$CG44,"&gt;0")</f>
        <v>0</v>
      </c>
      <c r="Q39" s="13">
        <f>SUMIF(Stats!$L$9:$CG$9,"R",Stats!$L44:$CG44)</f>
        <v>0</v>
      </c>
      <c r="R39" s="13">
        <f>Stats!G44-E39</f>
        <v>0</v>
      </c>
    </row>
    <row r="40" spans="1:18">
      <c r="A40" s="1">
        <f>Stats!A45</f>
        <v>0</v>
      </c>
      <c r="B40" s="1">
        <f>Stats!D45</f>
        <v>0</v>
      </c>
      <c r="C40" s="41">
        <f>Stats!E45</f>
        <v>0</v>
      </c>
      <c r="D40" s="13">
        <f t="shared" si="6"/>
        <v>0</v>
      </c>
      <c r="E40" s="13">
        <f t="shared" si="7"/>
        <v>0</v>
      </c>
      <c r="F40" s="48" t="str">
        <f t="shared" si="8"/>
        <v/>
      </c>
      <c r="G40" s="5">
        <f>COUNTIFS(Stats!$I$4:$CG$4,G$1,Stats!$I45:$CG45,"&lt;&gt;")</f>
        <v>0</v>
      </c>
      <c r="H40" s="5">
        <f>SUMIF(Stats!$I$4:$CF$4,G$1,Stats!$J45:$CI45)</f>
        <v>0</v>
      </c>
      <c r="I40" s="6" t="str">
        <f t="shared" si="9"/>
        <v/>
      </c>
      <c r="J40" s="5">
        <f>COUNTIFS(Stats!$I$4:$CG$4,J$1,Stats!$I45:$CG45,"&lt;&gt;")</f>
        <v>0</v>
      </c>
      <c r="K40" s="5">
        <f>SUMIF(Stats!$I$4:$CF$4,J$1,Stats!$J45:$CI45)</f>
        <v>0</v>
      </c>
      <c r="L40" s="6" t="str">
        <f t="shared" si="10"/>
        <v/>
      </c>
      <c r="M40" s="5">
        <f>COUNTIFS(Stats!$I$4:$CG$4,M$1,Stats!$I45:$CG45,"&lt;&gt;")</f>
        <v>0</v>
      </c>
      <c r="N40" s="5">
        <f>SUMIF(Stats!$I$4:$CF$4,M$1,Stats!$J45:$CI45)</f>
        <v>0</v>
      </c>
      <c r="O40" s="6" t="str">
        <f t="shared" si="11"/>
        <v/>
      </c>
      <c r="P40" s="13">
        <f>COUNTIFS(Stats!$L$9:$CG$9,"R",Stats!$L45:$CG45,"&gt;0")</f>
        <v>0</v>
      </c>
      <c r="Q40" s="13">
        <f>SUMIF(Stats!$L$9:$CG$9,"R",Stats!$L45:$CG45)</f>
        <v>0</v>
      </c>
      <c r="R40" s="13">
        <f>Stats!G45-E40</f>
        <v>0</v>
      </c>
    </row>
    <row r="41" spans="1:18">
      <c r="A41" s="1">
        <f>Stats!A46</f>
        <v>0</v>
      </c>
      <c r="B41" s="1">
        <f>Stats!D46</f>
        <v>0</v>
      </c>
      <c r="C41" s="41">
        <f>Stats!E46</f>
        <v>0</v>
      </c>
      <c r="D41" s="13">
        <f t="shared" si="6"/>
        <v>0</v>
      </c>
      <c r="E41" s="13">
        <f t="shared" si="7"/>
        <v>0</v>
      </c>
      <c r="F41" s="48" t="str">
        <f t="shared" si="8"/>
        <v/>
      </c>
      <c r="G41" s="5">
        <f>COUNTIFS(Stats!$I$4:$CG$4,G$1,Stats!$I46:$CG46,"&lt;&gt;")</f>
        <v>0</v>
      </c>
      <c r="H41" s="5">
        <f>SUMIF(Stats!$I$4:$CF$4,G$1,Stats!$J46:$CI46)</f>
        <v>0</v>
      </c>
      <c r="I41" s="6" t="str">
        <f t="shared" si="9"/>
        <v/>
      </c>
      <c r="J41" s="5">
        <f>COUNTIFS(Stats!$I$4:$CG$4,J$1,Stats!$I46:$CG46,"&lt;&gt;")</f>
        <v>0</v>
      </c>
      <c r="K41" s="5">
        <f>SUMIF(Stats!$I$4:$CF$4,J$1,Stats!$J46:$CI46)</f>
        <v>0</v>
      </c>
      <c r="L41" s="6" t="str">
        <f t="shared" si="10"/>
        <v/>
      </c>
      <c r="M41" s="5">
        <f>COUNTIFS(Stats!$I$4:$CG$4,M$1,Stats!$I46:$CG46,"&lt;&gt;")</f>
        <v>0</v>
      </c>
      <c r="N41" s="5">
        <f>SUMIF(Stats!$I$4:$CF$4,M$1,Stats!$J46:$CI46)</f>
        <v>0</v>
      </c>
      <c r="O41" s="6" t="str">
        <f t="shared" si="11"/>
        <v/>
      </c>
      <c r="P41" s="13">
        <f>COUNTIFS(Stats!$L$9:$CG$9,"R",Stats!$L46:$CG46,"&gt;0")</f>
        <v>0</v>
      </c>
      <c r="Q41" s="13">
        <f>SUMIF(Stats!$L$9:$CG$9,"R",Stats!$L46:$CG46)</f>
        <v>0</v>
      </c>
      <c r="R41" s="13">
        <f>Stats!G46-E41</f>
        <v>0</v>
      </c>
    </row>
    <row r="42" spans="1:18">
      <c r="A42" s="1">
        <f>Stats!A47</f>
        <v>0</v>
      </c>
      <c r="B42" s="1">
        <f>Stats!D47</f>
        <v>0</v>
      </c>
      <c r="C42" s="41">
        <f>Stats!E47</f>
        <v>0</v>
      </c>
      <c r="D42" s="13">
        <f t="shared" si="6"/>
        <v>0</v>
      </c>
      <c r="E42" s="13">
        <f t="shared" si="7"/>
        <v>0</v>
      </c>
      <c r="F42" s="48" t="str">
        <f t="shared" si="8"/>
        <v/>
      </c>
      <c r="G42" s="5">
        <f>COUNTIFS(Stats!$I$4:$CG$4,G$1,Stats!$I47:$CG47,"&lt;&gt;")</f>
        <v>0</v>
      </c>
      <c r="H42" s="5">
        <f>SUMIF(Stats!$I$4:$CF$4,G$1,Stats!$J47:$CI47)</f>
        <v>0</v>
      </c>
      <c r="I42" s="6" t="str">
        <f t="shared" si="9"/>
        <v/>
      </c>
      <c r="J42" s="5">
        <f>COUNTIFS(Stats!$I$4:$CG$4,J$1,Stats!$I47:$CG47,"&lt;&gt;")</f>
        <v>0</v>
      </c>
      <c r="K42" s="5">
        <f>SUMIF(Stats!$I$4:$CF$4,J$1,Stats!$J47:$CI47)</f>
        <v>0</v>
      </c>
      <c r="L42" s="6" t="str">
        <f t="shared" si="10"/>
        <v/>
      </c>
      <c r="M42" s="5">
        <f>COUNTIFS(Stats!$I$4:$CG$4,M$1,Stats!$I47:$CG47,"&lt;&gt;")</f>
        <v>0</v>
      </c>
      <c r="N42" s="5">
        <f>SUMIF(Stats!$I$4:$CF$4,M$1,Stats!$J47:$CI47)</f>
        <v>0</v>
      </c>
      <c r="O42" s="6" t="str">
        <f t="shared" si="11"/>
        <v/>
      </c>
      <c r="P42" s="13">
        <f>COUNTIFS(Stats!$L$9:$CG$9,"R",Stats!$L47:$CG47,"&gt;0")</f>
        <v>0</v>
      </c>
      <c r="Q42" s="13">
        <f>SUMIF(Stats!$L$9:$CG$9,"R",Stats!$L47:$CG47)</f>
        <v>0</v>
      </c>
      <c r="R42" s="13">
        <f>Stats!G47-E42</f>
        <v>0</v>
      </c>
    </row>
    <row r="43" spans="1:18">
      <c r="A43" s="1">
        <f>Stats!A48</f>
        <v>888</v>
      </c>
      <c r="B43" s="1" t="str">
        <f>Stats!D48</f>
        <v xml:space="preserve"> Own Goal</v>
      </c>
      <c r="C43" s="41">
        <f>Stats!E48</f>
        <v>0</v>
      </c>
      <c r="D43" s="13">
        <f t="shared" si="6"/>
        <v>0</v>
      </c>
      <c r="E43" s="13">
        <f t="shared" si="7"/>
        <v>0</v>
      </c>
      <c r="F43" s="48" t="str">
        <f t="shared" si="8"/>
        <v/>
      </c>
      <c r="G43" s="5">
        <f>COUNTIFS(Stats!$I$4:$CG$4,G$1,Stats!$I48:$CG48,"&lt;&gt;")</f>
        <v>0</v>
      </c>
      <c r="H43" s="5">
        <f>SUMIF(Stats!$I$4:$CF$4,G$1,Stats!$J48:$CI48)</f>
        <v>0</v>
      </c>
      <c r="I43" s="6" t="str">
        <f t="shared" si="9"/>
        <v/>
      </c>
      <c r="J43" s="5">
        <f>COUNTIFS(Stats!$I$4:$CG$4,J$1,Stats!$I48:$CG48,"&lt;&gt;")</f>
        <v>0</v>
      </c>
      <c r="K43" s="5">
        <f>SUMIF(Stats!$I$4:$CF$4,J$1,Stats!$J48:$CI48)</f>
        <v>0</v>
      </c>
      <c r="L43" s="6" t="str">
        <f t="shared" si="10"/>
        <v/>
      </c>
      <c r="M43" s="5">
        <f>COUNTIFS(Stats!$I$4:$CG$4,M$1,Stats!$I48:$CG48,"&lt;&gt;")</f>
        <v>0</v>
      </c>
      <c r="N43" s="5">
        <f>SUMIF(Stats!$I$4:$CF$4,M$1,Stats!$J48:$CI48)</f>
        <v>0</v>
      </c>
      <c r="O43" s="6" t="str">
        <f t="shared" si="11"/>
        <v/>
      </c>
      <c r="P43" s="13">
        <f>COUNTIFS(Stats!$L$9:$CG$9,"R",Stats!$L48:$CG48,"&gt;0")</f>
        <v>0</v>
      </c>
      <c r="Q43" s="13">
        <f>SUMIF(Stats!$L$9:$CG$9,"R",Stats!$L48:$CG48)</f>
        <v>0</v>
      </c>
      <c r="R43" s="13">
        <f>Stats!G48-E43</f>
        <v>0</v>
      </c>
    </row>
    <row r="44" spans="1:18">
      <c r="A44" s="1">
        <f>Stats!A49</f>
        <v>777</v>
      </c>
      <c r="B44" s="1" t="str">
        <f>Stats!D49</f>
        <v xml:space="preserve"> A.N.Other</v>
      </c>
      <c r="C44" s="41">
        <f>Stats!E49</f>
        <v>0</v>
      </c>
      <c r="D44" s="13">
        <f t="shared" si="6"/>
        <v>0</v>
      </c>
      <c r="E44" s="13">
        <f t="shared" si="7"/>
        <v>0</v>
      </c>
      <c r="F44" s="48" t="str">
        <f t="shared" si="8"/>
        <v/>
      </c>
      <c r="G44" s="5">
        <f>COUNTIFS(Stats!$I$4:$CG$4,G$1,Stats!$I49:$CG49,"&lt;&gt;")</f>
        <v>0</v>
      </c>
      <c r="H44" s="5">
        <f>SUMIF(Stats!$I$4:$CF$4,G$1,Stats!$J49:$CI49)</f>
        <v>0</v>
      </c>
      <c r="I44" s="6" t="str">
        <f t="shared" si="9"/>
        <v/>
      </c>
      <c r="J44" s="5">
        <f>COUNTIFS(Stats!$I$4:$CG$4,J$1,Stats!$I49:$CG49,"&lt;&gt;")</f>
        <v>0</v>
      </c>
      <c r="K44" s="5">
        <f>SUMIF(Stats!$I$4:$CF$4,J$1,Stats!$J49:$CI49)</f>
        <v>0</v>
      </c>
      <c r="L44" s="6" t="str">
        <f t="shared" si="10"/>
        <v/>
      </c>
      <c r="M44" s="5">
        <f>COUNTIFS(Stats!$I$4:$CG$4,M$1,Stats!$I49:$CG49,"&lt;&gt;")</f>
        <v>0</v>
      </c>
      <c r="N44" s="5">
        <f>SUMIF(Stats!$I$4:$CF$4,M$1,Stats!$J49:$CI49)</f>
        <v>0</v>
      </c>
      <c r="O44" s="6" t="str">
        <f t="shared" si="11"/>
        <v/>
      </c>
      <c r="P44" s="13">
        <f>COUNTIFS(Stats!$L$9:$CG$9,"R",Stats!$L49:$CG49,"&gt;0")</f>
        <v>0</v>
      </c>
      <c r="Q44" s="13">
        <f>SUMIF(Stats!$L$9:$CG$9,"R",Stats!$L49:$CG49)</f>
        <v>0</v>
      </c>
      <c r="R44" s="13">
        <f>Stats!G49-E44</f>
        <v>0</v>
      </c>
    </row>
    <row r="45" spans="1:18">
      <c r="A45" s="4"/>
      <c r="C45" s="43"/>
      <c r="D45" s="5"/>
      <c r="E45" s="5"/>
      <c r="F45" s="6"/>
      <c r="G45" s="5"/>
      <c r="H45" s="5"/>
      <c r="I45" s="6"/>
      <c r="J45" s="5"/>
      <c r="K45" s="5"/>
      <c r="L45" s="6"/>
      <c r="M45" s="5"/>
      <c r="N45" s="5"/>
      <c r="O45" s="6"/>
    </row>
    <row r="46" spans="1:18">
      <c r="A46" s="4"/>
      <c r="B46" s="1" t="s">
        <v>13</v>
      </c>
      <c r="C46" s="43"/>
      <c r="D46" s="5"/>
      <c r="E46" s="5">
        <f>SUM(E5:E45)</f>
        <v>95</v>
      </c>
      <c r="F46" s="6"/>
      <c r="G46" s="5"/>
      <c r="H46" s="5">
        <f>SUM(H5:H45)</f>
        <v>92</v>
      </c>
      <c r="I46" s="6"/>
      <c r="J46" s="5"/>
      <c r="K46" s="5">
        <f>SUM(K5:K45)</f>
        <v>3</v>
      </c>
      <c r="L46" s="6"/>
      <c r="M46" s="5"/>
      <c r="N46" s="5"/>
      <c r="O46" s="6"/>
    </row>
    <row r="48" spans="1:18">
      <c r="C48" s="41" t="s">
        <v>14</v>
      </c>
      <c r="D48" s="7">
        <f>SUM(D4:D45)</f>
        <v>212</v>
      </c>
      <c r="E48" s="1" t="s">
        <v>29</v>
      </c>
      <c r="G48" s="7">
        <f>SUM(G5:G45)</f>
        <v>199</v>
      </c>
      <c r="J48" s="7">
        <f>SUM(J5:J45)</f>
        <v>13</v>
      </c>
      <c r="M48" s="7">
        <f>SUM(M5:M45)</f>
        <v>0</v>
      </c>
    </row>
    <row r="49" spans="1:15">
      <c r="C49" s="41" t="s">
        <v>15</v>
      </c>
      <c r="D49" s="7">
        <f>SUM(G48:M48)</f>
        <v>212</v>
      </c>
      <c r="E49" s="1">
        <f>D48-D49</f>
        <v>0</v>
      </c>
    </row>
    <row r="50" spans="1:15">
      <c r="C50" s="41" t="s">
        <v>16</v>
      </c>
      <c r="D50" s="7">
        <f>Stats!F50</f>
        <v>212</v>
      </c>
      <c r="E50" s="1">
        <f>D48-D50</f>
        <v>0</v>
      </c>
    </row>
    <row r="52" spans="1:15">
      <c r="A52" s="1">
        <v>888</v>
      </c>
      <c r="B52" s="1" t="s">
        <v>17</v>
      </c>
      <c r="D52" s="1">
        <f>SUMIF($A4:$A45,"777",D4:D45)+D54</f>
        <v>0</v>
      </c>
      <c r="E52" s="1">
        <f>SUMIF($A4:$A45,"777",E4:E45)</f>
        <v>0</v>
      </c>
      <c r="F52" s="1" t="s">
        <v>18</v>
      </c>
      <c r="G52" s="1">
        <f>SUMIF($A4:$A45,"777",G4:G45)+G54</f>
        <v>0</v>
      </c>
      <c r="H52" s="1">
        <f>SUMIF($A4:$A45,"777",H4:H45)</f>
        <v>0</v>
      </c>
      <c r="I52" s="48" t="s">
        <v>18</v>
      </c>
      <c r="J52" s="1">
        <f>SUMIF($A4:$A45,"777",J4:J45)+J54</f>
        <v>0</v>
      </c>
      <c r="K52" s="1">
        <f>SUMIF($A4:$A45,"777",K4:K45)</f>
        <v>0</v>
      </c>
      <c r="L52" s="48" t="s">
        <v>18</v>
      </c>
      <c r="M52" s="1">
        <f>SUMIF($A4:$A45,"777",M4:M45)+M54</f>
        <v>0</v>
      </c>
      <c r="N52" s="1">
        <f>SUMIF($A4:$A45,"777",N4:N45)</f>
        <v>0</v>
      </c>
      <c r="O52" s="48" t="s">
        <v>18</v>
      </c>
    </row>
    <row r="54" spans="1:15">
      <c r="C54" s="41" t="s">
        <v>19</v>
      </c>
      <c r="D54" s="1">
        <v>0</v>
      </c>
    </row>
    <row r="55" spans="1:15">
      <c r="C55" s="41" t="s">
        <v>20</v>
      </c>
      <c r="D55" s="1">
        <v>0</v>
      </c>
    </row>
  </sheetData>
  <sheetProtection selectLockedCells="1" selectUnlockedCells="1"/>
  <phoneticPr fontId="5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Slaughter</cp:lastModifiedBy>
  <cp:lastPrinted>2018-04-14T07:55:38Z</cp:lastPrinted>
  <dcterms:created xsi:type="dcterms:W3CDTF">2013-09-06T07:58:34Z</dcterms:created>
  <dcterms:modified xsi:type="dcterms:W3CDTF">2023-02-25T08:05:32Z</dcterms:modified>
</cp:coreProperties>
</file>