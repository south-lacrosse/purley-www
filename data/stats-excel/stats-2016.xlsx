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75" windowWidth="19230" windowHeight="6720"/>
  </bookViews>
  <sheets>
    <sheet name="Stats" sheetId="2" r:id="rId1"/>
    <sheet name="Summary" sheetId="1" r:id="rId2"/>
  </sheets>
  <calcPr calcId="145621"/>
</workbook>
</file>

<file path=xl/calcChain.xml><?xml version="1.0" encoding="utf-8"?>
<calcChain xmlns="http://schemas.openxmlformats.org/spreadsheetml/2006/main">
  <c r="CJ54" i="2" l="1"/>
  <c r="CF54" i="2"/>
  <c r="CB54" i="2"/>
  <c r="BX54" i="2"/>
  <c r="BT54" i="2"/>
  <c r="BP54" i="2"/>
  <c r="BL54" i="2"/>
  <c r="BH54" i="2"/>
  <c r="BD54" i="2"/>
  <c r="AZ54" i="2"/>
  <c r="AV54" i="2"/>
  <c r="AR54" i="2"/>
  <c r="AN54" i="2"/>
  <c r="AJ54" i="2"/>
  <c r="AF54" i="2"/>
  <c r="AB54" i="2"/>
  <c r="X54" i="2"/>
  <c r="T54" i="2"/>
  <c r="P54" i="2"/>
  <c r="L54" i="2"/>
  <c r="CJ53" i="2"/>
  <c r="CF53" i="2"/>
  <c r="CB53" i="2"/>
  <c r="BX53" i="2"/>
  <c r="BT53" i="2"/>
  <c r="BP53" i="2"/>
  <c r="BL53" i="2"/>
  <c r="BH53" i="2"/>
  <c r="BD53" i="2"/>
  <c r="AZ53" i="2"/>
  <c r="AV53" i="2"/>
  <c r="AR53" i="2"/>
  <c r="AN53" i="2"/>
  <c r="AJ53" i="2"/>
  <c r="AF53" i="2"/>
  <c r="AB53" i="2"/>
  <c r="X53" i="2"/>
  <c r="T53" i="2"/>
  <c r="P53" i="2"/>
  <c r="L53" i="2"/>
  <c r="CJ52" i="2"/>
  <c r="CF52" i="2"/>
  <c r="CB52" i="2"/>
  <c r="BX52" i="2"/>
  <c r="BT52" i="2"/>
  <c r="BP52" i="2"/>
  <c r="BL52" i="2"/>
  <c r="BH52" i="2"/>
  <c r="BD52" i="2"/>
  <c r="AZ52" i="2"/>
  <c r="AV52" i="2"/>
  <c r="AR52" i="2"/>
  <c r="AN52" i="2"/>
  <c r="AJ52" i="2"/>
  <c r="AF52" i="2"/>
  <c r="AB52" i="2"/>
  <c r="X52" i="2"/>
  <c r="T52" i="2"/>
  <c r="P52" i="2"/>
  <c r="L52" i="2"/>
  <c r="CJ51" i="2"/>
  <c r="CF51" i="2"/>
  <c r="CB51" i="2"/>
  <c r="BX51" i="2"/>
  <c r="BT51" i="2"/>
  <c r="BP51" i="2"/>
  <c r="BL51" i="2"/>
  <c r="BH51" i="2"/>
  <c r="BD51" i="2"/>
  <c r="AZ51" i="2"/>
  <c r="AV51" i="2"/>
  <c r="AR51" i="2"/>
  <c r="AN51" i="2"/>
  <c r="AJ51" i="2"/>
  <c r="AF51" i="2"/>
  <c r="AB51" i="2"/>
  <c r="X51" i="2"/>
  <c r="T51" i="2"/>
  <c r="P51" i="2"/>
  <c r="L51" i="2"/>
  <c r="H54" i="2"/>
  <c r="H53" i="2"/>
  <c r="H52" i="2"/>
  <c r="H51" i="2"/>
  <c r="F38" i="2" l="1"/>
  <c r="E38" i="2"/>
  <c r="D38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Q44" i="1"/>
  <c r="P44" i="1"/>
  <c r="N44" i="1"/>
  <c r="M44" i="1"/>
  <c r="K44" i="1"/>
  <c r="J44" i="1"/>
  <c r="L44" i="1" s="1"/>
  <c r="H44" i="1"/>
  <c r="G44" i="1"/>
  <c r="I44" i="1" s="1"/>
  <c r="E44" i="1"/>
  <c r="D44" i="1"/>
  <c r="Q43" i="1"/>
  <c r="P43" i="1"/>
  <c r="N43" i="1"/>
  <c r="M43" i="1"/>
  <c r="O43" i="1" s="1"/>
  <c r="K43" i="1"/>
  <c r="J43" i="1"/>
  <c r="L43" i="1" s="1"/>
  <c r="H43" i="1"/>
  <c r="G43" i="1"/>
  <c r="I43" i="1" s="1"/>
  <c r="E43" i="1"/>
  <c r="D43" i="1"/>
  <c r="F43" i="1" s="1"/>
  <c r="Q42" i="1"/>
  <c r="P42" i="1"/>
  <c r="N42" i="1"/>
  <c r="M42" i="1"/>
  <c r="O42" i="1" s="1"/>
  <c r="K42" i="1"/>
  <c r="J42" i="1"/>
  <c r="L42" i="1" s="1"/>
  <c r="H42" i="1"/>
  <c r="E42" i="1" s="1"/>
  <c r="G42" i="1"/>
  <c r="I42" i="1" s="1"/>
  <c r="Q41" i="1"/>
  <c r="P41" i="1"/>
  <c r="N41" i="1"/>
  <c r="M41" i="1"/>
  <c r="O41" i="1" s="1"/>
  <c r="K41" i="1"/>
  <c r="J41" i="1"/>
  <c r="L41" i="1" s="1"/>
  <c r="H41" i="1"/>
  <c r="E41" i="1" s="1"/>
  <c r="G41" i="1"/>
  <c r="I41" i="1" s="1"/>
  <c r="Q40" i="1"/>
  <c r="P40" i="1"/>
  <c r="N40" i="1"/>
  <c r="M40" i="1"/>
  <c r="O40" i="1" s="1"/>
  <c r="K40" i="1"/>
  <c r="J40" i="1"/>
  <c r="L40" i="1" s="1"/>
  <c r="H40" i="1"/>
  <c r="E40" i="1" s="1"/>
  <c r="G40" i="1"/>
  <c r="I40" i="1" s="1"/>
  <c r="Q39" i="1"/>
  <c r="P39" i="1"/>
  <c r="N39" i="1"/>
  <c r="M39" i="1"/>
  <c r="O39" i="1" s="1"/>
  <c r="K39" i="1"/>
  <c r="J39" i="1"/>
  <c r="L39" i="1" s="1"/>
  <c r="H39" i="1"/>
  <c r="E39" i="1" s="1"/>
  <c r="G39" i="1"/>
  <c r="I39" i="1" s="1"/>
  <c r="Q38" i="1"/>
  <c r="P38" i="1"/>
  <c r="N38" i="1"/>
  <c r="M38" i="1"/>
  <c r="O38" i="1" s="1"/>
  <c r="K38" i="1"/>
  <c r="J38" i="1"/>
  <c r="L38" i="1" s="1"/>
  <c r="H38" i="1"/>
  <c r="E38" i="1" s="1"/>
  <c r="G38" i="1"/>
  <c r="I38" i="1" s="1"/>
  <c r="Q37" i="1"/>
  <c r="P37" i="1"/>
  <c r="N37" i="1"/>
  <c r="M37" i="1"/>
  <c r="O37" i="1" s="1"/>
  <c r="K37" i="1"/>
  <c r="J37" i="1"/>
  <c r="L37" i="1" s="1"/>
  <c r="H37" i="1"/>
  <c r="E37" i="1" s="1"/>
  <c r="G37" i="1"/>
  <c r="I37" i="1" s="1"/>
  <c r="Q36" i="1"/>
  <c r="P36" i="1"/>
  <c r="N36" i="1"/>
  <c r="M36" i="1"/>
  <c r="O36" i="1" s="1"/>
  <c r="K36" i="1"/>
  <c r="J36" i="1"/>
  <c r="L36" i="1" s="1"/>
  <c r="H36" i="1"/>
  <c r="E36" i="1" s="1"/>
  <c r="G36" i="1"/>
  <c r="I36" i="1" s="1"/>
  <c r="Q35" i="1"/>
  <c r="P35" i="1"/>
  <c r="N35" i="1"/>
  <c r="M35" i="1"/>
  <c r="K35" i="1"/>
  <c r="J35" i="1"/>
  <c r="L35" i="1" s="1"/>
  <c r="H35" i="1"/>
  <c r="E35" i="1" s="1"/>
  <c r="G35" i="1"/>
  <c r="I35" i="1" s="1"/>
  <c r="Q34" i="1"/>
  <c r="P34" i="1"/>
  <c r="N34" i="1"/>
  <c r="M34" i="1"/>
  <c r="K34" i="1"/>
  <c r="J34" i="1"/>
  <c r="L34" i="1" s="1"/>
  <c r="H34" i="1"/>
  <c r="E34" i="1" s="1"/>
  <c r="G34" i="1"/>
  <c r="Q33" i="1"/>
  <c r="P33" i="1"/>
  <c r="N33" i="1"/>
  <c r="M33" i="1"/>
  <c r="O33" i="1" s="1"/>
  <c r="K33" i="1"/>
  <c r="J33" i="1"/>
  <c r="H33" i="1"/>
  <c r="E33" i="1" s="1"/>
  <c r="G33" i="1"/>
  <c r="Q32" i="1"/>
  <c r="P32" i="1"/>
  <c r="N32" i="1"/>
  <c r="M32" i="1"/>
  <c r="O32" i="1" s="1"/>
  <c r="K32" i="1"/>
  <c r="J32" i="1"/>
  <c r="L32" i="1" s="1"/>
  <c r="H32" i="1"/>
  <c r="E32" i="1" s="1"/>
  <c r="G32" i="1"/>
  <c r="Q31" i="1"/>
  <c r="P31" i="1"/>
  <c r="N31" i="1"/>
  <c r="M31" i="1"/>
  <c r="K31" i="1"/>
  <c r="J31" i="1"/>
  <c r="H31" i="1"/>
  <c r="E31" i="1" s="1"/>
  <c r="G31" i="1"/>
  <c r="Q30" i="1"/>
  <c r="P30" i="1"/>
  <c r="N30" i="1"/>
  <c r="M30" i="1"/>
  <c r="O30" i="1" s="1"/>
  <c r="K30" i="1"/>
  <c r="J30" i="1"/>
  <c r="L30" i="1" s="1"/>
  <c r="H30" i="1"/>
  <c r="E30" i="1" s="1"/>
  <c r="G30" i="1"/>
  <c r="I30" i="1" s="1"/>
  <c r="Q29" i="1"/>
  <c r="P29" i="1"/>
  <c r="N29" i="1"/>
  <c r="M29" i="1"/>
  <c r="K29" i="1"/>
  <c r="J29" i="1"/>
  <c r="L29" i="1" s="1"/>
  <c r="H29" i="1"/>
  <c r="E29" i="1" s="1"/>
  <c r="G29" i="1"/>
  <c r="Q28" i="1"/>
  <c r="P28" i="1"/>
  <c r="N28" i="1"/>
  <c r="M28" i="1"/>
  <c r="K28" i="1"/>
  <c r="J28" i="1"/>
  <c r="H28" i="1"/>
  <c r="E28" i="1" s="1"/>
  <c r="G28" i="1"/>
  <c r="Q27" i="1"/>
  <c r="P27" i="1"/>
  <c r="N27" i="1"/>
  <c r="M27" i="1"/>
  <c r="K27" i="1"/>
  <c r="J27" i="1"/>
  <c r="L27" i="1" s="1"/>
  <c r="H27" i="1"/>
  <c r="E27" i="1" s="1"/>
  <c r="G27" i="1"/>
  <c r="Q26" i="1"/>
  <c r="P26" i="1"/>
  <c r="N26" i="1"/>
  <c r="M26" i="1"/>
  <c r="K26" i="1"/>
  <c r="J26" i="1"/>
  <c r="H26" i="1"/>
  <c r="E26" i="1" s="1"/>
  <c r="G26" i="1"/>
  <c r="Q25" i="1"/>
  <c r="P25" i="1"/>
  <c r="N25" i="1"/>
  <c r="M25" i="1"/>
  <c r="K25" i="1"/>
  <c r="J25" i="1"/>
  <c r="H25" i="1"/>
  <c r="E25" i="1" s="1"/>
  <c r="G25" i="1"/>
  <c r="Q24" i="1"/>
  <c r="P24" i="1"/>
  <c r="N24" i="1"/>
  <c r="M24" i="1"/>
  <c r="K24" i="1"/>
  <c r="J24" i="1"/>
  <c r="L24" i="1" s="1"/>
  <c r="H24" i="1"/>
  <c r="E24" i="1" s="1"/>
  <c r="G24" i="1"/>
  <c r="Q23" i="1"/>
  <c r="P23" i="1"/>
  <c r="N23" i="1"/>
  <c r="M23" i="1"/>
  <c r="O23" i="1" s="1"/>
  <c r="K23" i="1"/>
  <c r="J23" i="1"/>
  <c r="L23" i="1" s="1"/>
  <c r="H23" i="1"/>
  <c r="E23" i="1" s="1"/>
  <c r="G23" i="1"/>
  <c r="I23" i="1" s="1"/>
  <c r="Q22" i="1"/>
  <c r="P22" i="1"/>
  <c r="N22" i="1"/>
  <c r="M22" i="1"/>
  <c r="O22" i="1" s="1"/>
  <c r="K22" i="1"/>
  <c r="J22" i="1"/>
  <c r="L22" i="1" s="1"/>
  <c r="H22" i="1"/>
  <c r="E22" i="1" s="1"/>
  <c r="G22" i="1"/>
  <c r="I22" i="1" s="1"/>
  <c r="Q21" i="1"/>
  <c r="P21" i="1"/>
  <c r="N21" i="1"/>
  <c r="M21" i="1"/>
  <c r="O21" i="1" s="1"/>
  <c r="K21" i="1"/>
  <c r="J21" i="1"/>
  <c r="L21" i="1" s="1"/>
  <c r="H21" i="1"/>
  <c r="E21" i="1" s="1"/>
  <c r="G21" i="1"/>
  <c r="I21" i="1" s="1"/>
  <c r="Q20" i="1"/>
  <c r="P20" i="1"/>
  <c r="N20" i="1"/>
  <c r="M20" i="1"/>
  <c r="O20" i="1" s="1"/>
  <c r="K20" i="1"/>
  <c r="J20" i="1"/>
  <c r="L20" i="1" s="1"/>
  <c r="H20" i="1"/>
  <c r="E20" i="1" s="1"/>
  <c r="G20" i="1"/>
  <c r="I20" i="1" s="1"/>
  <c r="Q19" i="1"/>
  <c r="P19" i="1"/>
  <c r="N19" i="1"/>
  <c r="M19" i="1"/>
  <c r="K19" i="1"/>
  <c r="J19" i="1"/>
  <c r="H19" i="1"/>
  <c r="E19" i="1" s="1"/>
  <c r="G19" i="1"/>
  <c r="Q18" i="1"/>
  <c r="P18" i="1"/>
  <c r="N18" i="1"/>
  <c r="M18" i="1"/>
  <c r="O18" i="1" s="1"/>
  <c r="K18" i="1"/>
  <c r="J18" i="1"/>
  <c r="H18" i="1"/>
  <c r="E18" i="1" s="1"/>
  <c r="G18" i="1"/>
  <c r="Q17" i="1"/>
  <c r="P17" i="1"/>
  <c r="N17" i="1"/>
  <c r="M17" i="1"/>
  <c r="K17" i="1"/>
  <c r="J17" i="1"/>
  <c r="H17" i="1"/>
  <c r="E17" i="1" s="1"/>
  <c r="G17" i="1"/>
  <c r="Q16" i="1"/>
  <c r="P16" i="1"/>
  <c r="N16" i="1"/>
  <c r="M16" i="1"/>
  <c r="O16" i="1" s="1"/>
  <c r="K16" i="1"/>
  <c r="J16" i="1"/>
  <c r="L16" i="1" s="1"/>
  <c r="H16" i="1"/>
  <c r="E16" i="1" s="1"/>
  <c r="G16" i="1"/>
  <c r="Q15" i="1"/>
  <c r="P15" i="1"/>
  <c r="N15" i="1"/>
  <c r="M15" i="1"/>
  <c r="K15" i="1"/>
  <c r="J15" i="1"/>
  <c r="H15" i="1"/>
  <c r="E15" i="1" s="1"/>
  <c r="G15" i="1"/>
  <c r="D15" i="1" s="1"/>
  <c r="Q14" i="1"/>
  <c r="P14" i="1"/>
  <c r="N14" i="1"/>
  <c r="M14" i="1"/>
  <c r="O14" i="1" s="1"/>
  <c r="K14" i="1"/>
  <c r="J14" i="1"/>
  <c r="H14" i="1"/>
  <c r="E14" i="1" s="1"/>
  <c r="G14" i="1"/>
  <c r="Q13" i="1"/>
  <c r="P13" i="1"/>
  <c r="N13" i="1"/>
  <c r="M13" i="1"/>
  <c r="K13" i="1"/>
  <c r="J13" i="1"/>
  <c r="L13" i="1" s="1"/>
  <c r="H13" i="1"/>
  <c r="E13" i="1" s="1"/>
  <c r="G13" i="1"/>
  <c r="I13" i="1" s="1"/>
  <c r="Q12" i="1"/>
  <c r="P12" i="1"/>
  <c r="N12" i="1"/>
  <c r="M12" i="1"/>
  <c r="O12" i="1" s="1"/>
  <c r="K12" i="1"/>
  <c r="J12" i="1"/>
  <c r="L12" i="1" s="1"/>
  <c r="H12" i="1"/>
  <c r="E12" i="1" s="1"/>
  <c r="G12" i="1"/>
  <c r="Q11" i="1"/>
  <c r="P11" i="1"/>
  <c r="N11" i="1"/>
  <c r="M11" i="1"/>
  <c r="K11" i="1"/>
  <c r="J11" i="1"/>
  <c r="L11" i="1" s="1"/>
  <c r="H11" i="1"/>
  <c r="E11" i="1" s="1"/>
  <c r="G11" i="1"/>
  <c r="Q10" i="1"/>
  <c r="P10" i="1"/>
  <c r="N10" i="1"/>
  <c r="M10" i="1"/>
  <c r="O10" i="1" s="1"/>
  <c r="K10" i="1"/>
  <c r="J10" i="1"/>
  <c r="L10" i="1" s="1"/>
  <c r="H10" i="1"/>
  <c r="E10" i="1" s="1"/>
  <c r="G10" i="1"/>
  <c r="I10" i="1" s="1"/>
  <c r="Q9" i="1"/>
  <c r="P9" i="1"/>
  <c r="N9" i="1"/>
  <c r="M9" i="1"/>
  <c r="K9" i="1"/>
  <c r="J9" i="1"/>
  <c r="L9" i="1" s="1"/>
  <c r="H9" i="1"/>
  <c r="E9" i="1" s="1"/>
  <c r="G9" i="1"/>
  <c r="Q8" i="1"/>
  <c r="P8" i="1"/>
  <c r="N8" i="1"/>
  <c r="M8" i="1"/>
  <c r="O8" i="1" s="1"/>
  <c r="K8" i="1"/>
  <c r="J8" i="1"/>
  <c r="L8" i="1" s="1"/>
  <c r="H8" i="1"/>
  <c r="E8" i="1" s="1"/>
  <c r="G8" i="1"/>
  <c r="I8" i="1" s="1"/>
  <c r="Q7" i="1"/>
  <c r="P7" i="1"/>
  <c r="N7" i="1"/>
  <c r="M7" i="1"/>
  <c r="O7" i="1" s="1"/>
  <c r="K7" i="1"/>
  <c r="J7" i="1"/>
  <c r="L7" i="1" s="1"/>
  <c r="H7" i="1"/>
  <c r="E7" i="1" s="1"/>
  <c r="G7" i="1"/>
  <c r="I7" i="1" s="1"/>
  <c r="Q6" i="1"/>
  <c r="P6" i="1"/>
  <c r="N6" i="1"/>
  <c r="M6" i="1"/>
  <c r="K6" i="1"/>
  <c r="J6" i="1"/>
  <c r="L6" i="1" s="1"/>
  <c r="H6" i="1"/>
  <c r="E6" i="1" s="1"/>
  <c r="G6" i="1"/>
  <c r="M5" i="1"/>
  <c r="J5" i="1"/>
  <c r="L5" i="1" s="1"/>
  <c r="G5" i="1"/>
  <c r="H5" i="1"/>
  <c r="K5" i="1"/>
  <c r="N5" i="1"/>
  <c r="P5" i="1"/>
  <c r="Q5" i="1"/>
  <c r="D11" i="2"/>
  <c r="E11" i="2"/>
  <c r="F11" i="2"/>
  <c r="D12" i="2"/>
  <c r="E12" i="2"/>
  <c r="F12" i="2"/>
  <c r="D13" i="2"/>
  <c r="E13" i="2"/>
  <c r="F13" i="2"/>
  <c r="D14" i="2"/>
  <c r="E14" i="2"/>
  <c r="F14" i="2"/>
  <c r="CI182" i="2"/>
  <c r="CI181" i="2"/>
  <c r="CI180" i="2"/>
  <c r="CI179" i="2"/>
  <c r="CI178" i="2"/>
  <c r="CI177" i="2"/>
  <c r="CI176" i="2"/>
  <c r="CI175" i="2"/>
  <c r="CI174" i="2"/>
  <c r="CI173" i="2"/>
  <c r="CI172" i="2"/>
  <c r="CI171" i="2"/>
  <c r="CI170" i="2"/>
  <c r="CI169" i="2"/>
  <c r="CI168" i="2"/>
  <c r="CI167" i="2"/>
  <c r="CI166" i="2"/>
  <c r="CI165" i="2"/>
  <c r="CI164" i="2"/>
  <c r="CI163" i="2"/>
  <c r="CI162" i="2"/>
  <c r="CI161" i="2"/>
  <c r="CI160" i="2"/>
  <c r="CI159" i="2"/>
  <c r="CI158" i="2"/>
  <c r="CI157" i="2"/>
  <c r="CI156" i="2"/>
  <c r="CI155" i="2"/>
  <c r="CI154" i="2"/>
  <c r="CI153" i="2"/>
  <c r="CI152" i="2"/>
  <c r="CI151" i="2"/>
  <c r="CI150" i="2"/>
  <c r="CI149" i="2"/>
  <c r="CI148" i="2"/>
  <c r="CI147" i="2"/>
  <c r="CI146" i="2"/>
  <c r="CI145" i="2"/>
  <c r="CI144" i="2"/>
  <c r="CI143" i="2"/>
  <c r="CJ143" i="2" s="1"/>
  <c r="CL100" i="2"/>
  <c r="CK100" i="2"/>
  <c r="CJ100" i="2"/>
  <c r="CI100" i="2"/>
  <c r="CL99" i="2"/>
  <c r="CK99" i="2"/>
  <c r="CJ99" i="2"/>
  <c r="CI99" i="2"/>
  <c r="CL98" i="2"/>
  <c r="CK98" i="2"/>
  <c r="CJ98" i="2"/>
  <c r="CI98" i="2"/>
  <c r="CL97" i="2"/>
  <c r="CK97" i="2"/>
  <c r="CJ97" i="2"/>
  <c r="CI97" i="2"/>
  <c r="CL96" i="2"/>
  <c r="CK96" i="2"/>
  <c r="CJ96" i="2"/>
  <c r="CI96" i="2"/>
  <c r="CL95" i="2"/>
  <c r="CK95" i="2"/>
  <c r="CJ95" i="2"/>
  <c r="CI95" i="2"/>
  <c r="CL94" i="2"/>
  <c r="CK94" i="2"/>
  <c r="CJ94" i="2"/>
  <c r="CI94" i="2"/>
  <c r="CL93" i="2"/>
  <c r="CK93" i="2"/>
  <c r="CJ93" i="2"/>
  <c r="CI93" i="2"/>
  <c r="CL92" i="2"/>
  <c r="CK92" i="2"/>
  <c r="CJ92" i="2"/>
  <c r="CI92" i="2"/>
  <c r="CL91" i="2"/>
  <c r="CK91" i="2"/>
  <c r="CJ91" i="2"/>
  <c r="CI91" i="2"/>
  <c r="CL90" i="2"/>
  <c r="CK90" i="2"/>
  <c r="CJ90" i="2"/>
  <c r="CI90" i="2"/>
  <c r="CL89" i="2"/>
  <c r="CK89" i="2"/>
  <c r="CJ89" i="2"/>
  <c r="CI89" i="2"/>
  <c r="CL88" i="2"/>
  <c r="CK88" i="2"/>
  <c r="CJ88" i="2"/>
  <c r="CI88" i="2"/>
  <c r="CL87" i="2"/>
  <c r="CK87" i="2"/>
  <c r="CJ87" i="2"/>
  <c r="CI87" i="2"/>
  <c r="CL86" i="2"/>
  <c r="CK86" i="2"/>
  <c r="CJ86" i="2"/>
  <c r="CI86" i="2"/>
  <c r="CL85" i="2"/>
  <c r="CK85" i="2"/>
  <c r="CJ85" i="2"/>
  <c r="CI85" i="2"/>
  <c r="CL84" i="2"/>
  <c r="CK84" i="2"/>
  <c r="CJ84" i="2"/>
  <c r="CI84" i="2"/>
  <c r="CL83" i="2"/>
  <c r="CK83" i="2"/>
  <c r="CJ83" i="2"/>
  <c r="CI83" i="2"/>
  <c r="CL82" i="2"/>
  <c r="CK82" i="2"/>
  <c r="CJ82" i="2"/>
  <c r="CI82" i="2"/>
  <c r="CL81" i="2"/>
  <c r="CK81" i="2"/>
  <c r="CJ81" i="2"/>
  <c r="CI81" i="2"/>
  <c r="CL80" i="2"/>
  <c r="CK80" i="2"/>
  <c r="CJ80" i="2"/>
  <c r="CI80" i="2"/>
  <c r="CL79" i="2"/>
  <c r="CK79" i="2"/>
  <c r="CJ79" i="2"/>
  <c r="CI79" i="2"/>
  <c r="CL78" i="2"/>
  <c r="CK78" i="2"/>
  <c r="CJ78" i="2"/>
  <c r="CI78" i="2"/>
  <c r="CL77" i="2"/>
  <c r="CK77" i="2"/>
  <c r="CJ77" i="2"/>
  <c r="CI77" i="2"/>
  <c r="CL76" i="2"/>
  <c r="CK76" i="2"/>
  <c r="CJ76" i="2"/>
  <c r="CI76" i="2"/>
  <c r="CL75" i="2"/>
  <c r="CK75" i="2"/>
  <c r="CJ75" i="2"/>
  <c r="CI75" i="2"/>
  <c r="CL74" i="2"/>
  <c r="CK74" i="2"/>
  <c r="CJ74" i="2"/>
  <c r="CI74" i="2"/>
  <c r="CL73" i="2"/>
  <c r="CK73" i="2"/>
  <c r="CJ73" i="2"/>
  <c r="CI73" i="2"/>
  <c r="CL72" i="2"/>
  <c r="CK72" i="2"/>
  <c r="CJ72" i="2"/>
  <c r="CI72" i="2"/>
  <c r="CL71" i="2"/>
  <c r="CK71" i="2"/>
  <c r="CJ71" i="2"/>
  <c r="CI71" i="2"/>
  <c r="CL70" i="2"/>
  <c r="CK70" i="2"/>
  <c r="CJ70" i="2"/>
  <c r="CI70" i="2"/>
  <c r="CL69" i="2"/>
  <c r="CK69" i="2"/>
  <c r="CJ69" i="2"/>
  <c r="CI69" i="2"/>
  <c r="CL68" i="2"/>
  <c r="CK68" i="2"/>
  <c r="CJ68" i="2"/>
  <c r="CI68" i="2"/>
  <c r="CL67" i="2"/>
  <c r="CK67" i="2"/>
  <c r="CJ67" i="2"/>
  <c r="CI67" i="2"/>
  <c r="CL66" i="2"/>
  <c r="CK66" i="2"/>
  <c r="CJ66" i="2"/>
  <c r="CI66" i="2"/>
  <c r="CL65" i="2"/>
  <c r="CK65" i="2"/>
  <c r="CJ65" i="2"/>
  <c r="CI65" i="2"/>
  <c r="CL64" i="2"/>
  <c r="CK64" i="2"/>
  <c r="CJ64" i="2"/>
  <c r="CI64" i="2"/>
  <c r="CL63" i="2"/>
  <c r="CK63" i="2"/>
  <c r="CJ63" i="2"/>
  <c r="CI63" i="2"/>
  <c r="CL62" i="2"/>
  <c r="CK62" i="2"/>
  <c r="CJ62" i="2"/>
  <c r="CI62" i="2"/>
  <c r="CL61" i="2"/>
  <c r="CL102" i="2" s="1"/>
  <c r="CK61" i="2"/>
  <c r="CK102" i="2" s="1"/>
  <c r="CJ61" i="2"/>
  <c r="CJ102" i="2" s="1"/>
  <c r="CI61" i="2"/>
  <c r="CI102" i="2" s="1"/>
  <c r="CJ55" i="2"/>
  <c r="CI5" i="2"/>
  <c r="L15" i="1" l="1"/>
  <c r="L14" i="1"/>
  <c r="I14" i="1"/>
  <c r="L33" i="1"/>
  <c r="L31" i="1"/>
  <c r="L28" i="1"/>
  <c r="L26" i="1"/>
  <c r="L25" i="1"/>
  <c r="L19" i="1"/>
  <c r="L18" i="1"/>
  <c r="L17" i="1"/>
  <c r="I9" i="1"/>
  <c r="I12" i="1"/>
  <c r="O13" i="1"/>
  <c r="I16" i="1"/>
  <c r="I24" i="1"/>
  <c r="O24" i="1"/>
  <c r="I29" i="1"/>
  <c r="O29" i="1"/>
  <c r="I32" i="1"/>
  <c r="I34" i="1"/>
  <c r="I33" i="1"/>
  <c r="I31" i="1"/>
  <c r="I26" i="1"/>
  <c r="O26" i="1"/>
  <c r="O9" i="1"/>
  <c r="I17" i="1"/>
  <c r="D16" i="1"/>
  <c r="F16" i="1" s="1"/>
  <c r="I27" i="1"/>
  <c r="I25" i="1"/>
  <c r="O25" i="1"/>
  <c r="I19" i="1"/>
  <c r="I18" i="1"/>
  <c r="F15" i="1"/>
  <c r="I15" i="1"/>
  <c r="O15" i="1"/>
  <c r="I11" i="1"/>
  <c r="I6" i="1"/>
  <c r="I28" i="1"/>
  <c r="O28" i="1"/>
  <c r="D8" i="1"/>
  <c r="F8" i="1" s="1"/>
  <c r="O17" i="1"/>
  <c r="D23" i="1"/>
  <c r="F23" i="1" s="1"/>
  <c r="O34" i="1"/>
  <c r="D39" i="1"/>
  <c r="F39" i="1" s="1"/>
  <c r="O6" i="1"/>
  <c r="F44" i="1"/>
  <c r="O44" i="1"/>
  <c r="D31" i="1"/>
  <c r="F31" i="1" s="1"/>
  <c r="O27" i="1"/>
  <c r="D27" i="1"/>
  <c r="F27" i="1" s="1"/>
  <c r="O19" i="1"/>
  <c r="D19" i="1"/>
  <c r="F19" i="1" s="1"/>
  <c r="O5" i="1"/>
  <c r="D35" i="1"/>
  <c r="F35" i="1" s="1"/>
  <c r="D6" i="1"/>
  <c r="F6" i="1" s="1"/>
  <c r="D11" i="1"/>
  <c r="F11" i="1" s="1"/>
  <c r="D17" i="1"/>
  <c r="F17" i="1" s="1"/>
  <c r="D21" i="1"/>
  <c r="F21" i="1" s="1"/>
  <c r="D25" i="1"/>
  <c r="F25" i="1" s="1"/>
  <c r="D29" i="1"/>
  <c r="F29" i="1" s="1"/>
  <c r="D33" i="1"/>
  <c r="F33" i="1" s="1"/>
  <c r="D37" i="1"/>
  <c r="F37" i="1" s="1"/>
  <c r="D41" i="1"/>
  <c r="F41" i="1" s="1"/>
  <c r="D7" i="1"/>
  <c r="F7" i="1" s="1"/>
  <c r="D9" i="1"/>
  <c r="F9" i="1" s="1"/>
  <c r="D13" i="1"/>
  <c r="F13" i="1" s="1"/>
  <c r="D18" i="1"/>
  <c r="F18" i="1" s="1"/>
  <c r="D20" i="1"/>
  <c r="F20" i="1" s="1"/>
  <c r="D22" i="1"/>
  <c r="F22" i="1" s="1"/>
  <c r="D24" i="1"/>
  <c r="F24" i="1" s="1"/>
  <c r="D26" i="1"/>
  <c r="F26" i="1" s="1"/>
  <c r="D28" i="1"/>
  <c r="F28" i="1" s="1"/>
  <c r="D30" i="1"/>
  <c r="F30" i="1" s="1"/>
  <c r="O31" i="1"/>
  <c r="D32" i="1"/>
  <c r="F32" i="1" s="1"/>
  <c r="D34" i="1"/>
  <c r="F34" i="1" s="1"/>
  <c r="O35" i="1"/>
  <c r="D36" i="1"/>
  <c r="F36" i="1" s="1"/>
  <c r="D38" i="1"/>
  <c r="F38" i="1" s="1"/>
  <c r="D40" i="1"/>
  <c r="F40" i="1" s="1"/>
  <c r="D42" i="1"/>
  <c r="F42" i="1" s="1"/>
  <c r="E5" i="1"/>
  <c r="O11" i="1"/>
  <c r="D12" i="1"/>
  <c r="F12" i="1" s="1"/>
  <c r="D14" i="1"/>
  <c r="F14" i="1" s="1"/>
  <c r="D10" i="1"/>
  <c r="F10" i="1" s="1"/>
  <c r="D5" i="1"/>
  <c r="I5" i="1"/>
  <c r="CJ144" i="2"/>
  <c r="CJ145" i="2" s="1"/>
  <c r="CJ146" i="2" s="1"/>
  <c r="CJ147" i="2" s="1"/>
  <c r="CJ148" i="2" s="1"/>
  <c r="CJ149" i="2" s="1"/>
  <c r="CJ150" i="2" s="1"/>
  <c r="CJ151" i="2" s="1"/>
  <c r="CJ152" i="2" s="1"/>
  <c r="CJ153" i="2" s="1"/>
  <c r="CJ154" i="2" s="1"/>
  <c r="CJ155" i="2" s="1"/>
  <c r="CJ156" i="2" s="1"/>
  <c r="CJ157" i="2" s="1"/>
  <c r="CJ158" i="2" s="1"/>
  <c r="CJ159" i="2" s="1"/>
  <c r="CJ160" i="2" s="1"/>
  <c r="CJ161" i="2" s="1"/>
  <c r="CJ162" i="2" s="1"/>
  <c r="CJ163" i="2" s="1"/>
  <c r="CJ164" i="2" s="1"/>
  <c r="CJ165" i="2" s="1"/>
  <c r="CJ166" i="2" s="1"/>
  <c r="CJ167" i="2" s="1"/>
  <c r="CJ168" i="2" s="1"/>
  <c r="CJ169" i="2" s="1"/>
  <c r="CJ170" i="2" s="1"/>
  <c r="CJ171" i="2" s="1"/>
  <c r="CJ172" i="2" s="1"/>
  <c r="CJ173" i="2" s="1"/>
  <c r="CJ174" i="2" s="1"/>
  <c r="CJ175" i="2" s="1"/>
  <c r="CJ176" i="2" s="1"/>
  <c r="CJ177" i="2" s="1"/>
  <c r="CJ178" i="2" s="1"/>
  <c r="CJ179" i="2" s="1"/>
  <c r="CJ180" i="2" s="1"/>
  <c r="CJ181" i="2" s="1"/>
  <c r="CJ182" i="2" s="1"/>
  <c r="CI59" i="2" s="1"/>
  <c r="CL103" i="2"/>
  <c r="CL104" i="2" s="1"/>
  <c r="CL105" i="2" s="1"/>
  <c r="CL106" i="2" s="1"/>
  <c r="CL107" i="2" s="1"/>
  <c r="CL108" i="2" s="1"/>
  <c r="CL109" i="2" s="1"/>
  <c r="CL110" i="2" s="1"/>
  <c r="CL111" i="2" s="1"/>
  <c r="CL112" i="2" s="1"/>
  <c r="CL113" i="2" s="1"/>
  <c r="CL114" i="2" s="1"/>
  <c r="CL115" i="2" s="1"/>
  <c r="CL116" i="2" s="1"/>
  <c r="CL117" i="2" s="1"/>
  <c r="CL118" i="2" s="1"/>
  <c r="CL119" i="2" s="1"/>
  <c r="CL120" i="2" s="1"/>
  <c r="CL121" i="2" s="1"/>
  <c r="CL122" i="2" s="1"/>
  <c r="CL123" i="2" s="1"/>
  <c r="CL124" i="2" s="1"/>
  <c r="CL125" i="2" s="1"/>
  <c r="CL126" i="2" s="1"/>
  <c r="CL127" i="2" s="1"/>
  <c r="CL128" i="2" s="1"/>
  <c r="CL129" i="2" s="1"/>
  <c r="CL130" i="2" s="1"/>
  <c r="CL131" i="2" s="1"/>
  <c r="CL132" i="2" s="1"/>
  <c r="CL133" i="2" s="1"/>
  <c r="CL134" i="2" s="1"/>
  <c r="CL135" i="2" s="1"/>
  <c r="CL136" i="2" s="1"/>
  <c r="CL137" i="2" s="1"/>
  <c r="CL138" i="2" s="1"/>
  <c r="CL139" i="2" s="1"/>
  <c r="CL140" i="2" s="1"/>
  <c r="CL141" i="2" s="1"/>
  <c r="CJ103" i="2"/>
  <c r="CJ104" i="2" s="1"/>
  <c r="CJ105" i="2" s="1"/>
  <c r="CJ106" i="2" s="1"/>
  <c r="CJ107" i="2" s="1"/>
  <c r="CJ108" i="2" s="1"/>
  <c r="CJ109" i="2" s="1"/>
  <c r="CJ110" i="2" s="1"/>
  <c r="CJ111" i="2" s="1"/>
  <c r="CJ112" i="2" s="1"/>
  <c r="CJ113" i="2" s="1"/>
  <c r="CJ114" i="2" s="1"/>
  <c r="CJ115" i="2" s="1"/>
  <c r="CJ116" i="2" s="1"/>
  <c r="CJ117" i="2" s="1"/>
  <c r="CJ118" i="2" s="1"/>
  <c r="CJ119" i="2" s="1"/>
  <c r="CJ120" i="2" s="1"/>
  <c r="CJ121" i="2" s="1"/>
  <c r="CJ122" i="2" s="1"/>
  <c r="CJ123" i="2" s="1"/>
  <c r="CJ124" i="2" s="1"/>
  <c r="CJ125" i="2" s="1"/>
  <c r="CJ126" i="2" s="1"/>
  <c r="CJ127" i="2" s="1"/>
  <c r="CJ128" i="2" s="1"/>
  <c r="CJ129" i="2" s="1"/>
  <c r="CJ130" i="2" s="1"/>
  <c r="CJ131" i="2" s="1"/>
  <c r="CJ132" i="2" s="1"/>
  <c r="CJ133" i="2" s="1"/>
  <c r="CJ134" i="2" s="1"/>
  <c r="CJ135" i="2" s="1"/>
  <c r="CJ136" i="2" s="1"/>
  <c r="CJ137" i="2" s="1"/>
  <c r="CJ138" i="2" s="1"/>
  <c r="CJ139" i="2" s="1"/>
  <c r="CJ140" i="2" s="1"/>
  <c r="CJ141" i="2" s="1"/>
  <c r="CI103" i="2"/>
  <c r="CK103" i="2"/>
  <c r="CI104" i="2"/>
  <c r="CK104" i="2"/>
  <c r="CI105" i="2"/>
  <c r="CK105" i="2"/>
  <c r="CI106" i="2"/>
  <c r="CK106" i="2"/>
  <c r="CI107" i="2"/>
  <c r="CK107" i="2"/>
  <c r="CI108" i="2"/>
  <c r="CK108" i="2"/>
  <c r="CI109" i="2"/>
  <c r="CK109" i="2"/>
  <c r="CI110" i="2"/>
  <c r="CK110" i="2"/>
  <c r="CI111" i="2"/>
  <c r="CK111" i="2"/>
  <c r="CI112" i="2"/>
  <c r="CK112" i="2"/>
  <c r="CI113" i="2"/>
  <c r="CK113" i="2"/>
  <c r="CK114" i="2" s="1"/>
  <c r="CK115" i="2" s="1"/>
  <c r="CK116" i="2" s="1"/>
  <c r="CK117" i="2" s="1"/>
  <c r="CK118" i="2" s="1"/>
  <c r="CK119" i="2" s="1"/>
  <c r="CK120" i="2" s="1"/>
  <c r="CK121" i="2" s="1"/>
  <c r="CK122" i="2" s="1"/>
  <c r="CK123" i="2" s="1"/>
  <c r="CK124" i="2" s="1"/>
  <c r="CK125" i="2" s="1"/>
  <c r="CK126" i="2" s="1"/>
  <c r="CK127" i="2" s="1"/>
  <c r="CK128" i="2" s="1"/>
  <c r="CK129" i="2" s="1"/>
  <c r="CK130" i="2" s="1"/>
  <c r="CK131" i="2" s="1"/>
  <c r="CK132" i="2" s="1"/>
  <c r="CK133" i="2" s="1"/>
  <c r="CK134" i="2" s="1"/>
  <c r="CK135" i="2" s="1"/>
  <c r="CK136" i="2" s="1"/>
  <c r="CK137" i="2" s="1"/>
  <c r="CK138" i="2" s="1"/>
  <c r="CK139" i="2" s="1"/>
  <c r="CK140" i="2" s="1"/>
  <c r="CK141" i="2" s="1"/>
  <c r="CI114" i="2"/>
  <c r="CI115" i="2" s="1"/>
  <c r="CI116" i="2" s="1"/>
  <c r="CI117" i="2" s="1"/>
  <c r="CI118" i="2" s="1"/>
  <c r="CI119" i="2" s="1"/>
  <c r="CI120" i="2" s="1"/>
  <c r="CI121" i="2" s="1"/>
  <c r="CI122" i="2" s="1"/>
  <c r="CI123" i="2" s="1"/>
  <c r="CI124" i="2" s="1"/>
  <c r="CI125" i="2" s="1"/>
  <c r="CI126" i="2" s="1"/>
  <c r="CI127" i="2" s="1"/>
  <c r="CI128" i="2" s="1"/>
  <c r="CI129" i="2" s="1"/>
  <c r="CI130" i="2" s="1"/>
  <c r="CI131" i="2" s="1"/>
  <c r="CI132" i="2" s="1"/>
  <c r="CI133" i="2" s="1"/>
  <c r="CI134" i="2" s="1"/>
  <c r="CI135" i="2" s="1"/>
  <c r="CI136" i="2" s="1"/>
  <c r="CI137" i="2" s="1"/>
  <c r="CI138" i="2" s="1"/>
  <c r="CI139" i="2" s="1"/>
  <c r="CI140" i="2" s="1"/>
  <c r="CI141" i="2" s="1"/>
  <c r="F5" i="1" l="1"/>
  <c r="CI58" i="2"/>
  <c r="E7" i="2" l="1"/>
  <c r="CE5" i="2"/>
  <c r="CA5" i="2"/>
  <c r="BW5" i="2"/>
  <c r="BS5" i="2"/>
  <c r="BO5" i="2"/>
  <c r="BK5" i="2"/>
  <c r="BG5" i="2"/>
  <c r="BC5" i="2"/>
  <c r="AY5" i="2"/>
  <c r="AU5" i="2"/>
  <c r="AQ5" i="2"/>
  <c r="AM5" i="2"/>
  <c r="AI5" i="2"/>
  <c r="AE5" i="2"/>
  <c r="AA5" i="2"/>
  <c r="W5" i="2"/>
  <c r="S5" i="2"/>
  <c r="O5" i="2"/>
  <c r="K5" i="2"/>
  <c r="G5" i="2"/>
  <c r="C43" i="1" l="1"/>
  <c r="B43" i="1"/>
  <c r="A43" i="1"/>
  <c r="C11" i="1"/>
  <c r="B11" i="1"/>
  <c r="A11" i="1"/>
  <c r="CE182" i="2" l="1"/>
  <c r="CA182" i="2"/>
  <c r="BW182" i="2"/>
  <c r="BS182" i="2"/>
  <c r="BO182" i="2"/>
  <c r="BK182" i="2"/>
  <c r="BG182" i="2"/>
  <c r="BC182" i="2"/>
  <c r="AY182" i="2"/>
  <c r="AU182" i="2"/>
  <c r="AQ182" i="2"/>
  <c r="AM182" i="2"/>
  <c r="AI182" i="2"/>
  <c r="AE182" i="2"/>
  <c r="AA182" i="2"/>
  <c r="W182" i="2"/>
  <c r="S182" i="2"/>
  <c r="O182" i="2"/>
  <c r="K182" i="2"/>
  <c r="G182" i="2"/>
  <c r="CE181" i="2"/>
  <c r="CA181" i="2"/>
  <c r="BW181" i="2"/>
  <c r="BS181" i="2"/>
  <c r="BO181" i="2"/>
  <c r="BK181" i="2"/>
  <c r="BG181" i="2"/>
  <c r="BC181" i="2"/>
  <c r="AY181" i="2"/>
  <c r="AU181" i="2"/>
  <c r="AQ181" i="2"/>
  <c r="AM181" i="2"/>
  <c r="AI181" i="2"/>
  <c r="AE181" i="2"/>
  <c r="AA181" i="2"/>
  <c r="W181" i="2"/>
  <c r="S181" i="2"/>
  <c r="O181" i="2"/>
  <c r="K181" i="2"/>
  <c r="G181" i="2"/>
  <c r="CE180" i="2"/>
  <c r="CA180" i="2"/>
  <c r="BW180" i="2"/>
  <c r="BS180" i="2"/>
  <c r="BO180" i="2"/>
  <c r="BK180" i="2"/>
  <c r="BG180" i="2"/>
  <c r="BC180" i="2"/>
  <c r="AY180" i="2"/>
  <c r="AU180" i="2"/>
  <c r="AQ180" i="2"/>
  <c r="AM180" i="2"/>
  <c r="AI180" i="2"/>
  <c r="AE180" i="2"/>
  <c r="AA180" i="2"/>
  <c r="W180" i="2"/>
  <c r="S180" i="2"/>
  <c r="O180" i="2"/>
  <c r="K180" i="2"/>
  <c r="G180" i="2"/>
  <c r="CE179" i="2"/>
  <c r="CA179" i="2"/>
  <c r="BW179" i="2"/>
  <c r="BS179" i="2"/>
  <c r="BO179" i="2"/>
  <c r="BK179" i="2"/>
  <c r="BG179" i="2"/>
  <c r="BC179" i="2"/>
  <c r="AY179" i="2"/>
  <c r="AU179" i="2"/>
  <c r="AQ179" i="2"/>
  <c r="AM179" i="2"/>
  <c r="AI179" i="2"/>
  <c r="AE179" i="2"/>
  <c r="AA179" i="2"/>
  <c r="W179" i="2"/>
  <c r="S179" i="2"/>
  <c r="O179" i="2"/>
  <c r="K179" i="2"/>
  <c r="G179" i="2"/>
  <c r="CE178" i="2"/>
  <c r="CA178" i="2"/>
  <c r="BW178" i="2"/>
  <c r="BS178" i="2"/>
  <c r="BO178" i="2"/>
  <c r="BK178" i="2"/>
  <c r="BG178" i="2"/>
  <c r="BC178" i="2"/>
  <c r="AY178" i="2"/>
  <c r="AU178" i="2"/>
  <c r="AQ178" i="2"/>
  <c r="AM178" i="2"/>
  <c r="AI178" i="2"/>
  <c r="AE178" i="2"/>
  <c r="AA178" i="2"/>
  <c r="W178" i="2"/>
  <c r="S178" i="2"/>
  <c r="O178" i="2"/>
  <c r="K178" i="2"/>
  <c r="G178" i="2"/>
  <c r="CE177" i="2"/>
  <c r="CA177" i="2"/>
  <c r="BW177" i="2"/>
  <c r="BS177" i="2"/>
  <c r="BO177" i="2"/>
  <c r="BK177" i="2"/>
  <c r="BG177" i="2"/>
  <c r="BC177" i="2"/>
  <c r="AY177" i="2"/>
  <c r="AU177" i="2"/>
  <c r="AQ177" i="2"/>
  <c r="AM177" i="2"/>
  <c r="AI177" i="2"/>
  <c r="AE177" i="2"/>
  <c r="AA177" i="2"/>
  <c r="W177" i="2"/>
  <c r="S177" i="2"/>
  <c r="O177" i="2"/>
  <c r="K177" i="2"/>
  <c r="G177" i="2"/>
  <c r="CE176" i="2"/>
  <c r="CA176" i="2"/>
  <c r="BW176" i="2"/>
  <c r="BS176" i="2"/>
  <c r="BO176" i="2"/>
  <c r="BK176" i="2"/>
  <c r="BG176" i="2"/>
  <c r="BC176" i="2"/>
  <c r="AY176" i="2"/>
  <c r="AU176" i="2"/>
  <c r="AQ176" i="2"/>
  <c r="AM176" i="2"/>
  <c r="AI176" i="2"/>
  <c r="AE176" i="2"/>
  <c r="AA176" i="2"/>
  <c r="W176" i="2"/>
  <c r="S176" i="2"/>
  <c r="O176" i="2"/>
  <c r="K176" i="2"/>
  <c r="G176" i="2"/>
  <c r="CE175" i="2"/>
  <c r="CA175" i="2"/>
  <c r="BW175" i="2"/>
  <c r="BS175" i="2"/>
  <c r="BO175" i="2"/>
  <c r="BK175" i="2"/>
  <c r="BG175" i="2"/>
  <c r="BC175" i="2"/>
  <c r="AY175" i="2"/>
  <c r="AU175" i="2"/>
  <c r="AQ175" i="2"/>
  <c r="AM175" i="2"/>
  <c r="AI175" i="2"/>
  <c r="AE175" i="2"/>
  <c r="AA175" i="2"/>
  <c r="W175" i="2"/>
  <c r="S175" i="2"/>
  <c r="O175" i="2"/>
  <c r="K175" i="2"/>
  <c r="G175" i="2"/>
  <c r="CE174" i="2"/>
  <c r="CA174" i="2"/>
  <c r="BW174" i="2"/>
  <c r="BS174" i="2"/>
  <c r="BO174" i="2"/>
  <c r="BK174" i="2"/>
  <c r="BG174" i="2"/>
  <c r="BC174" i="2"/>
  <c r="AY174" i="2"/>
  <c r="AU174" i="2"/>
  <c r="AQ174" i="2"/>
  <c r="AM174" i="2"/>
  <c r="AI174" i="2"/>
  <c r="AE174" i="2"/>
  <c r="AA174" i="2"/>
  <c r="W174" i="2"/>
  <c r="S174" i="2"/>
  <c r="O174" i="2"/>
  <c r="K174" i="2"/>
  <c r="G174" i="2"/>
  <c r="CE173" i="2"/>
  <c r="CA173" i="2"/>
  <c r="BW173" i="2"/>
  <c r="BS173" i="2"/>
  <c r="BO173" i="2"/>
  <c r="BK173" i="2"/>
  <c r="BG173" i="2"/>
  <c r="BC173" i="2"/>
  <c r="AY173" i="2"/>
  <c r="AU173" i="2"/>
  <c r="AQ173" i="2"/>
  <c r="AM173" i="2"/>
  <c r="AI173" i="2"/>
  <c r="AE173" i="2"/>
  <c r="AA173" i="2"/>
  <c r="W173" i="2"/>
  <c r="S173" i="2"/>
  <c r="O173" i="2"/>
  <c r="K173" i="2"/>
  <c r="G173" i="2"/>
  <c r="CE172" i="2"/>
  <c r="CA172" i="2"/>
  <c r="BW172" i="2"/>
  <c r="BS172" i="2"/>
  <c r="BO172" i="2"/>
  <c r="BK172" i="2"/>
  <c r="BG172" i="2"/>
  <c r="BC172" i="2"/>
  <c r="AY172" i="2"/>
  <c r="AU172" i="2"/>
  <c r="AQ172" i="2"/>
  <c r="AM172" i="2"/>
  <c r="AI172" i="2"/>
  <c r="AE172" i="2"/>
  <c r="AA172" i="2"/>
  <c r="W172" i="2"/>
  <c r="S172" i="2"/>
  <c r="O172" i="2"/>
  <c r="K172" i="2"/>
  <c r="G172" i="2"/>
  <c r="CE171" i="2"/>
  <c r="CA171" i="2"/>
  <c r="BW171" i="2"/>
  <c r="BS171" i="2"/>
  <c r="BO171" i="2"/>
  <c r="BK171" i="2"/>
  <c r="BG171" i="2"/>
  <c r="BC171" i="2"/>
  <c r="AY171" i="2"/>
  <c r="AU171" i="2"/>
  <c r="AQ171" i="2"/>
  <c r="AM171" i="2"/>
  <c r="AI171" i="2"/>
  <c r="AE171" i="2"/>
  <c r="AA171" i="2"/>
  <c r="W171" i="2"/>
  <c r="S171" i="2"/>
  <c r="O171" i="2"/>
  <c r="K171" i="2"/>
  <c r="G171" i="2"/>
  <c r="CE170" i="2"/>
  <c r="CA170" i="2"/>
  <c r="BW170" i="2"/>
  <c r="BS170" i="2"/>
  <c r="BO170" i="2"/>
  <c r="BK170" i="2"/>
  <c r="BG170" i="2"/>
  <c r="BC170" i="2"/>
  <c r="AY170" i="2"/>
  <c r="AU170" i="2"/>
  <c r="AQ170" i="2"/>
  <c r="AM170" i="2"/>
  <c r="AI170" i="2"/>
  <c r="AE170" i="2"/>
  <c r="AA170" i="2"/>
  <c r="W170" i="2"/>
  <c r="S170" i="2"/>
  <c r="O170" i="2"/>
  <c r="K170" i="2"/>
  <c r="G170" i="2"/>
  <c r="CE169" i="2"/>
  <c r="CA169" i="2"/>
  <c r="BW169" i="2"/>
  <c r="BS169" i="2"/>
  <c r="BO169" i="2"/>
  <c r="BK169" i="2"/>
  <c r="BG169" i="2"/>
  <c r="BC169" i="2"/>
  <c r="AY169" i="2"/>
  <c r="AU169" i="2"/>
  <c r="AQ169" i="2"/>
  <c r="AM169" i="2"/>
  <c r="AI169" i="2"/>
  <c r="AE169" i="2"/>
  <c r="AA169" i="2"/>
  <c r="W169" i="2"/>
  <c r="S169" i="2"/>
  <c r="O169" i="2"/>
  <c r="K169" i="2"/>
  <c r="G169" i="2"/>
  <c r="CE168" i="2"/>
  <c r="CA168" i="2"/>
  <c r="BW168" i="2"/>
  <c r="BS168" i="2"/>
  <c r="BO168" i="2"/>
  <c r="BK168" i="2"/>
  <c r="BG168" i="2"/>
  <c r="BC168" i="2"/>
  <c r="AY168" i="2"/>
  <c r="AU168" i="2"/>
  <c r="AQ168" i="2"/>
  <c r="AM168" i="2"/>
  <c r="AI168" i="2"/>
  <c r="AE168" i="2"/>
  <c r="AA168" i="2"/>
  <c r="W168" i="2"/>
  <c r="S168" i="2"/>
  <c r="O168" i="2"/>
  <c r="K168" i="2"/>
  <c r="G168" i="2"/>
  <c r="CE167" i="2"/>
  <c r="CA167" i="2"/>
  <c r="BW167" i="2"/>
  <c r="BS167" i="2"/>
  <c r="BO167" i="2"/>
  <c r="BK167" i="2"/>
  <c r="BG167" i="2"/>
  <c r="BC167" i="2"/>
  <c r="AY167" i="2"/>
  <c r="AU167" i="2"/>
  <c r="AQ167" i="2"/>
  <c r="AM167" i="2"/>
  <c r="AI167" i="2"/>
  <c r="AE167" i="2"/>
  <c r="AA167" i="2"/>
  <c r="W167" i="2"/>
  <c r="S167" i="2"/>
  <c r="O167" i="2"/>
  <c r="K167" i="2"/>
  <c r="G167" i="2"/>
  <c r="CE166" i="2"/>
  <c r="CA166" i="2"/>
  <c r="BW166" i="2"/>
  <c r="BS166" i="2"/>
  <c r="BO166" i="2"/>
  <c r="BK166" i="2"/>
  <c r="BG166" i="2"/>
  <c r="BC166" i="2"/>
  <c r="AY166" i="2"/>
  <c r="AU166" i="2"/>
  <c r="AQ166" i="2"/>
  <c r="AM166" i="2"/>
  <c r="AI166" i="2"/>
  <c r="AE166" i="2"/>
  <c r="AA166" i="2"/>
  <c r="W166" i="2"/>
  <c r="S166" i="2"/>
  <c r="O166" i="2"/>
  <c r="K166" i="2"/>
  <c r="G166" i="2"/>
  <c r="CE165" i="2"/>
  <c r="CA165" i="2"/>
  <c r="BW165" i="2"/>
  <c r="BS165" i="2"/>
  <c r="BO165" i="2"/>
  <c r="BK165" i="2"/>
  <c r="BG165" i="2"/>
  <c r="BC165" i="2"/>
  <c r="AY165" i="2"/>
  <c r="AU165" i="2"/>
  <c r="AQ165" i="2"/>
  <c r="AM165" i="2"/>
  <c r="AI165" i="2"/>
  <c r="AE165" i="2"/>
  <c r="AA165" i="2"/>
  <c r="W165" i="2"/>
  <c r="S165" i="2"/>
  <c r="O165" i="2"/>
  <c r="K165" i="2"/>
  <c r="G165" i="2"/>
  <c r="CE164" i="2"/>
  <c r="CA164" i="2"/>
  <c r="BW164" i="2"/>
  <c r="BS164" i="2"/>
  <c r="BO164" i="2"/>
  <c r="BK164" i="2"/>
  <c r="BG164" i="2"/>
  <c r="BC164" i="2"/>
  <c r="AY164" i="2"/>
  <c r="AU164" i="2"/>
  <c r="AQ164" i="2"/>
  <c r="AM164" i="2"/>
  <c r="AI164" i="2"/>
  <c r="AE164" i="2"/>
  <c r="AA164" i="2"/>
  <c r="W164" i="2"/>
  <c r="S164" i="2"/>
  <c r="O164" i="2"/>
  <c r="K164" i="2"/>
  <c r="G164" i="2"/>
  <c r="CE163" i="2"/>
  <c r="CA163" i="2"/>
  <c r="BW163" i="2"/>
  <c r="BS163" i="2"/>
  <c r="BO163" i="2"/>
  <c r="BK163" i="2"/>
  <c r="BG163" i="2"/>
  <c r="BC163" i="2"/>
  <c r="AY163" i="2"/>
  <c r="AU163" i="2"/>
  <c r="AQ163" i="2"/>
  <c r="AM163" i="2"/>
  <c r="AI163" i="2"/>
  <c r="AE163" i="2"/>
  <c r="AA163" i="2"/>
  <c r="W163" i="2"/>
  <c r="S163" i="2"/>
  <c r="O163" i="2"/>
  <c r="K163" i="2"/>
  <c r="G163" i="2"/>
  <c r="CE162" i="2"/>
  <c r="CA162" i="2"/>
  <c r="BW162" i="2"/>
  <c r="BS162" i="2"/>
  <c r="BO162" i="2"/>
  <c r="BK162" i="2"/>
  <c r="BG162" i="2"/>
  <c r="BC162" i="2"/>
  <c r="AY162" i="2"/>
  <c r="AU162" i="2"/>
  <c r="AQ162" i="2"/>
  <c r="AM162" i="2"/>
  <c r="AI162" i="2"/>
  <c r="AE162" i="2"/>
  <c r="AA162" i="2"/>
  <c r="W162" i="2"/>
  <c r="S162" i="2"/>
  <c r="O162" i="2"/>
  <c r="K162" i="2"/>
  <c r="G162" i="2"/>
  <c r="CE161" i="2"/>
  <c r="CA161" i="2"/>
  <c r="BW161" i="2"/>
  <c r="BS161" i="2"/>
  <c r="BO161" i="2"/>
  <c r="BK161" i="2"/>
  <c r="BG161" i="2"/>
  <c r="BC161" i="2"/>
  <c r="AY161" i="2"/>
  <c r="AU161" i="2"/>
  <c r="AQ161" i="2"/>
  <c r="AM161" i="2"/>
  <c r="AI161" i="2"/>
  <c r="AE161" i="2"/>
  <c r="AA161" i="2"/>
  <c r="W161" i="2"/>
  <c r="S161" i="2"/>
  <c r="O161" i="2"/>
  <c r="K161" i="2"/>
  <c r="G161" i="2"/>
  <c r="CE160" i="2"/>
  <c r="CA160" i="2"/>
  <c r="BW160" i="2"/>
  <c r="BS160" i="2"/>
  <c r="BO160" i="2"/>
  <c r="BK160" i="2"/>
  <c r="BG160" i="2"/>
  <c r="BC160" i="2"/>
  <c r="AY160" i="2"/>
  <c r="AU160" i="2"/>
  <c r="AQ160" i="2"/>
  <c r="AM160" i="2"/>
  <c r="AI160" i="2"/>
  <c r="AE160" i="2"/>
  <c r="AA160" i="2"/>
  <c r="W160" i="2"/>
  <c r="S160" i="2"/>
  <c r="O160" i="2"/>
  <c r="K160" i="2"/>
  <c r="G160" i="2"/>
  <c r="CE159" i="2"/>
  <c r="CA159" i="2"/>
  <c r="BW159" i="2"/>
  <c r="BS159" i="2"/>
  <c r="BO159" i="2"/>
  <c r="BK159" i="2"/>
  <c r="BG159" i="2"/>
  <c r="BC159" i="2"/>
  <c r="AY159" i="2"/>
  <c r="AU159" i="2"/>
  <c r="AQ159" i="2"/>
  <c r="AM159" i="2"/>
  <c r="AI159" i="2"/>
  <c r="AE159" i="2"/>
  <c r="AA159" i="2"/>
  <c r="W159" i="2"/>
  <c r="S159" i="2"/>
  <c r="O159" i="2"/>
  <c r="K159" i="2"/>
  <c r="G159" i="2"/>
  <c r="CE158" i="2"/>
  <c r="CA158" i="2"/>
  <c r="BW158" i="2"/>
  <c r="BS158" i="2"/>
  <c r="BO158" i="2"/>
  <c r="BK158" i="2"/>
  <c r="BG158" i="2"/>
  <c r="BC158" i="2"/>
  <c r="AY158" i="2"/>
  <c r="AU158" i="2"/>
  <c r="AQ158" i="2"/>
  <c r="AM158" i="2"/>
  <c r="AI158" i="2"/>
  <c r="AE158" i="2"/>
  <c r="AA158" i="2"/>
  <c r="W158" i="2"/>
  <c r="S158" i="2"/>
  <c r="O158" i="2"/>
  <c r="K158" i="2"/>
  <c r="G158" i="2"/>
  <c r="CE157" i="2"/>
  <c r="CA157" i="2"/>
  <c r="BW157" i="2"/>
  <c r="BS157" i="2"/>
  <c r="BO157" i="2"/>
  <c r="BK157" i="2"/>
  <c r="BG157" i="2"/>
  <c r="BC157" i="2"/>
  <c r="AY157" i="2"/>
  <c r="AU157" i="2"/>
  <c r="AQ157" i="2"/>
  <c r="AM157" i="2"/>
  <c r="AI157" i="2"/>
  <c r="AE157" i="2"/>
  <c r="AA157" i="2"/>
  <c r="W157" i="2"/>
  <c r="S157" i="2"/>
  <c r="O157" i="2"/>
  <c r="K157" i="2"/>
  <c r="G157" i="2"/>
  <c r="CE156" i="2"/>
  <c r="CA156" i="2"/>
  <c r="BW156" i="2"/>
  <c r="BS156" i="2"/>
  <c r="BO156" i="2"/>
  <c r="BK156" i="2"/>
  <c r="BG156" i="2"/>
  <c r="BC156" i="2"/>
  <c r="AY156" i="2"/>
  <c r="AU156" i="2"/>
  <c r="AQ156" i="2"/>
  <c r="AM156" i="2"/>
  <c r="AI156" i="2"/>
  <c r="AE156" i="2"/>
  <c r="AA156" i="2"/>
  <c r="W156" i="2"/>
  <c r="S156" i="2"/>
  <c r="O156" i="2"/>
  <c r="K156" i="2"/>
  <c r="G156" i="2"/>
  <c r="CE155" i="2"/>
  <c r="CA155" i="2"/>
  <c r="BW155" i="2"/>
  <c r="BS155" i="2"/>
  <c r="BO155" i="2"/>
  <c r="BK155" i="2"/>
  <c r="BG155" i="2"/>
  <c r="BC155" i="2"/>
  <c r="AY155" i="2"/>
  <c r="AU155" i="2"/>
  <c r="AQ155" i="2"/>
  <c r="AM155" i="2"/>
  <c r="AI155" i="2"/>
  <c r="AE155" i="2"/>
  <c r="AA155" i="2"/>
  <c r="W155" i="2"/>
  <c r="S155" i="2"/>
  <c r="O155" i="2"/>
  <c r="K155" i="2"/>
  <c r="G155" i="2"/>
  <c r="CE154" i="2"/>
  <c r="CA154" i="2"/>
  <c r="BW154" i="2"/>
  <c r="BS154" i="2"/>
  <c r="BO154" i="2"/>
  <c r="BK154" i="2"/>
  <c r="BG154" i="2"/>
  <c r="BC154" i="2"/>
  <c r="AY154" i="2"/>
  <c r="AU154" i="2"/>
  <c r="AQ154" i="2"/>
  <c r="AM154" i="2"/>
  <c r="AI154" i="2"/>
  <c r="AE154" i="2"/>
  <c r="AA154" i="2"/>
  <c r="W154" i="2"/>
  <c r="S154" i="2"/>
  <c r="O154" i="2"/>
  <c r="K154" i="2"/>
  <c r="G154" i="2"/>
  <c r="CE153" i="2"/>
  <c r="CA153" i="2"/>
  <c r="BW153" i="2"/>
  <c r="BS153" i="2"/>
  <c r="BO153" i="2"/>
  <c r="BK153" i="2"/>
  <c r="BG153" i="2"/>
  <c r="BC153" i="2"/>
  <c r="AY153" i="2"/>
  <c r="AU153" i="2"/>
  <c r="AQ153" i="2"/>
  <c r="AM153" i="2"/>
  <c r="AI153" i="2"/>
  <c r="AE153" i="2"/>
  <c r="AA153" i="2"/>
  <c r="W153" i="2"/>
  <c r="S153" i="2"/>
  <c r="O153" i="2"/>
  <c r="K153" i="2"/>
  <c r="G153" i="2"/>
  <c r="CE152" i="2"/>
  <c r="CA152" i="2"/>
  <c r="BW152" i="2"/>
  <c r="BS152" i="2"/>
  <c r="BO152" i="2"/>
  <c r="BK152" i="2"/>
  <c r="BG152" i="2"/>
  <c r="BC152" i="2"/>
  <c r="AY152" i="2"/>
  <c r="AU152" i="2"/>
  <c r="AQ152" i="2"/>
  <c r="AM152" i="2"/>
  <c r="AI152" i="2"/>
  <c r="AE152" i="2"/>
  <c r="AA152" i="2"/>
  <c r="W152" i="2"/>
  <c r="S152" i="2"/>
  <c r="O152" i="2"/>
  <c r="K152" i="2"/>
  <c r="G152" i="2"/>
  <c r="CE151" i="2"/>
  <c r="CA151" i="2"/>
  <c r="BW151" i="2"/>
  <c r="BS151" i="2"/>
  <c r="BO151" i="2"/>
  <c r="BK151" i="2"/>
  <c r="BG151" i="2"/>
  <c r="BC151" i="2"/>
  <c r="AY151" i="2"/>
  <c r="AU151" i="2"/>
  <c r="AQ151" i="2"/>
  <c r="AM151" i="2"/>
  <c r="AI151" i="2"/>
  <c r="AE151" i="2"/>
  <c r="AA151" i="2"/>
  <c r="W151" i="2"/>
  <c r="S151" i="2"/>
  <c r="O151" i="2"/>
  <c r="K151" i="2"/>
  <c r="G151" i="2"/>
  <c r="CE150" i="2"/>
  <c r="CA150" i="2"/>
  <c r="BW150" i="2"/>
  <c r="BS150" i="2"/>
  <c r="BO150" i="2"/>
  <c r="BK150" i="2"/>
  <c r="BG150" i="2"/>
  <c r="BC150" i="2"/>
  <c r="AY150" i="2"/>
  <c r="AU150" i="2"/>
  <c r="AQ150" i="2"/>
  <c r="AM150" i="2"/>
  <c r="AI150" i="2"/>
  <c r="AE150" i="2"/>
  <c r="AA150" i="2"/>
  <c r="W150" i="2"/>
  <c r="S150" i="2"/>
  <c r="O150" i="2"/>
  <c r="K150" i="2"/>
  <c r="G150" i="2"/>
  <c r="CE149" i="2"/>
  <c r="CA149" i="2"/>
  <c r="BW149" i="2"/>
  <c r="BS149" i="2"/>
  <c r="BO149" i="2"/>
  <c r="BK149" i="2"/>
  <c r="BG149" i="2"/>
  <c r="BC149" i="2"/>
  <c r="AY149" i="2"/>
  <c r="AU149" i="2"/>
  <c r="AQ149" i="2"/>
  <c r="AM149" i="2"/>
  <c r="AI149" i="2"/>
  <c r="AE149" i="2"/>
  <c r="AA149" i="2"/>
  <c r="W149" i="2"/>
  <c r="S149" i="2"/>
  <c r="O149" i="2"/>
  <c r="K149" i="2"/>
  <c r="G149" i="2"/>
  <c r="CE148" i="2"/>
  <c r="CA148" i="2"/>
  <c r="BW148" i="2"/>
  <c r="BS148" i="2"/>
  <c r="BO148" i="2"/>
  <c r="BK148" i="2"/>
  <c r="BG148" i="2"/>
  <c r="BC148" i="2"/>
  <c r="AY148" i="2"/>
  <c r="AU148" i="2"/>
  <c r="AQ148" i="2"/>
  <c r="AM148" i="2"/>
  <c r="AI148" i="2"/>
  <c r="AE148" i="2"/>
  <c r="AA148" i="2"/>
  <c r="W148" i="2"/>
  <c r="S148" i="2"/>
  <c r="O148" i="2"/>
  <c r="K148" i="2"/>
  <c r="G148" i="2"/>
  <c r="CE147" i="2"/>
  <c r="CA147" i="2"/>
  <c r="BW147" i="2"/>
  <c r="BS147" i="2"/>
  <c r="BO147" i="2"/>
  <c r="BK147" i="2"/>
  <c r="BG147" i="2"/>
  <c r="BC147" i="2"/>
  <c r="AY147" i="2"/>
  <c r="AU147" i="2"/>
  <c r="AQ147" i="2"/>
  <c r="AM147" i="2"/>
  <c r="AI147" i="2"/>
  <c r="AE147" i="2"/>
  <c r="AA147" i="2"/>
  <c r="W147" i="2"/>
  <c r="S147" i="2"/>
  <c r="O147" i="2"/>
  <c r="K147" i="2"/>
  <c r="G147" i="2"/>
  <c r="CE146" i="2"/>
  <c r="CA146" i="2"/>
  <c r="BW146" i="2"/>
  <c r="BS146" i="2"/>
  <c r="BO146" i="2"/>
  <c r="BK146" i="2"/>
  <c r="BG146" i="2"/>
  <c r="BC146" i="2"/>
  <c r="AY146" i="2"/>
  <c r="AU146" i="2"/>
  <c r="AQ146" i="2"/>
  <c r="AM146" i="2"/>
  <c r="AI146" i="2"/>
  <c r="AE146" i="2"/>
  <c r="AA146" i="2"/>
  <c r="W146" i="2"/>
  <c r="S146" i="2"/>
  <c r="O146" i="2"/>
  <c r="K146" i="2"/>
  <c r="G146" i="2"/>
  <c r="CE145" i="2"/>
  <c r="CA145" i="2"/>
  <c r="BW145" i="2"/>
  <c r="BS145" i="2"/>
  <c r="BO145" i="2"/>
  <c r="BK145" i="2"/>
  <c r="BG145" i="2"/>
  <c r="BC145" i="2"/>
  <c r="AY145" i="2"/>
  <c r="AU145" i="2"/>
  <c r="AQ145" i="2"/>
  <c r="AM145" i="2"/>
  <c r="AI145" i="2"/>
  <c r="AE145" i="2"/>
  <c r="AA145" i="2"/>
  <c r="W145" i="2"/>
  <c r="S145" i="2"/>
  <c r="O145" i="2"/>
  <c r="K145" i="2"/>
  <c r="G145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48" i="2"/>
  <c r="E48" i="2"/>
  <c r="R43" i="1" s="1"/>
  <c r="D48" i="2"/>
  <c r="R11" i="1"/>
  <c r="F47" i="2" l="1"/>
  <c r="E47" i="2"/>
  <c r="D47" i="2"/>
  <c r="F35" i="2" l="1"/>
  <c r="E35" i="2"/>
  <c r="D35" i="2"/>
  <c r="D36" i="2"/>
  <c r="E36" i="2"/>
  <c r="F36" i="2"/>
  <c r="D37" i="2"/>
  <c r="E37" i="2"/>
  <c r="F37" i="2"/>
  <c r="D39" i="2"/>
  <c r="E39" i="2"/>
  <c r="F39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R42" i="1" l="1"/>
  <c r="C42" i="1"/>
  <c r="B42" i="1"/>
  <c r="A42" i="1"/>
  <c r="C41" i="1" l="1"/>
  <c r="B41" i="1"/>
  <c r="A41" i="1"/>
  <c r="R40" i="1"/>
  <c r="C40" i="1"/>
  <c r="B40" i="1"/>
  <c r="A40" i="1"/>
  <c r="C39" i="1"/>
  <c r="B39" i="1"/>
  <c r="A39" i="1"/>
  <c r="C38" i="1"/>
  <c r="B38" i="1"/>
  <c r="A38" i="1"/>
  <c r="C37" i="1"/>
  <c r="B37" i="1"/>
  <c r="A37" i="1"/>
  <c r="R36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R31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R34" i="1" l="1"/>
  <c r="R41" i="1"/>
  <c r="R35" i="1"/>
  <c r="C10" i="1" l="1"/>
  <c r="B10" i="1"/>
  <c r="A10" i="1"/>
  <c r="F29" i="2"/>
  <c r="E29" i="2"/>
  <c r="R24" i="1" s="1"/>
  <c r="D29" i="2"/>
  <c r="F27" i="2"/>
  <c r="E27" i="2"/>
  <c r="R22" i="1" s="1"/>
  <c r="D27" i="2"/>
  <c r="R39" i="1" l="1"/>
  <c r="R38" i="1"/>
  <c r="R37" i="1"/>
  <c r="F15" i="2" l="1"/>
  <c r="E15" i="2"/>
  <c r="R10" i="1" s="1"/>
  <c r="D15" i="2"/>
  <c r="F34" i="2" l="1"/>
  <c r="E34" i="2"/>
  <c r="R29" i="1" s="1"/>
  <c r="D34" i="2"/>
  <c r="F28" i="2" l="1"/>
  <c r="E28" i="2"/>
  <c r="R23" i="1" s="1"/>
  <c r="D28" i="2"/>
  <c r="F25" i="2"/>
  <c r="E25" i="2"/>
  <c r="R20" i="1" s="1"/>
  <c r="D25" i="2"/>
  <c r="C44" i="1"/>
  <c r="B44" i="1"/>
  <c r="A44" i="1"/>
  <c r="C9" i="1"/>
  <c r="B9" i="1"/>
  <c r="A9" i="1"/>
  <c r="C8" i="1"/>
  <c r="B8" i="1"/>
  <c r="A8" i="1"/>
  <c r="C7" i="1"/>
  <c r="B7" i="1"/>
  <c r="A7" i="1"/>
  <c r="C6" i="1"/>
  <c r="B6" i="1"/>
  <c r="A6" i="1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R12" i="1" l="1"/>
  <c r="F33" i="2"/>
  <c r="E33" i="2"/>
  <c r="R28" i="1" s="1"/>
  <c r="D33" i="2"/>
  <c r="R15" i="1"/>
  <c r="CE144" i="2" l="1"/>
  <c r="CA144" i="2"/>
  <c r="BW144" i="2"/>
  <c r="BS144" i="2"/>
  <c r="BO144" i="2"/>
  <c r="BK144" i="2"/>
  <c r="BG144" i="2"/>
  <c r="BC144" i="2"/>
  <c r="AY144" i="2"/>
  <c r="AU144" i="2"/>
  <c r="AQ144" i="2"/>
  <c r="AM144" i="2"/>
  <c r="AI144" i="2"/>
  <c r="AE144" i="2"/>
  <c r="AA144" i="2"/>
  <c r="W144" i="2"/>
  <c r="S144" i="2"/>
  <c r="O144" i="2"/>
  <c r="K144" i="2"/>
  <c r="CE143" i="2"/>
  <c r="CF143" i="2" s="1"/>
  <c r="CF144" i="2" s="1"/>
  <c r="CF145" i="2" s="1"/>
  <c r="CF146" i="2" s="1"/>
  <c r="CF147" i="2" s="1"/>
  <c r="CF148" i="2" s="1"/>
  <c r="CF149" i="2" s="1"/>
  <c r="CF150" i="2" s="1"/>
  <c r="CF151" i="2" s="1"/>
  <c r="CF152" i="2" s="1"/>
  <c r="CF153" i="2" s="1"/>
  <c r="CF154" i="2" s="1"/>
  <c r="CF155" i="2" s="1"/>
  <c r="CF156" i="2" s="1"/>
  <c r="CF157" i="2" s="1"/>
  <c r="CF158" i="2" s="1"/>
  <c r="CF159" i="2" s="1"/>
  <c r="CF160" i="2" s="1"/>
  <c r="CF161" i="2" s="1"/>
  <c r="CF162" i="2" s="1"/>
  <c r="CF163" i="2" s="1"/>
  <c r="CF164" i="2" s="1"/>
  <c r="CF165" i="2" s="1"/>
  <c r="CF166" i="2" s="1"/>
  <c r="CF167" i="2" s="1"/>
  <c r="CF168" i="2" s="1"/>
  <c r="CF169" i="2" s="1"/>
  <c r="CF170" i="2" s="1"/>
  <c r="CF171" i="2" s="1"/>
  <c r="CF172" i="2" s="1"/>
  <c r="CF173" i="2" s="1"/>
  <c r="CF174" i="2" s="1"/>
  <c r="CF175" i="2" s="1"/>
  <c r="CF176" i="2" s="1"/>
  <c r="CF177" i="2" s="1"/>
  <c r="CF178" i="2" s="1"/>
  <c r="CF179" i="2" s="1"/>
  <c r="CF180" i="2" s="1"/>
  <c r="CF181" i="2" s="1"/>
  <c r="CF182" i="2" s="1"/>
  <c r="CA143" i="2"/>
  <c r="CB143" i="2" s="1"/>
  <c r="CB144" i="2" s="1"/>
  <c r="CB145" i="2" s="1"/>
  <c r="CB146" i="2" s="1"/>
  <c r="CB147" i="2" s="1"/>
  <c r="CB148" i="2" s="1"/>
  <c r="CB149" i="2" s="1"/>
  <c r="CB150" i="2" s="1"/>
  <c r="CB151" i="2" s="1"/>
  <c r="CB152" i="2" s="1"/>
  <c r="CB153" i="2" s="1"/>
  <c r="CB154" i="2" s="1"/>
  <c r="CB155" i="2" s="1"/>
  <c r="CB156" i="2" s="1"/>
  <c r="CB157" i="2" s="1"/>
  <c r="CB158" i="2" s="1"/>
  <c r="CB159" i="2" s="1"/>
  <c r="CB160" i="2" s="1"/>
  <c r="CB161" i="2" s="1"/>
  <c r="CB162" i="2" s="1"/>
  <c r="CB163" i="2" s="1"/>
  <c r="CB164" i="2" s="1"/>
  <c r="CB165" i="2" s="1"/>
  <c r="CB166" i="2" s="1"/>
  <c r="CB167" i="2" s="1"/>
  <c r="CB168" i="2" s="1"/>
  <c r="CB169" i="2" s="1"/>
  <c r="CB170" i="2" s="1"/>
  <c r="CB171" i="2" s="1"/>
  <c r="CB172" i="2" s="1"/>
  <c r="CB173" i="2" s="1"/>
  <c r="CB174" i="2" s="1"/>
  <c r="CB175" i="2" s="1"/>
  <c r="CB176" i="2" s="1"/>
  <c r="CB177" i="2" s="1"/>
  <c r="CB178" i="2" s="1"/>
  <c r="CB179" i="2" s="1"/>
  <c r="CB180" i="2" s="1"/>
  <c r="CB181" i="2" s="1"/>
  <c r="CB182" i="2" s="1"/>
  <c r="BW143" i="2"/>
  <c r="BX143" i="2" s="1"/>
  <c r="BX144" i="2" s="1"/>
  <c r="BX145" i="2" s="1"/>
  <c r="BX146" i="2" s="1"/>
  <c r="BX147" i="2" s="1"/>
  <c r="BX148" i="2" s="1"/>
  <c r="BX149" i="2" s="1"/>
  <c r="BX150" i="2" s="1"/>
  <c r="BX151" i="2" s="1"/>
  <c r="BX152" i="2" s="1"/>
  <c r="BX153" i="2" s="1"/>
  <c r="BX154" i="2" s="1"/>
  <c r="BX155" i="2" s="1"/>
  <c r="BX156" i="2" s="1"/>
  <c r="BX157" i="2" s="1"/>
  <c r="BX158" i="2" s="1"/>
  <c r="BX159" i="2" s="1"/>
  <c r="BX160" i="2" s="1"/>
  <c r="BX161" i="2" s="1"/>
  <c r="BX162" i="2" s="1"/>
  <c r="BX163" i="2" s="1"/>
  <c r="BX164" i="2" s="1"/>
  <c r="BX165" i="2" s="1"/>
  <c r="BX166" i="2" s="1"/>
  <c r="BX167" i="2" s="1"/>
  <c r="BX168" i="2" s="1"/>
  <c r="BX169" i="2" s="1"/>
  <c r="BX170" i="2" s="1"/>
  <c r="BX171" i="2" s="1"/>
  <c r="BX172" i="2" s="1"/>
  <c r="BX173" i="2" s="1"/>
  <c r="BX174" i="2" s="1"/>
  <c r="BX175" i="2" s="1"/>
  <c r="BX176" i="2" s="1"/>
  <c r="BX177" i="2" s="1"/>
  <c r="BX178" i="2" s="1"/>
  <c r="BX179" i="2" s="1"/>
  <c r="BX180" i="2" s="1"/>
  <c r="BX181" i="2" s="1"/>
  <c r="BX182" i="2" s="1"/>
  <c r="BS143" i="2"/>
  <c r="BT143" i="2" s="1"/>
  <c r="BT144" i="2" s="1"/>
  <c r="BT145" i="2" s="1"/>
  <c r="BT146" i="2" s="1"/>
  <c r="BT147" i="2" s="1"/>
  <c r="BT148" i="2" s="1"/>
  <c r="BT149" i="2" s="1"/>
  <c r="BT150" i="2" s="1"/>
  <c r="BT151" i="2" s="1"/>
  <c r="BT152" i="2" s="1"/>
  <c r="BT153" i="2" s="1"/>
  <c r="BT154" i="2" s="1"/>
  <c r="BT155" i="2" s="1"/>
  <c r="BT156" i="2" s="1"/>
  <c r="BT157" i="2" s="1"/>
  <c r="BT158" i="2" s="1"/>
  <c r="BT159" i="2" s="1"/>
  <c r="BT160" i="2" s="1"/>
  <c r="BT161" i="2" s="1"/>
  <c r="BT162" i="2" s="1"/>
  <c r="BT163" i="2" s="1"/>
  <c r="BT164" i="2" s="1"/>
  <c r="BT165" i="2" s="1"/>
  <c r="BT166" i="2" s="1"/>
  <c r="BT167" i="2" s="1"/>
  <c r="BT168" i="2" s="1"/>
  <c r="BT169" i="2" s="1"/>
  <c r="BT170" i="2" s="1"/>
  <c r="BT171" i="2" s="1"/>
  <c r="BT172" i="2" s="1"/>
  <c r="BT173" i="2" s="1"/>
  <c r="BT174" i="2" s="1"/>
  <c r="BT175" i="2" s="1"/>
  <c r="BT176" i="2" s="1"/>
  <c r="BT177" i="2" s="1"/>
  <c r="BT178" i="2" s="1"/>
  <c r="BT179" i="2" s="1"/>
  <c r="BT180" i="2" s="1"/>
  <c r="BT181" i="2" s="1"/>
  <c r="BT182" i="2" s="1"/>
  <c r="BO143" i="2"/>
  <c r="BP143" i="2" s="1"/>
  <c r="BP144" i="2" s="1"/>
  <c r="BP145" i="2" s="1"/>
  <c r="BP146" i="2" s="1"/>
  <c r="BP147" i="2" s="1"/>
  <c r="BP148" i="2" s="1"/>
  <c r="BP149" i="2" s="1"/>
  <c r="BP150" i="2" s="1"/>
  <c r="BP151" i="2" s="1"/>
  <c r="BP152" i="2" s="1"/>
  <c r="BP153" i="2" s="1"/>
  <c r="BP154" i="2" s="1"/>
  <c r="BP155" i="2" s="1"/>
  <c r="BP156" i="2" s="1"/>
  <c r="BP157" i="2" s="1"/>
  <c r="BP158" i="2" s="1"/>
  <c r="BP159" i="2" s="1"/>
  <c r="BP160" i="2" s="1"/>
  <c r="BP161" i="2" s="1"/>
  <c r="BP162" i="2" s="1"/>
  <c r="BP163" i="2" s="1"/>
  <c r="BP164" i="2" s="1"/>
  <c r="BP165" i="2" s="1"/>
  <c r="BP166" i="2" s="1"/>
  <c r="BP167" i="2" s="1"/>
  <c r="BP168" i="2" s="1"/>
  <c r="BP169" i="2" s="1"/>
  <c r="BP170" i="2" s="1"/>
  <c r="BP171" i="2" s="1"/>
  <c r="BP172" i="2" s="1"/>
  <c r="BP173" i="2" s="1"/>
  <c r="BP174" i="2" s="1"/>
  <c r="BP175" i="2" s="1"/>
  <c r="BP176" i="2" s="1"/>
  <c r="BP177" i="2" s="1"/>
  <c r="BP178" i="2" s="1"/>
  <c r="BP179" i="2" s="1"/>
  <c r="BP180" i="2" s="1"/>
  <c r="BP181" i="2" s="1"/>
  <c r="BP182" i="2" s="1"/>
  <c r="BK143" i="2"/>
  <c r="BL143" i="2" s="1"/>
  <c r="BL144" i="2" s="1"/>
  <c r="BL145" i="2" s="1"/>
  <c r="BL146" i="2" s="1"/>
  <c r="BL147" i="2" s="1"/>
  <c r="BL148" i="2" s="1"/>
  <c r="BL149" i="2" s="1"/>
  <c r="BL150" i="2" s="1"/>
  <c r="BL151" i="2" s="1"/>
  <c r="BL152" i="2" s="1"/>
  <c r="BL153" i="2" s="1"/>
  <c r="BL154" i="2" s="1"/>
  <c r="BL155" i="2" s="1"/>
  <c r="BL156" i="2" s="1"/>
  <c r="BL157" i="2" s="1"/>
  <c r="BL158" i="2" s="1"/>
  <c r="BL159" i="2" s="1"/>
  <c r="BL160" i="2" s="1"/>
  <c r="BL161" i="2" s="1"/>
  <c r="BL162" i="2" s="1"/>
  <c r="BL163" i="2" s="1"/>
  <c r="BL164" i="2" s="1"/>
  <c r="BL165" i="2" s="1"/>
  <c r="BL166" i="2" s="1"/>
  <c r="BL167" i="2" s="1"/>
  <c r="BL168" i="2" s="1"/>
  <c r="BL169" i="2" s="1"/>
  <c r="BL170" i="2" s="1"/>
  <c r="BL171" i="2" s="1"/>
  <c r="BL172" i="2" s="1"/>
  <c r="BL173" i="2" s="1"/>
  <c r="BL174" i="2" s="1"/>
  <c r="BL175" i="2" s="1"/>
  <c r="BL176" i="2" s="1"/>
  <c r="BL177" i="2" s="1"/>
  <c r="BL178" i="2" s="1"/>
  <c r="BL179" i="2" s="1"/>
  <c r="BL180" i="2" s="1"/>
  <c r="BL181" i="2" s="1"/>
  <c r="BL182" i="2" s="1"/>
  <c r="BG143" i="2"/>
  <c r="BH143" i="2" s="1"/>
  <c r="BH144" i="2" s="1"/>
  <c r="BH145" i="2" s="1"/>
  <c r="BH146" i="2" s="1"/>
  <c r="BH147" i="2" s="1"/>
  <c r="BH148" i="2" s="1"/>
  <c r="BH149" i="2" s="1"/>
  <c r="BH150" i="2" s="1"/>
  <c r="BH151" i="2" s="1"/>
  <c r="BH152" i="2" s="1"/>
  <c r="BH153" i="2" s="1"/>
  <c r="BH154" i="2" s="1"/>
  <c r="BH155" i="2" s="1"/>
  <c r="BH156" i="2" s="1"/>
  <c r="BH157" i="2" s="1"/>
  <c r="BH158" i="2" s="1"/>
  <c r="BH159" i="2" s="1"/>
  <c r="BH160" i="2" s="1"/>
  <c r="BH161" i="2" s="1"/>
  <c r="BH162" i="2" s="1"/>
  <c r="BH163" i="2" s="1"/>
  <c r="BH164" i="2" s="1"/>
  <c r="BH165" i="2" s="1"/>
  <c r="BH166" i="2" s="1"/>
  <c r="BH167" i="2" s="1"/>
  <c r="BH168" i="2" s="1"/>
  <c r="BH169" i="2" s="1"/>
  <c r="BH170" i="2" s="1"/>
  <c r="BH171" i="2" s="1"/>
  <c r="BH172" i="2" s="1"/>
  <c r="BH173" i="2" s="1"/>
  <c r="BH174" i="2" s="1"/>
  <c r="BH175" i="2" s="1"/>
  <c r="BH176" i="2" s="1"/>
  <c r="BH177" i="2" s="1"/>
  <c r="BH178" i="2" s="1"/>
  <c r="BH179" i="2" s="1"/>
  <c r="BH180" i="2" s="1"/>
  <c r="BH181" i="2" s="1"/>
  <c r="BH182" i="2" s="1"/>
  <c r="BC143" i="2"/>
  <c r="BD143" i="2" s="1"/>
  <c r="BD144" i="2" s="1"/>
  <c r="BD145" i="2" s="1"/>
  <c r="BD146" i="2" s="1"/>
  <c r="BD147" i="2" s="1"/>
  <c r="BD148" i="2" s="1"/>
  <c r="BD149" i="2" s="1"/>
  <c r="BD150" i="2" s="1"/>
  <c r="BD151" i="2" s="1"/>
  <c r="BD152" i="2" s="1"/>
  <c r="BD153" i="2" s="1"/>
  <c r="BD154" i="2" s="1"/>
  <c r="BD155" i="2" s="1"/>
  <c r="BD156" i="2" s="1"/>
  <c r="BD157" i="2" s="1"/>
  <c r="BD158" i="2" s="1"/>
  <c r="BD159" i="2" s="1"/>
  <c r="BD160" i="2" s="1"/>
  <c r="BD161" i="2" s="1"/>
  <c r="BD162" i="2" s="1"/>
  <c r="BD163" i="2" s="1"/>
  <c r="BD164" i="2" s="1"/>
  <c r="BD165" i="2" s="1"/>
  <c r="BD166" i="2" s="1"/>
  <c r="BD167" i="2" s="1"/>
  <c r="BD168" i="2" s="1"/>
  <c r="BD169" i="2" s="1"/>
  <c r="BD170" i="2" s="1"/>
  <c r="BD171" i="2" s="1"/>
  <c r="BD172" i="2" s="1"/>
  <c r="BD173" i="2" s="1"/>
  <c r="BD174" i="2" s="1"/>
  <c r="BD175" i="2" s="1"/>
  <c r="BD176" i="2" s="1"/>
  <c r="BD177" i="2" s="1"/>
  <c r="BD178" i="2" s="1"/>
  <c r="BD179" i="2" s="1"/>
  <c r="BD180" i="2" s="1"/>
  <c r="BD181" i="2" s="1"/>
  <c r="BD182" i="2" s="1"/>
  <c r="AY143" i="2"/>
  <c r="AZ143" i="2" s="1"/>
  <c r="AZ144" i="2" s="1"/>
  <c r="AZ145" i="2" s="1"/>
  <c r="AZ146" i="2" s="1"/>
  <c r="AZ147" i="2" s="1"/>
  <c r="AZ148" i="2" s="1"/>
  <c r="AZ149" i="2" s="1"/>
  <c r="AZ150" i="2" s="1"/>
  <c r="AZ151" i="2" s="1"/>
  <c r="AZ152" i="2" s="1"/>
  <c r="AZ153" i="2" s="1"/>
  <c r="AZ154" i="2" s="1"/>
  <c r="AZ155" i="2" s="1"/>
  <c r="AZ156" i="2" s="1"/>
  <c r="AZ157" i="2" s="1"/>
  <c r="AZ158" i="2" s="1"/>
  <c r="AZ159" i="2" s="1"/>
  <c r="AZ160" i="2" s="1"/>
  <c r="AZ161" i="2" s="1"/>
  <c r="AZ162" i="2" s="1"/>
  <c r="AZ163" i="2" s="1"/>
  <c r="AZ164" i="2" s="1"/>
  <c r="AZ165" i="2" s="1"/>
  <c r="AZ166" i="2" s="1"/>
  <c r="AZ167" i="2" s="1"/>
  <c r="AZ168" i="2" s="1"/>
  <c r="AZ169" i="2" s="1"/>
  <c r="AZ170" i="2" s="1"/>
  <c r="AZ171" i="2" s="1"/>
  <c r="AZ172" i="2" s="1"/>
  <c r="AZ173" i="2" s="1"/>
  <c r="AZ174" i="2" s="1"/>
  <c r="AZ175" i="2" s="1"/>
  <c r="AZ176" i="2" s="1"/>
  <c r="AZ177" i="2" s="1"/>
  <c r="AZ178" i="2" s="1"/>
  <c r="AZ179" i="2" s="1"/>
  <c r="AZ180" i="2" s="1"/>
  <c r="AZ181" i="2" s="1"/>
  <c r="AZ182" i="2" s="1"/>
  <c r="AU143" i="2"/>
  <c r="AV143" i="2" s="1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AV154" i="2" s="1"/>
  <c r="AV155" i="2" s="1"/>
  <c r="AV156" i="2" s="1"/>
  <c r="AV157" i="2" s="1"/>
  <c r="AV158" i="2" s="1"/>
  <c r="AV159" i="2" s="1"/>
  <c r="AV160" i="2" s="1"/>
  <c r="AV161" i="2" s="1"/>
  <c r="AV162" i="2" s="1"/>
  <c r="AV163" i="2" s="1"/>
  <c r="AV164" i="2" s="1"/>
  <c r="AV165" i="2" s="1"/>
  <c r="AV166" i="2" s="1"/>
  <c r="AV167" i="2" s="1"/>
  <c r="AV168" i="2" s="1"/>
  <c r="AV169" i="2" s="1"/>
  <c r="AV170" i="2" s="1"/>
  <c r="AV171" i="2" s="1"/>
  <c r="AV172" i="2" s="1"/>
  <c r="AV173" i="2" s="1"/>
  <c r="AV174" i="2" s="1"/>
  <c r="AV175" i="2" s="1"/>
  <c r="AV176" i="2" s="1"/>
  <c r="AV177" i="2" s="1"/>
  <c r="AV178" i="2" s="1"/>
  <c r="AV179" i="2" s="1"/>
  <c r="AV180" i="2" s="1"/>
  <c r="AV181" i="2" s="1"/>
  <c r="AV182" i="2" s="1"/>
  <c r="AQ143" i="2"/>
  <c r="AR143" i="2" s="1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62" i="2" s="1"/>
  <c r="AR163" i="2" s="1"/>
  <c r="AR164" i="2" s="1"/>
  <c r="AR165" i="2" s="1"/>
  <c r="AR166" i="2" s="1"/>
  <c r="AR167" i="2" s="1"/>
  <c r="AR168" i="2" s="1"/>
  <c r="AR169" i="2" s="1"/>
  <c r="AR170" i="2" s="1"/>
  <c r="AR171" i="2" s="1"/>
  <c r="AR172" i="2" s="1"/>
  <c r="AR173" i="2" s="1"/>
  <c r="AR174" i="2" s="1"/>
  <c r="AR175" i="2" s="1"/>
  <c r="AR176" i="2" s="1"/>
  <c r="AR177" i="2" s="1"/>
  <c r="AR178" i="2" s="1"/>
  <c r="AR179" i="2" s="1"/>
  <c r="AR180" i="2" s="1"/>
  <c r="AR181" i="2" s="1"/>
  <c r="AR182" i="2" s="1"/>
  <c r="AM143" i="2"/>
  <c r="AN143" i="2" s="1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AN154" i="2" s="1"/>
  <c r="AN155" i="2" s="1"/>
  <c r="AN156" i="2" s="1"/>
  <c r="AN157" i="2" s="1"/>
  <c r="AN158" i="2" s="1"/>
  <c r="AN159" i="2" s="1"/>
  <c r="AN160" i="2" s="1"/>
  <c r="AN161" i="2" s="1"/>
  <c r="AN162" i="2" s="1"/>
  <c r="AN163" i="2" s="1"/>
  <c r="AN164" i="2" s="1"/>
  <c r="AN165" i="2" s="1"/>
  <c r="AN166" i="2" s="1"/>
  <c r="AN167" i="2" s="1"/>
  <c r="AN168" i="2" s="1"/>
  <c r="AN169" i="2" s="1"/>
  <c r="AN170" i="2" s="1"/>
  <c r="AN171" i="2" s="1"/>
  <c r="AN172" i="2" s="1"/>
  <c r="AN173" i="2" s="1"/>
  <c r="AN174" i="2" s="1"/>
  <c r="AN175" i="2" s="1"/>
  <c r="AN176" i="2" s="1"/>
  <c r="AN177" i="2" s="1"/>
  <c r="AN178" i="2" s="1"/>
  <c r="AN179" i="2" s="1"/>
  <c r="AN180" i="2" s="1"/>
  <c r="AN181" i="2" s="1"/>
  <c r="AN182" i="2" s="1"/>
  <c r="AI143" i="2"/>
  <c r="AJ143" i="2" s="1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AJ154" i="2" s="1"/>
  <c r="AJ155" i="2" s="1"/>
  <c r="AJ156" i="2" s="1"/>
  <c r="AJ157" i="2" s="1"/>
  <c r="AJ158" i="2" s="1"/>
  <c r="AJ159" i="2" s="1"/>
  <c r="AJ160" i="2" s="1"/>
  <c r="AJ161" i="2" s="1"/>
  <c r="AJ162" i="2" s="1"/>
  <c r="AJ163" i="2" s="1"/>
  <c r="AJ164" i="2" s="1"/>
  <c r="AJ165" i="2" s="1"/>
  <c r="AJ166" i="2" s="1"/>
  <c r="AJ167" i="2" s="1"/>
  <c r="AJ168" i="2" s="1"/>
  <c r="AJ169" i="2" s="1"/>
  <c r="AJ170" i="2" s="1"/>
  <c r="AJ171" i="2" s="1"/>
  <c r="AJ172" i="2" s="1"/>
  <c r="AJ173" i="2" s="1"/>
  <c r="AJ174" i="2" s="1"/>
  <c r="AJ175" i="2" s="1"/>
  <c r="AJ176" i="2" s="1"/>
  <c r="AJ177" i="2" s="1"/>
  <c r="AJ178" i="2" s="1"/>
  <c r="AJ179" i="2" s="1"/>
  <c r="AJ180" i="2" s="1"/>
  <c r="AJ181" i="2" s="1"/>
  <c r="AJ182" i="2" s="1"/>
  <c r="AE143" i="2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A143" i="2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B179" i="2" s="1"/>
  <c r="AB180" i="2" s="1"/>
  <c r="AB181" i="2" s="1"/>
  <c r="AB182" i="2" s="1"/>
  <c r="W143" i="2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S143" i="2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O143" i="2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K143" i="2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CH61" i="2"/>
  <c r="CH102" i="2" s="1"/>
  <c r="CG61" i="2"/>
  <c r="CG102" i="2" s="1"/>
  <c r="CF61" i="2"/>
  <c r="CF102" i="2" s="1"/>
  <c r="CE61" i="2"/>
  <c r="CE102" i="2" s="1"/>
  <c r="CD61" i="2"/>
  <c r="CD102" i="2" s="1"/>
  <c r="CC61" i="2"/>
  <c r="CC102" i="2" s="1"/>
  <c r="CB61" i="2"/>
  <c r="CB102" i="2" s="1"/>
  <c r="CA61" i="2"/>
  <c r="CA102" i="2" s="1"/>
  <c r="BZ61" i="2"/>
  <c r="BZ102" i="2" s="1"/>
  <c r="BY61" i="2"/>
  <c r="BY102" i="2" s="1"/>
  <c r="BX61" i="2"/>
  <c r="BX102" i="2" s="1"/>
  <c r="BW61" i="2"/>
  <c r="BW102" i="2" s="1"/>
  <c r="BV61" i="2"/>
  <c r="BV102" i="2" s="1"/>
  <c r="BU61" i="2"/>
  <c r="BU102" i="2" s="1"/>
  <c r="BT61" i="2"/>
  <c r="BT102" i="2" s="1"/>
  <c r="BS61" i="2"/>
  <c r="BS102" i="2" s="1"/>
  <c r="BR61" i="2"/>
  <c r="BR102" i="2" s="1"/>
  <c r="BQ61" i="2"/>
  <c r="BQ102" i="2" s="1"/>
  <c r="BP61" i="2"/>
  <c r="BP102" i="2" s="1"/>
  <c r="BO61" i="2"/>
  <c r="BO102" i="2" s="1"/>
  <c r="BN61" i="2"/>
  <c r="BN102" i="2" s="1"/>
  <c r="BM61" i="2"/>
  <c r="BM102" i="2" s="1"/>
  <c r="BL61" i="2"/>
  <c r="BL102" i="2" s="1"/>
  <c r="BK61" i="2"/>
  <c r="BK102" i="2" s="1"/>
  <c r="BJ61" i="2"/>
  <c r="BJ102" i="2" s="1"/>
  <c r="BI61" i="2"/>
  <c r="BI102" i="2" s="1"/>
  <c r="BH61" i="2"/>
  <c r="BH102" i="2" s="1"/>
  <c r="BG61" i="2"/>
  <c r="BG102" i="2" s="1"/>
  <c r="BF61" i="2"/>
  <c r="BF102" i="2" s="1"/>
  <c r="BE61" i="2"/>
  <c r="BE102" i="2" s="1"/>
  <c r="BD61" i="2"/>
  <c r="BD102" i="2" s="1"/>
  <c r="BC61" i="2"/>
  <c r="BC102" i="2" s="1"/>
  <c r="BB61" i="2"/>
  <c r="BB102" i="2" s="1"/>
  <c r="BA61" i="2"/>
  <c r="BA102" i="2" s="1"/>
  <c r="AZ61" i="2"/>
  <c r="AZ102" i="2" s="1"/>
  <c r="AY61" i="2"/>
  <c r="AY102" i="2" s="1"/>
  <c r="AX61" i="2"/>
  <c r="AX102" i="2" s="1"/>
  <c r="AW61" i="2"/>
  <c r="AW102" i="2" s="1"/>
  <c r="AV61" i="2"/>
  <c r="AV102" i="2" s="1"/>
  <c r="AU61" i="2"/>
  <c r="AU102" i="2" s="1"/>
  <c r="AT61" i="2"/>
  <c r="AT102" i="2" s="1"/>
  <c r="AS61" i="2"/>
  <c r="AS102" i="2" s="1"/>
  <c r="AR61" i="2"/>
  <c r="AR102" i="2" s="1"/>
  <c r="AQ61" i="2"/>
  <c r="AQ102" i="2" s="1"/>
  <c r="AP61" i="2"/>
  <c r="AP102" i="2" s="1"/>
  <c r="AO61" i="2"/>
  <c r="AO102" i="2" s="1"/>
  <c r="AN61" i="2"/>
  <c r="AN102" i="2" s="1"/>
  <c r="AM61" i="2"/>
  <c r="AM102" i="2" s="1"/>
  <c r="AL61" i="2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L138" i="2" s="1"/>
  <c r="AL139" i="2" s="1"/>
  <c r="AL140" i="2" s="1"/>
  <c r="AL141" i="2" s="1"/>
  <c r="AK61" i="2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J61" i="2"/>
  <c r="AJ102" i="2" s="1"/>
  <c r="AJ103" i="2" s="1"/>
  <c r="AJ104" i="2" s="1"/>
  <c r="AJ105" i="2" s="1"/>
  <c r="AJ106" i="2" s="1"/>
  <c r="AJ107" i="2" s="1"/>
  <c r="AJ108" i="2" s="1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J137" i="2" s="1"/>
  <c r="AJ138" i="2" s="1"/>
  <c r="AJ139" i="2" s="1"/>
  <c r="AJ140" i="2" s="1"/>
  <c r="AJ141" i="2" s="1"/>
  <c r="AI61" i="2"/>
  <c r="AI102" i="2" s="1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AH61" i="2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AG61" i="2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F61" i="2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E61" i="2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AE137" i="2" s="1"/>
  <c r="AE138" i="2" s="1"/>
  <c r="AE139" i="2" s="1"/>
  <c r="AE140" i="2" s="1"/>
  <c r="AE141" i="2" s="1"/>
  <c r="AD61" i="2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C61" i="2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B61" i="2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AA61" i="2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Z61" i="2"/>
  <c r="Z102" i="2" s="1"/>
  <c r="Y61" i="2"/>
  <c r="Y102" i="2" s="1"/>
  <c r="X61" i="2"/>
  <c r="X102" i="2" s="1"/>
  <c r="W61" i="2"/>
  <c r="W102" i="2" s="1"/>
  <c r="V61" i="2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U61" i="2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T61" i="2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S61" i="2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R61" i="2"/>
  <c r="R102" i="2" s="1"/>
  <c r="Q61" i="2"/>
  <c r="Q102" i="2" s="1"/>
  <c r="P61" i="2"/>
  <c r="P102" i="2" s="1"/>
  <c r="O61" i="2"/>
  <c r="O102" i="2" s="1"/>
  <c r="N61" i="2"/>
  <c r="N102" i="2" s="1"/>
  <c r="M61" i="2"/>
  <c r="M102" i="2" s="1"/>
  <c r="L61" i="2"/>
  <c r="L102" i="2" s="1"/>
  <c r="K61" i="2"/>
  <c r="K102" i="2" s="1"/>
  <c r="G144" i="2"/>
  <c r="E144" i="2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C101" i="2"/>
  <c r="E62" i="2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J62" i="2"/>
  <c r="I62" i="2"/>
  <c r="H62" i="2"/>
  <c r="G62" i="2"/>
  <c r="R13" i="1"/>
  <c r="K59" i="2" l="1"/>
  <c r="S59" i="2"/>
  <c r="AA59" i="2"/>
  <c r="AI59" i="2"/>
  <c r="AQ59" i="2"/>
  <c r="AY59" i="2"/>
  <c r="BG59" i="2"/>
  <c r="BO59" i="2"/>
  <c r="BW59" i="2"/>
  <c r="CA59" i="2"/>
  <c r="O59" i="2"/>
  <c r="W59" i="2"/>
  <c r="AE59" i="2"/>
  <c r="AM59" i="2"/>
  <c r="AU59" i="2"/>
  <c r="BC59" i="2"/>
  <c r="BK59" i="2"/>
  <c r="BS59" i="2"/>
  <c r="CE59" i="2"/>
  <c r="P103" i="2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X103" i="2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AV103" i="2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AV138" i="2" s="1"/>
  <c r="AV139" i="2" s="1"/>
  <c r="AV140" i="2" s="1"/>
  <c r="AV141" i="2" s="1"/>
  <c r="AZ103" i="2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Z132" i="2" s="1"/>
  <c r="AZ133" i="2" s="1"/>
  <c r="AZ134" i="2" s="1"/>
  <c r="AZ135" i="2" s="1"/>
  <c r="AZ136" i="2" s="1"/>
  <c r="AZ137" i="2" s="1"/>
  <c r="AZ138" i="2" s="1"/>
  <c r="AZ139" i="2" s="1"/>
  <c r="AZ140" i="2" s="1"/>
  <c r="AZ141" i="2" s="1"/>
  <c r="BD103" i="2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D122" i="2" s="1"/>
  <c r="BD123" i="2" s="1"/>
  <c r="BD124" i="2" s="1"/>
  <c r="BD125" i="2" s="1"/>
  <c r="BD126" i="2" s="1"/>
  <c r="BD127" i="2" s="1"/>
  <c r="BD128" i="2" s="1"/>
  <c r="BD129" i="2" s="1"/>
  <c r="BD130" i="2" s="1"/>
  <c r="BD131" i="2" s="1"/>
  <c r="BD132" i="2" s="1"/>
  <c r="BD133" i="2" s="1"/>
  <c r="BD134" i="2" s="1"/>
  <c r="BD135" i="2" s="1"/>
  <c r="BD136" i="2" s="1"/>
  <c r="BD137" i="2" s="1"/>
  <c r="BD138" i="2" s="1"/>
  <c r="BD139" i="2" s="1"/>
  <c r="BD140" i="2" s="1"/>
  <c r="BD141" i="2" s="1"/>
  <c r="BH103" i="2"/>
  <c r="BH104" i="2" s="1"/>
  <c r="BH105" i="2" s="1"/>
  <c r="BH106" i="2" s="1"/>
  <c r="BH107" i="2" s="1"/>
  <c r="BH108" i="2" s="1"/>
  <c r="BH109" i="2" s="1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H122" i="2" s="1"/>
  <c r="BH123" i="2" s="1"/>
  <c r="BH124" i="2" s="1"/>
  <c r="BH125" i="2" s="1"/>
  <c r="BH126" i="2" s="1"/>
  <c r="BH127" i="2" s="1"/>
  <c r="BH128" i="2" s="1"/>
  <c r="BH129" i="2" s="1"/>
  <c r="BH130" i="2" s="1"/>
  <c r="BH131" i="2" s="1"/>
  <c r="BH132" i="2" s="1"/>
  <c r="BH133" i="2" s="1"/>
  <c r="BH134" i="2" s="1"/>
  <c r="BH135" i="2" s="1"/>
  <c r="BH136" i="2" s="1"/>
  <c r="BH137" i="2" s="1"/>
  <c r="BH138" i="2" s="1"/>
  <c r="BH139" i="2" s="1"/>
  <c r="BH140" i="2" s="1"/>
  <c r="BH141" i="2" s="1"/>
  <c r="BL103" i="2"/>
  <c r="BL104" i="2" s="1"/>
  <c r="BL105" i="2" s="1"/>
  <c r="BL106" i="2" s="1"/>
  <c r="BL107" i="2" s="1"/>
  <c r="BL108" i="2" s="1"/>
  <c r="BL109" i="2" s="1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BL122" i="2" s="1"/>
  <c r="BL123" i="2" s="1"/>
  <c r="BL124" i="2" s="1"/>
  <c r="BL125" i="2" s="1"/>
  <c r="BL126" i="2" s="1"/>
  <c r="BL127" i="2" s="1"/>
  <c r="BL128" i="2" s="1"/>
  <c r="BL129" i="2" s="1"/>
  <c r="BL130" i="2" s="1"/>
  <c r="BL131" i="2" s="1"/>
  <c r="BL132" i="2" s="1"/>
  <c r="BL133" i="2" s="1"/>
  <c r="BL134" i="2" s="1"/>
  <c r="BL135" i="2" s="1"/>
  <c r="BL136" i="2" s="1"/>
  <c r="BL137" i="2" s="1"/>
  <c r="BL138" i="2" s="1"/>
  <c r="BL139" i="2" s="1"/>
  <c r="BL140" i="2" s="1"/>
  <c r="BL141" i="2" s="1"/>
  <c r="BT103" i="2"/>
  <c r="BT104" i="2" s="1"/>
  <c r="BT105" i="2" s="1"/>
  <c r="BT106" i="2" s="1"/>
  <c r="BT107" i="2" s="1"/>
  <c r="BT108" i="2" s="1"/>
  <c r="BT109" i="2" s="1"/>
  <c r="BT110" i="2" s="1"/>
  <c r="BT111" i="2" s="1"/>
  <c r="BT112" i="2" s="1"/>
  <c r="BT113" i="2" s="1"/>
  <c r="BT114" i="2" s="1"/>
  <c r="BT115" i="2" s="1"/>
  <c r="BT116" i="2" s="1"/>
  <c r="BT117" i="2" s="1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T132" i="2" s="1"/>
  <c r="BT133" i="2" s="1"/>
  <c r="BT134" i="2" s="1"/>
  <c r="BT135" i="2" s="1"/>
  <c r="BT136" i="2" s="1"/>
  <c r="BT137" i="2" s="1"/>
  <c r="BT138" i="2" s="1"/>
  <c r="BT139" i="2" s="1"/>
  <c r="BT140" i="2" s="1"/>
  <c r="BT141" i="2" s="1"/>
  <c r="BX103" i="2"/>
  <c r="BX104" i="2" s="1"/>
  <c r="BX105" i="2" s="1"/>
  <c r="BX106" i="2" s="1"/>
  <c r="BX107" i="2" s="1"/>
  <c r="BX108" i="2" s="1"/>
  <c r="BX109" i="2" s="1"/>
  <c r="BX110" i="2" s="1"/>
  <c r="BX111" i="2" s="1"/>
  <c r="BX112" i="2" s="1"/>
  <c r="BX113" i="2" s="1"/>
  <c r="BX114" i="2" s="1"/>
  <c r="BX115" i="2" s="1"/>
  <c r="BX116" i="2" s="1"/>
  <c r="BX117" i="2" s="1"/>
  <c r="BX118" i="2" s="1"/>
  <c r="BX119" i="2" s="1"/>
  <c r="BX120" i="2" s="1"/>
  <c r="BX121" i="2" s="1"/>
  <c r="BX122" i="2" s="1"/>
  <c r="BX123" i="2" s="1"/>
  <c r="BX124" i="2" s="1"/>
  <c r="BX125" i="2" s="1"/>
  <c r="BX126" i="2" s="1"/>
  <c r="BX127" i="2" s="1"/>
  <c r="BX128" i="2" s="1"/>
  <c r="BX129" i="2" s="1"/>
  <c r="BX130" i="2" s="1"/>
  <c r="BX131" i="2" s="1"/>
  <c r="BX132" i="2" s="1"/>
  <c r="BX133" i="2" s="1"/>
  <c r="BX134" i="2" s="1"/>
  <c r="BX135" i="2" s="1"/>
  <c r="BX136" i="2" s="1"/>
  <c r="BX137" i="2" s="1"/>
  <c r="BX138" i="2" s="1"/>
  <c r="BX139" i="2" s="1"/>
  <c r="BX140" i="2" s="1"/>
  <c r="BX141" i="2" s="1"/>
  <c r="CB103" i="2"/>
  <c r="CB104" i="2" s="1"/>
  <c r="CB105" i="2" s="1"/>
  <c r="CB106" i="2" s="1"/>
  <c r="CB107" i="2" s="1"/>
  <c r="CB108" i="2" s="1"/>
  <c r="CB109" i="2" s="1"/>
  <c r="CB110" i="2" s="1"/>
  <c r="CB111" i="2" s="1"/>
  <c r="CB112" i="2" s="1"/>
  <c r="CB113" i="2" s="1"/>
  <c r="CB114" i="2" s="1"/>
  <c r="CB115" i="2" s="1"/>
  <c r="CB116" i="2" s="1"/>
  <c r="CB117" i="2" s="1"/>
  <c r="CB118" i="2" s="1"/>
  <c r="CB119" i="2" s="1"/>
  <c r="CB120" i="2" s="1"/>
  <c r="CB121" i="2" s="1"/>
  <c r="CB122" i="2" s="1"/>
  <c r="CB123" i="2" s="1"/>
  <c r="CB124" i="2" s="1"/>
  <c r="CB125" i="2" s="1"/>
  <c r="CB126" i="2" s="1"/>
  <c r="CB127" i="2" s="1"/>
  <c r="CB128" i="2" s="1"/>
  <c r="CB129" i="2" s="1"/>
  <c r="CB130" i="2" s="1"/>
  <c r="CB131" i="2" s="1"/>
  <c r="CB132" i="2" s="1"/>
  <c r="CB133" i="2" s="1"/>
  <c r="CB134" i="2" s="1"/>
  <c r="CB135" i="2" s="1"/>
  <c r="CB136" i="2" s="1"/>
  <c r="CB137" i="2" s="1"/>
  <c r="CB138" i="2" s="1"/>
  <c r="CB139" i="2" s="1"/>
  <c r="CB140" i="2" s="1"/>
  <c r="CB141" i="2" s="1"/>
  <c r="CF103" i="2"/>
  <c r="CF104" i="2" s="1"/>
  <c r="CF105" i="2" s="1"/>
  <c r="CF106" i="2" s="1"/>
  <c r="CF107" i="2" s="1"/>
  <c r="CF108" i="2" s="1"/>
  <c r="CF109" i="2" s="1"/>
  <c r="CF110" i="2" s="1"/>
  <c r="CF111" i="2" s="1"/>
  <c r="CF112" i="2" s="1"/>
  <c r="CF113" i="2" s="1"/>
  <c r="CF114" i="2" s="1"/>
  <c r="CF115" i="2" s="1"/>
  <c r="CF116" i="2" s="1"/>
  <c r="CF117" i="2" s="1"/>
  <c r="CF118" i="2" s="1"/>
  <c r="CF119" i="2" s="1"/>
  <c r="CF120" i="2" s="1"/>
  <c r="CF121" i="2" s="1"/>
  <c r="CF122" i="2" s="1"/>
  <c r="CF123" i="2" s="1"/>
  <c r="CF124" i="2" s="1"/>
  <c r="CF125" i="2" s="1"/>
  <c r="CF126" i="2" s="1"/>
  <c r="CF127" i="2" s="1"/>
  <c r="CF128" i="2" s="1"/>
  <c r="CF129" i="2" s="1"/>
  <c r="CF130" i="2" s="1"/>
  <c r="CF131" i="2" s="1"/>
  <c r="CF132" i="2" s="1"/>
  <c r="CF133" i="2" s="1"/>
  <c r="CF134" i="2" s="1"/>
  <c r="CF135" i="2" s="1"/>
  <c r="CF136" i="2" s="1"/>
  <c r="CF137" i="2" s="1"/>
  <c r="CF138" i="2" s="1"/>
  <c r="CF139" i="2" s="1"/>
  <c r="CF140" i="2" s="1"/>
  <c r="CF141" i="2" s="1"/>
  <c r="AR103" i="2"/>
  <c r="AR104" i="2" s="1"/>
  <c r="AR105" i="2" s="1"/>
  <c r="AR106" i="2" s="1"/>
  <c r="AR107" i="2" s="1"/>
  <c r="AR108" i="2" s="1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R138" i="2" s="1"/>
  <c r="AR139" i="2" s="1"/>
  <c r="AR140" i="2" s="1"/>
  <c r="AR141" i="2" s="1"/>
  <c r="AN103" i="2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N138" i="2" s="1"/>
  <c r="AN139" i="2" s="1"/>
  <c r="AN140" i="2" s="1"/>
  <c r="AN141" i="2" s="1"/>
  <c r="L103" i="2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N103" i="2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Z103" i="2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AT103" i="2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T140" i="2" s="1"/>
  <c r="AT141" i="2" s="1"/>
  <c r="K103" i="2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M103" i="2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O103" i="2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Q103" i="2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W103" i="2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Y103" i="2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AM103" i="2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O103" i="2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O138" i="2" s="1"/>
  <c r="AO139" i="2" s="1"/>
  <c r="AO140" i="2" s="1"/>
  <c r="AO141" i="2" s="1"/>
  <c r="AQ103" i="2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Q127" i="2" s="1"/>
  <c r="AQ128" i="2" s="1"/>
  <c r="AQ129" i="2" s="1"/>
  <c r="AQ130" i="2" s="1"/>
  <c r="AQ131" i="2" s="1"/>
  <c r="AQ132" i="2" s="1"/>
  <c r="AQ133" i="2" s="1"/>
  <c r="AQ134" i="2" s="1"/>
  <c r="AQ135" i="2" s="1"/>
  <c r="AQ136" i="2" s="1"/>
  <c r="AQ137" i="2" s="1"/>
  <c r="AQ138" i="2" s="1"/>
  <c r="AQ139" i="2" s="1"/>
  <c r="AQ140" i="2" s="1"/>
  <c r="AQ141" i="2" s="1"/>
  <c r="AS103" i="2"/>
  <c r="AS104" i="2" s="1"/>
  <c r="AS105" i="2" s="1"/>
  <c r="AS106" i="2" s="1"/>
  <c r="AS107" i="2" s="1"/>
  <c r="AS108" i="2" s="1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S132" i="2" s="1"/>
  <c r="AS133" i="2" s="1"/>
  <c r="AS134" i="2" s="1"/>
  <c r="AS135" i="2" s="1"/>
  <c r="AS136" i="2" s="1"/>
  <c r="AS137" i="2" s="1"/>
  <c r="AS138" i="2" s="1"/>
  <c r="AS139" i="2" s="1"/>
  <c r="AS140" i="2" s="1"/>
  <c r="AS141" i="2" s="1"/>
  <c r="AU103" i="2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U132" i="2" s="1"/>
  <c r="AU133" i="2" s="1"/>
  <c r="AU134" i="2" s="1"/>
  <c r="AU135" i="2" s="1"/>
  <c r="AU136" i="2" s="1"/>
  <c r="AU137" i="2" s="1"/>
  <c r="AU138" i="2" s="1"/>
  <c r="AU139" i="2" s="1"/>
  <c r="AU140" i="2" s="1"/>
  <c r="AU141" i="2" s="1"/>
  <c r="AW103" i="2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AY103" i="2"/>
  <c r="AY104" i="2" s="1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Y127" i="2" s="1"/>
  <c r="AY128" i="2" s="1"/>
  <c r="AY129" i="2" s="1"/>
  <c r="AY130" i="2" s="1"/>
  <c r="AY131" i="2" s="1"/>
  <c r="AY132" i="2" s="1"/>
  <c r="AY133" i="2" s="1"/>
  <c r="AY134" i="2" s="1"/>
  <c r="AY135" i="2" s="1"/>
  <c r="AY136" i="2" s="1"/>
  <c r="AY137" i="2" s="1"/>
  <c r="AY138" i="2" s="1"/>
  <c r="AY139" i="2" s="1"/>
  <c r="AY140" i="2" s="1"/>
  <c r="AY141" i="2" s="1"/>
  <c r="BA103" i="2"/>
  <c r="BA104" i="2" s="1"/>
  <c r="BA105" i="2" s="1"/>
  <c r="BA106" i="2" s="1"/>
  <c r="BA107" i="2" s="1"/>
  <c r="BA108" i="2" s="1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BA125" i="2" s="1"/>
  <c r="BA126" i="2" s="1"/>
  <c r="BA127" i="2" s="1"/>
  <c r="BA128" i="2" s="1"/>
  <c r="BA129" i="2" s="1"/>
  <c r="BA130" i="2" s="1"/>
  <c r="BA131" i="2" s="1"/>
  <c r="BA132" i="2" s="1"/>
  <c r="BA133" i="2" s="1"/>
  <c r="BA134" i="2" s="1"/>
  <c r="BA135" i="2" s="1"/>
  <c r="BA136" i="2" s="1"/>
  <c r="BA137" i="2" s="1"/>
  <c r="BA138" i="2" s="1"/>
  <c r="BA139" i="2" s="1"/>
  <c r="BA140" i="2" s="1"/>
  <c r="BA141" i="2" s="1"/>
  <c r="BC103" i="2"/>
  <c r="BC104" i="2" s="1"/>
  <c r="BC105" i="2" s="1"/>
  <c r="BC106" i="2" s="1"/>
  <c r="BC107" i="2" s="1"/>
  <c r="BC108" i="2" s="1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C132" i="2" s="1"/>
  <c r="BC133" i="2" s="1"/>
  <c r="BC134" i="2" s="1"/>
  <c r="BC135" i="2" s="1"/>
  <c r="BC136" i="2" s="1"/>
  <c r="BC137" i="2" s="1"/>
  <c r="BC138" i="2" s="1"/>
  <c r="BC139" i="2" s="1"/>
  <c r="BC140" i="2" s="1"/>
  <c r="BC141" i="2" s="1"/>
  <c r="BE103" i="2"/>
  <c r="BE104" i="2" s="1"/>
  <c r="BE105" i="2" s="1"/>
  <c r="BE106" i="2" s="1"/>
  <c r="BE107" i="2" s="1"/>
  <c r="BE108" i="2" s="1"/>
  <c r="BE109" i="2" s="1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E122" i="2" s="1"/>
  <c r="BE123" i="2" s="1"/>
  <c r="BE124" i="2" s="1"/>
  <c r="BE125" i="2" s="1"/>
  <c r="BE126" i="2" s="1"/>
  <c r="BE127" i="2" s="1"/>
  <c r="BE128" i="2" s="1"/>
  <c r="BE129" i="2" s="1"/>
  <c r="BE130" i="2" s="1"/>
  <c r="BE131" i="2" s="1"/>
  <c r="BE132" i="2" s="1"/>
  <c r="BE133" i="2" s="1"/>
  <c r="BE134" i="2" s="1"/>
  <c r="BE135" i="2" s="1"/>
  <c r="BE136" i="2" s="1"/>
  <c r="BE137" i="2" s="1"/>
  <c r="BE138" i="2" s="1"/>
  <c r="BE139" i="2" s="1"/>
  <c r="BE140" i="2" s="1"/>
  <c r="BE141" i="2" s="1"/>
  <c r="BG103" i="2"/>
  <c r="BG104" i="2" s="1"/>
  <c r="BG105" i="2" s="1"/>
  <c r="BG106" i="2" s="1"/>
  <c r="BG107" i="2" s="1"/>
  <c r="BG108" i="2" s="1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BG122" i="2" s="1"/>
  <c r="BG123" i="2" s="1"/>
  <c r="BG124" i="2" s="1"/>
  <c r="BG125" i="2" s="1"/>
  <c r="BG126" i="2" s="1"/>
  <c r="BG127" i="2" s="1"/>
  <c r="BG128" i="2" s="1"/>
  <c r="BG129" i="2" s="1"/>
  <c r="BG130" i="2" s="1"/>
  <c r="BG131" i="2" s="1"/>
  <c r="BG132" i="2" s="1"/>
  <c r="BG133" i="2" s="1"/>
  <c r="BG134" i="2" s="1"/>
  <c r="BG135" i="2" s="1"/>
  <c r="BG136" i="2" s="1"/>
  <c r="BG137" i="2" s="1"/>
  <c r="BG138" i="2" s="1"/>
  <c r="BG139" i="2" s="1"/>
  <c r="BG140" i="2" s="1"/>
  <c r="BG141" i="2" s="1"/>
  <c r="BI103" i="2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BI129" i="2" s="1"/>
  <c r="BI130" i="2" s="1"/>
  <c r="BI131" i="2" s="1"/>
  <c r="BI132" i="2" s="1"/>
  <c r="BI133" i="2" s="1"/>
  <c r="BI134" i="2" s="1"/>
  <c r="BI135" i="2" s="1"/>
  <c r="BI136" i="2" s="1"/>
  <c r="BI137" i="2" s="1"/>
  <c r="BI138" i="2" s="1"/>
  <c r="BI139" i="2" s="1"/>
  <c r="BI140" i="2" s="1"/>
  <c r="BI141" i="2" s="1"/>
  <c r="BK103" i="2"/>
  <c r="BK104" i="2" s="1"/>
  <c r="BK105" i="2" s="1"/>
  <c r="BK106" i="2" s="1"/>
  <c r="BK107" i="2" s="1"/>
  <c r="BK108" i="2" s="1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K122" i="2" s="1"/>
  <c r="BK123" i="2" s="1"/>
  <c r="BK124" i="2" s="1"/>
  <c r="BK125" i="2" s="1"/>
  <c r="BK126" i="2" s="1"/>
  <c r="BK127" i="2" s="1"/>
  <c r="BK128" i="2" s="1"/>
  <c r="BK129" i="2" s="1"/>
  <c r="BK130" i="2" s="1"/>
  <c r="BK131" i="2" s="1"/>
  <c r="BK132" i="2" s="1"/>
  <c r="BK133" i="2" s="1"/>
  <c r="BK134" i="2" s="1"/>
  <c r="BK135" i="2" s="1"/>
  <c r="BK136" i="2" s="1"/>
  <c r="BK137" i="2" s="1"/>
  <c r="BK138" i="2" s="1"/>
  <c r="BK139" i="2" s="1"/>
  <c r="BK140" i="2" s="1"/>
  <c r="BK141" i="2" s="1"/>
  <c r="BM103" i="2"/>
  <c r="BM104" i="2" s="1"/>
  <c r="BM105" i="2" s="1"/>
  <c r="BM106" i="2" s="1"/>
  <c r="BM107" i="2" s="1"/>
  <c r="BM108" i="2" s="1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M132" i="2" s="1"/>
  <c r="BM133" i="2" s="1"/>
  <c r="BM134" i="2" s="1"/>
  <c r="BM135" i="2" s="1"/>
  <c r="BM136" i="2" s="1"/>
  <c r="BM137" i="2" s="1"/>
  <c r="BM138" i="2" s="1"/>
  <c r="BM139" i="2" s="1"/>
  <c r="BM140" i="2" s="1"/>
  <c r="BM141" i="2" s="1"/>
  <c r="BO103" i="2"/>
  <c r="BO104" i="2" s="1"/>
  <c r="BO105" i="2" s="1"/>
  <c r="BO106" i="2" s="1"/>
  <c r="BO107" i="2" s="1"/>
  <c r="BO108" i="2" s="1"/>
  <c r="BO109" i="2" s="1"/>
  <c r="BO110" i="2" s="1"/>
  <c r="BO111" i="2" s="1"/>
  <c r="BO112" i="2" s="1"/>
  <c r="BO113" i="2" s="1"/>
  <c r="BO114" i="2" s="1"/>
  <c r="BO115" i="2" s="1"/>
  <c r="BO116" i="2" s="1"/>
  <c r="BO117" i="2" s="1"/>
  <c r="BO118" i="2" s="1"/>
  <c r="BO119" i="2" s="1"/>
  <c r="BO120" i="2" s="1"/>
  <c r="BO121" i="2" s="1"/>
  <c r="BO122" i="2" s="1"/>
  <c r="BO123" i="2" s="1"/>
  <c r="BO124" i="2" s="1"/>
  <c r="BO125" i="2" s="1"/>
  <c r="BO126" i="2" s="1"/>
  <c r="BO127" i="2" s="1"/>
  <c r="BO128" i="2" s="1"/>
  <c r="BO129" i="2" s="1"/>
  <c r="BO130" i="2" s="1"/>
  <c r="BO131" i="2" s="1"/>
  <c r="BO132" i="2" s="1"/>
  <c r="BO133" i="2" s="1"/>
  <c r="BO134" i="2" s="1"/>
  <c r="BO135" i="2" s="1"/>
  <c r="BO136" i="2" s="1"/>
  <c r="BO137" i="2" s="1"/>
  <c r="BO138" i="2" s="1"/>
  <c r="BO139" i="2" s="1"/>
  <c r="BO140" i="2" s="1"/>
  <c r="BO141" i="2" s="1"/>
  <c r="BQ103" i="2"/>
  <c r="BQ104" i="2" s="1"/>
  <c r="BQ105" i="2" s="1"/>
  <c r="BQ106" i="2" s="1"/>
  <c r="BQ107" i="2" s="1"/>
  <c r="BQ108" i="2" s="1"/>
  <c r="BQ109" i="2" s="1"/>
  <c r="BQ110" i="2" s="1"/>
  <c r="BQ111" i="2" s="1"/>
  <c r="BQ112" i="2" s="1"/>
  <c r="BQ113" i="2" s="1"/>
  <c r="BQ114" i="2" s="1"/>
  <c r="BQ115" i="2" s="1"/>
  <c r="BQ116" i="2" s="1"/>
  <c r="BQ117" i="2" s="1"/>
  <c r="BQ118" i="2" s="1"/>
  <c r="BQ119" i="2" s="1"/>
  <c r="BQ120" i="2" s="1"/>
  <c r="BQ121" i="2" s="1"/>
  <c r="BQ122" i="2" s="1"/>
  <c r="BQ123" i="2" s="1"/>
  <c r="BQ124" i="2" s="1"/>
  <c r="BQ125" i="2" s="1"/>
  <c r="BQ126" i="2" s="1"/>
  <c r="BQ127" i="2" s="1"/>
  <c r="BQ128" i="2" s="1"/>
  <c r="BQ129" i="2" s="1"/>
  <c r="BQ130" i="2" s="1"/>
  <c r="BQ131" i="2" s="1"/>
  <c r="BQ132" i="2" s="1"/>
  <c r="BQ133" i="2" s="1"/>
  <c r="BQ134" i="2" s="1"/>
  <c r="BQ135" i="2" s="1"/>
  <c r="BQ136" i="2" s="1"/>
  <c r="BQ137" i="2" s="1"/>
  <c r="BQ138" i="2" s="1"/>
  <c r="BQ139" i="2" s="1"/>
  <c r="BQ140" i="2" s="1"/>
  <c r="BQ141" i="2" s="1"/>
  <c r="BS103" i="2"/>
  <c r="BS104" i="2" s="1"/>
  <c r="BS105" i="2" s="1"/>
  <c r="BS106" i="2" s="1"/>
  <c r="BS107" i="2" s="1"/>
  <c r="BS108" i="2" s="1"/>
  <c r="BS109" i="2" s="1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S132" i="2" s="1"/>
  <c r="BS133" i="2" s="1"/>
  <c r="BS134" i="2" s="1"/>
  <c r="BS135" i="2" s="1"/>
  <c r="BS136" i="2" s="1"/>
  <c r="BS137" i="2" s="1"/>
  <c r="BS138" i="2" s="1"/>
  <c r="BS139" i="2" s="1"/>
  <c r="BS140" i="2" s="1"/>
  <c r="BS141" i="2" s="1"/>
  <c r="BU103" i="2"/>
  <c r="BU104" i="2" s="1"/>
  <c r="BU105" i="2" s="1"/>
  <c r="BU106" i="2" s="1"/>
  <c r="BU107" i="2" s="1"/>
  <c r="BU108" i="2" s="1"/>
  <c r="BU109" i="2" s="1"/>
  <c r="BU110" i="2" s="1"/>
  <c r="BU111" i="2" s="1"/>
  <c r="BU112" i="2" s="1"/>
  <c r="BU113" i="2" s="1"/>
  <c r="BU114" i="2" s="1"/>
  <c r="BU115" i="2" s="1"/>
  <c r="BU116" i="2" s="1"/>
  <c r="BU117" i="2" s="1"/>
  <c r="BU118" i="2" s="1"/>
  <c r="BU119" i="2" s="1"/>
  <c r="BU120" i="2" s="1"/>
  <c r="BU121" i="2" s="1"/>
  <c r="BU122" i="2" s="1"/>
  <c r="BU123" i="2" s="1"/>
  <c r="BU124" i="2" s="1"/>
  <c r="BU125" i="2" s="1"/>
  <c r="BU126" i="2" s="1"/>
  <c r="BU127" i="2" s="1"/>
  <c r="BU128" i="2" s="1"/>
  <c r="BU129" i="2" s="1"/>
  <c r="BU130" i="2" s="1"/>
  <c r="BU131" i="2" s="1"/>
  <c r="BU132" i="2" s="1"/>
  <c r="BU133" i="2" s="1"/>
  <c r="BU134" i="2" s="1"/>
  <c r="BU135" i="2" s="1"/>
  <c r="BU136" i="2" s="1"/>
  <c r="BU137" i="2" s="1"/>
  <c r="BU138" i="2" s="1"/>
  <c r="BU139" i="2" s="1"/>
  <c r="BU140" i="2" s="1"/>
  <c r="BU141" i="2" s="1"/>
  <c r="BW103" i="2"/>
  <c r="BW104" i="2" s="1"/>
  <c r="BW105" i="2" s="1"/>
  <c r="BW106" i="2" s="1"/>
  <c r="BW107" i="2" s="1"/>
  <c r="BW108" i="2" s="1"/>
  <c r="BW109" i="2" s="1"/>
  <c r="BW110" i="2" s="1"/>
  <c r="BW111" i="2" s="1"/>
  <c r="BW112" i="2" s="1"/>
  <c r="BW113" i="2" s="1"/>
  <c r="BW114" i="2" s="1"/>
  <c r="BW115" i="2" s="1"/>
  <c r="BW116" i="2" s="1"/>
  <c r="BW117" i="2" s="1"/>
  <c r="BW118" i="2" s="1"/>
  <c r="BW119" i="2" s="1"/>
  <c r="BW120" i="2" s="1"/>
  <c r="BW121" i="2" s="1"/>
  <c r="BW122" i="2" s="1"/>
  <c r="BW123" i="2" s="1"/>
  <c r="BW124" i="2" s="1"/>
  <c r="BW125" i="2" s="1"/>
  <c r="BW126" i="2" s="1"/>
  <c r="BW127" i="2" s="1"/>
  <c r="BW128" i="2" s="1"/>
  <c r="BW129" i="2" s="1"/>
  <c r="BW130" i="2" s="1"/>
  <c r="BW131" i="2" s="1"/>
  <c r="BW132" i="2" s="1"/>
  <c r="BW133" i="2" s="1"/>
  <c r="BW134" i="2" s="1"/>
  <c r="BW135" i="2" s="1"/>
  <c r="BW136" i="2" s="1"/>
  <c r="BW137" i="2" s="1"/>
  <c r="BW138" i="2" s="1"/>
  <c r="BW139" i="2" s="1"/>
  <c r="BW140" i="2" s="1"/>
  <c r="BW141" i="2" s="1"/>
  <c r="BY103" i="2"/>
  <c r="BY104" i="2" s="1"/>
  <c r="BY105" i="2" s="1"/>
  <c r="BY106" i="2" s="1"/>
  <c r="BY107" i="2" s="1"/>
  <c r="BY108" i="2" s="1"/>
  <c r="BY109" i="2" s="1"/>
  <c r="BY110" i="2" s="1"/>
  <c r="BY111" i="2" s="1"/>
  <c r="BY112" i="2" s="1"/>
  <c r="BY113" i="2" s="1"/>
  <c r="BY114" i="2" s="1"/>
  <c r="BY115" i="2" s="1"/>
  <c r="BY116" i="2" s="1"/>
  <c r="BY117" i="2" s="1"/>
  <c r="BY118" i="2" s="1"/>
  <c r="BY119" i="2" s="1"/>
  <c r="BY120" i="2" s="1"/>
  <c r="BY121" i="2" s="1"/>
  <c r="BY122" i="2" s="1"/>
  <c r="BY123" i="2" s="1"/>
  <c r="BY124" i="2" s="1"/>
  <c r="BY125" i="2" s="1"/>
  <c r="BY126" i="2" s="1"/>
  <c r="BY127" i="2" s="1"/>
  <c r="BY128" i="2" s="1"/>
  <c r="BY129" i="2" s="1"/>
  <c r="BY130" i="2" s="1"/>
  <c r="BY131" i="2" s="1"/>
  <c r="BY132" i="2" s="1"/>
  <c r="BY133" i="2" s="1"/>
  <c r="BY134" i="2" s="1"/>
  <c r="BY135" i="2" s="1"/>
  <c r="BY136" i="2" s="1"/>
  <c r="BY137" i="2" s="1"/>
  <c r="BY138" i="2" s="1"/>
  <c r="BY139" i="2" s="1"/>
  <c r="BY140" i="2" s="1"/>
  <c r="BY141" i="2" s="1"/>
  <c r="CA103" i="2"/>
  <c r="CA104" i="2" s="1"/>
  <c r="CA105" i="2" s="1"/>
  <c r="CA106" i="2" s="1"/>
  <c r="CA107" i="2" s="1"/>
  <c r="CA108" i="2" s="1"/>
  <c r="CA109" i="2" s="1"/>
  <c r="CA110" i="2" s="1"/>
  <c r="CA111" i="2" s="1"/>
  <c r="CA112" i="2" s="1"/>
  <c r="CA113" i="2" s="1"/>
  <c r="CA114" i="2" s="1"/>
  <c r="CA115" i="2" s="1"/>
  <c r="CA116" i="2" s="1"/>
  <c r="CA117" i="2" s="1"/>
  <c r="CA118" i="2" s="1"/>
  <c r="CA119" i="2" s="1"/>
  <c r="CA120" i="2" s="1"/>
  <c r="CA121" i="2" s="1"/>
  <c r="CA122" i="2" s="1"/>
  <c r="CA123" i="2" s="1"/>
  <c r="CA124" i="2" s="1"/>
  <c r="CA125" i="2" s="1"/>
  <c r="CA126" i="2" s="1"/>
  <c r="CA127" i="2" s="1"/>
  <c r="CA128" i="2" s="1"/>
  <c r="CA129" i="2" s="1"/>
  <c r="CA130" i="2" s="1"/>
  <c r="CA131" i="2" s="1"/>
  <c r="CA132" i="2" s="1"/>
  <c r="CA133" i="2" s="1"/>
  <c r="CA134" i="2" s="1"/>
  <c r="CA135" i="2" s="1"/>
  <c r="CA136" i="2" s="1"/>
  <c r="CA137" i="2" s="1"/>
  <c r="CA138" i="2" s="1"/>
  <c r="CA139" i="2" s="1"/>
  <c r="CA140" i="2" s="1"/>
  <c r="CA141" i="2" s="1"/>
  <c r="CC103" i="2"/>
  <c r="CC104" i="2" s="1"/>
  <c r="CC105" i="2" s="1"/>
  <c r="CC106" i="2" s="1"/>
  <c r="CC107" i="2" s="1"/>
  <c r="CC108" i="2" s="1"/>
  <c r="CC109" i="2" s="1"/>
  <c r="CC110" i="2" s="1"/>
  <c r="CC111" i="2" s="1"/>
  <c r="CC112" i="2" s="1"/>
  <c r="CC113" i="2" s="1"/>
  <c r="CC114" i="2" s="1"/>
  <c r="CC115" i="2" s="1"/>
  <c r="CC116" i="2" s="1"/>
  <c r="CC117" i="2" s="1"/>
  <c r="CC118" i="2" s="1"/>
  <c r="CC119" i="2" s="1"/>
  <c r="CC120" i="2" s="1"/>
  <c r="CC121" i="2" s="1"/>
  <c r="CC122" i="2" s="1"/>
  <c r="CC123" i="2" s="1"/>
  <c r="CC124" i="2" s="1"/>
  <c r="CC125" i="2" s="1"/>
  <c r="CC126" i="2" s="1"/>
  <c r="CC127" i="2" s="1"/>
  <c r="CC128" i="2" s="1"/>
  <c r="CC129" i="2" s="1"/>
  <c r="CC130" i="2" s="1"/>
  <c r="CC131" i="2" s="1"/>
  <c r="CC132" i="2" s="1"/>
  <c r="CC133" i="2" s="1"/>
  <c r="CC134" i="2" s="1"/>
  <c r="CC135" i="2" s="1"/>
  <c r="CC136" i="2" s="1"/>
  <c r="CC137" i="2" s="1"/>
  <c r="CC138" i="2" s="1"/>
  <c r="CC139" i="2" s="1"/>
  <c r="CC140" i="2" s="1"/>
  <c r="CC141" i="2" s="1"/>
  <c r="CE103" i="2"/>
  <c r="CE104" i="2" s="1"/>
  <c r="CE105" i="2" s="1"/>
  <c r="CE106" i="2" s="1"/>
  <c r="CE107" i="2" s="1"/>
  <c r="CE108" i="2" s="1"/>
  <c r="CE109" i="2" s="1"/>
  <c r="CE110" i="2" s="1"/>
  <c r="CE111" i="2" s="1"/>
  <c r="CE112" i="2" s="1"/>
  <c r="CE113" i="2" s="1"/>
  <c r="CE114" i="2" s="1"/>
  <c r="CE115" i="2" s="1"/>
  <c r="CE116" i="2" s="1"/>
  <c r="CE117" i="2" s="1"/>
  <c r="CE118" i="2" s="1"/>
  <c r="CE119" i="2" s="1"/>
  <c r="CE120" i="2" s="1"/>
  <c r="CE121" i="2" s="1"/>
  <c r="CE122" i="2" s="1"/>
  <c r="CE123" i="2" s="1"/>
  <c r="CE124" i="2" s="1"/>
  <c r="CE125" i="2" s="1"/>
  <c r="CE126" i="2" s="1"/>
  <c r="CE127" i="2" s="1"/>
  <c r="CE128" i="2" s="1"/>
  <c r="CE129" i="2" s="1"/>
  <c r="CE130" i="2" s="1"/>
  <c r="CE131" i="2" s="1"/>
  <c r="CE132" i="2" s="1"/>
  <c r="CE133" i="2" s="1"/>
  <c r="CE134" i="2" s="1"/>
  <c r="CE135" i="2" s="1"/>
  <c r="CE136" i="2" s="1"/>
  <c r="CE137" i="2" s="1"/>
  <c r="CE138" i="2" s="1"/>
  <c r="CE139" i="2" s="1"/>
  <c r="CE140" i="2" s="1"/>
  <c r="CE141" i="2" s="1"/>
  <c r="CG103" i="2"/>
  <c r="CG104" i="2" s="1"/>
  <c r="CG105" i="2" s="1"/>
  <c r="CG106" i="2" s="1"/>
  <c r="CG107" i="2" s="1"/>
  <c r="CG108" i="2" s="1"/>
  <c r="CG109" i="2" s="1"/>
  <c r="CG110" i="2" s="1"/>
  <c r="CG111" i="2" s="1"/>
  <c r="CG112" i="2" s="1"/>
  <c r="CG113" i="2" s="1"/>
  <c r="CG114" i="2" s="1"/>
  <c r="CG115" i="2" s="1"/>
  <c r="CG116" i="2" s="1"/>
  <c r="CG117" i="2" s="1"/>
  <c r="CG118" i="2" s="1"/>
  <c r="CG119" i="2" s="1"/>
  <c r="CG120" i="2" s="1"/>
  <c r="CG121" i="2" s="1"/>
  <c r="CG122" i="2" s="1"/>
  <c r="CG123" i="2" s="1"/>
  <c r="CG124" i="2" s="1"/>
  <c r="CG125" i="2" s="1"/>
  <c r="CG126" i="2" s="1"/>
  <c r="CG127" i="2" s="1"/>
  <c r="CG128" i="2" s="1"/>
  <c r="CG129" i="2" s="1"/>
  <c r="CG130" i="2" s="1"/>
  <c r="CG131" i="2" s="1"/>
  <c r="CG132" i="2" s="1"/>
  <c r="CG133" i="2" s="1"/>
  <c r="CG134" i="2" s="1"/>
  <c r="CG135" i="2" s="1"/>
  <c r="CG136" i="2" s="1"/>
  <c r="CG137" i="2" s="1"/>
  <c r="CG138" i="2" s="1"/>
  <c r="CG139" i="2" s="1"/>
  <c r="CG140" i="2" s="1"/>
  <c r="CG141" i="2" s="1"/>
  <c r="R103" i="2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AP103" i="2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P122" i="2" s="1"/>
  <c r="AP123" i="2" s="1"/>
  <c r="AP124" i="2" s="1"/>
  <c r="AP125" i="2" s="1"/>
  <c r="AP126" i="2" s="1"/>
  <c r="AP127" i="2" s="1"/>
  <c r="AP128" i="2" s="1"/>
  <c r="AP129" i="2" s="1"/>
  <c r="AP130" i="2" s="1"/>
  <c r="AP131" i="2" s="1"/>
  <c r="AP132" i="2" s="1"/>
  <c r="AP133" i="2" s="1"/>
  <c r="AP134" i="2" s="1"/>
  <c r="AP135" i="2" s="1"/>
  <c r="AP136" i="2" s="1"/>
  <c r="AP137" i="2" s="1"/>
  <c r="AP138" i="2" s="1"/>
  <c r="AP139" i="2" s="1"/>
  <c r="AP140" i="2" s="1"/>
  <c r="AP141" i="2" s="1"/>
  <c r="AX103" i="2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AX138" i="2" s="1"/>
  <c r="AX139" i="2" s="1"/>
  <c r="AX140" i="2" s="1"/>
  <c r="AX141" i="2" s="1"/>
  <c r="BB103" i="2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B122" i="2" s="1"/>
  <c r="BB123" i="2" s="1"/>
  <c r="BB124" i="2" s="1"/>
  <c r="BB125" i="2" s="1"/>
  <c r="BB126" i="2" s="1"/>
  <c r="BB127" i="2" s="1"/>
  <c r="BB128" i="2" s="1"/>
  <c r="BB129" i="2" s="1"/>
  <c r="BB130" i="2" s="1"/>
  <c r="BB131" i="2" s="1"/>
  <c r="BB132" i="2" s="1"/>
  <c r="BB133" i="2" s="1"/>
  <c r="BB134" i="2" s="1"/>
  <c r="BB135" i="2" s="1"/>
  <c r="BB136" i="2" s="1"/>
  <c r="BB137" i="2" s="1"/>
  <c r="BB138" i="2" s="1"/>
  <c r="BB139" i="2" s="1"/>
  <c r="BB140" i="2" s="1"/>
  <c r="BB141" i="2" s="1"/>
  <c r="BF103" i="2"/>
  <c r="BF104" i="2" s="1"/>
  <c r="BF105" i="2" s="1"/>
  <c r="BF106" i="2" s="1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F122" i="2" s="1"/>
  <c r="BF123" i="2" s="1"/>
  <c r="BF124" i="2" s="1"/>
  <c r="BF125" i="2" s="1"/>
  <c r="BF126" i="2" s="1"/>
  <c r="BF127" i="2" s="1"/>
  <c r="BF128" i="2" s="1"/>
  <c r="BF129" i="2" s="1"/>
  <c r="BF130" i="2" s="1"/>
  <c r="BF131" i="2" s="1"/>
  <c r="BF132" i="2" s="1"/>
  <c r="BF133" i="2" s="1"/>
  <c r="BF134" i="2" s="1"/>
  <c r="BF135" i="2" s="1"/>
  <c r="BF136" i="2" s="1"/>
  <c r="BF137" i="2" s="1"/>
  <c r="BF138" i="2" s="1"/>
  <c r="BF139" i="2" s="1"/>
  <c r="BF140" i="2" s="1"/>
  <c r="BF141" i="2" s="1"/>
  <c r="BJ103" i="2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J140" i="2" s="1"/>
  <c r="BJ141" i="2" s="1"/>
  <c r="BN103" i="2"/>
  <c r="BN104" i="2" s="1"/>
  <c r="BN105" i="2" s="1"/>
  <c r="BN106" i="2" s="1"/>
  <c r="BN107" i="2" s="1"/>
  <c r="BN108" i="2" s="1"/>
  <c r="BN109" i="2" s="1"/>
  <c r="BN110" i="2" s="1"/>
  <c r="BN111" i="2" s="1"/>
  <c r="BN112" i="2" s="1"/>
  <c r="BN113" i="2" s="1"/>
  <c r="BN114" i="2" s="1"/>
  <c r="BN115" i="2" s="1"/>
  <c r="BN116" i="2" s="1"/>
  <c r="BN117" i="2" s="1"/>
  <c r="BN118" i="2" s="1"/>
  <c r="BN119" i="2" s="1"/>
  <c r="BN120" i="2" s="1"/>
  <c r="BN121" i="2" s="1"/>
  <c r="BN122" i="2" s="1"/>
  <c r="BN123" i="2" s="1"/>
  <c r="BN124" i="2" s="1"/>
  <c r="BN125" i="2" s="1"/>
  <c r="BN126" i="2" s="1"/>
  <c r="BN127" i="2" s="1"/>
  <c r="BN128" i="2" s="1"/>
  <c r="BN129" i="2" s="1"/>
  <c r="BN130" i="2" s="1"/>
  <c r="BN131" i="2" s="1"/>
  <c r="BN132" i="2" s="1"/>
  <c r="BN133" i="2" s="1"/>
  <c r="BN134" i="2" s="1"/>
  <c r="BN135" i="2" s="1"/>
  <c r="BN136" i="2" s="1"/>
  <c r="BN137" i="2" s="1"/>
  <c r="BN138" i="2" s="1"/>
  <c r="BN139" i="2" s="1"/>
  <c r="BN140" i="2" s="1"/>
  <c r="BN141" i="2" s="1"/>
  <c r="BP103" i="2"/>
  <c r="BP104" i="2" s="1"/>
  <c r="BP105" i="2" s="1"/>
  <c r="BP106" i="2" s="1"/>
  <c r="BP107" i="2" s="1"/>
  <c r="BP108" i="2" s="1"/>
  <c r="BP109" i="2" s="1"/>
  <c r="BP110" i="2" s="1"/>
  <c r="BP111" i="2" s="1"/>
  <c r="BP112" i="2" s="1"/>
  <c r="BP113" i="2" s="1"/>
  <c r="BP114" i="2" s="1"/>
  <c r="BP115" i="2" s="1"/>
  <c r="BP116" i="2" s="1"/>
  <c r="BP117" i="2" s="1"/>
  <c r="BP118" i="2" s="1"/>
  <c r="BP119" i="2" s="1"/>
  <c r="BP120" i="2" s="1"/>
  <c r="BP121" i="2" s="1"/>
  <c r="BP122" i="2" s="1"/>
  <c r="BP123" i="2" s="1"/>
  <c r="BP124" i="2" s="1"/>
  <c r="BP125" i="2" s="1"/>
  <c r="BP126" i="2" s="1"/>
  <c r="BP127" i="2" s="1"/>
  <c r="BP128" i="2" s="1"/>
  <c r="BP129" i="2" s="1"/>
  <c r="BP130" i="2" s="1"/>
  <c r="BP131" i="2" s="1"/>
  <c r="BP132" i="2" s="1"/>
  <c r="BP133" i="2" s="1"/>
  <c r="BP134" i="2" s="1"/>
  <c r="BP135" i="2" s="1"/>
  <c r="BP136" i="2" s="1"/>
  <c r="BP137" i="2" s="1"/>
  <c r="BP138" i="2" s="1"/>
  <c r="BP139" i="2" s="1"/>
  <c r="BP140" i="2" s="1"/>
  <c r="BP141" i="2" s="1"/>
  <c r="BR103" i="2"/>
  <c r="BR104" i="2" s="1"/>
  <c r="BR105" i="2" s="1"/>
  <c r="BR106" i="2" s="1"/>
  <c r="BR107" i="2" s="1"/>
  <c r="BR108" i="2" s="1"/>
  <c r="BR109" i="2" s="1"/>
  <c r="BR110" i="2" s="1"/>
  <c r="BR111" i="2" s="1"/>
  <c r="BR112" i="2" s="1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R125" i="2" s="1"/>
  <c r="BR126" i="2" s="1"/>
  <c r="BR127" i="2" s="1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R138" i="2" s="1"/>
  <c r="BR139" i="2" s="1"/>
  <c r="BR140" i="2" s="1"/>
  <c r="BR141" i="2" s="1"/>
  <c r="BV103" i="2"/>
  <c r="BV104" i="2" s="1"/>
  <c r="BV105" i="2" s="1"/>
  <c r="BV106" i="2" s="1"/>
  <c r="BV107" i="2" s="1"/>
  <c r="BV108" i="2" s="1"/>
  <c r="BV109" i="2" s="1"/>
  <c r="BV110" i="2" s="1"/>
  <c r="BV111" i="2" s="1"/>
  <c r="BV112" i="2" s="1"/>
  <c r="BV113" i="2" s="1"/>
  <c r="BV114" i="2" s="1"/>
  <c r="BV115" i="2" s="1"/>
  <c r="BV116" i="2" s="1"/>
  <c r="BV117" i="2" s="1"/>
  <c r="BV118" i="2" s="1"/>
  <c r="BV119" i="2" s="1"/>
  <c r="BV120" i="2" s="1"/>
  <c r="BV121" i="2" s="1"/>
  <c r="BV122" i="2" s="1"/>
  <c r="BV123" i="2" s="1"/>
  <c r="BV124" i="2" s="1"/>
  <c r="BV125" i="2" s="1"/>
  <c r="BV126" i="2" s="1"/>
  <c r="BV127" i="2" s="1"/>
  <c r="BV128" i="2" s="1"/>
  <c r="BV129" i="2" s="1"/>
  <c r="BV130" i="2" s="1"/>
  <c r="BV131" i="2" s="1"/>
  <c r="BV132" i="2" s="1"/>
  <c r="BV133" i="2" s="1"/>
  <c r="BV134" i="2" s="1"/>
  <c r="BV135" i="2" s="1"/>
  <c r="BV136" i="2" s="1"/>
  <c r="BV137" i="2" s="1"/>
  <c r="BV138" i="2" s="1"/>
  <c r="BV139" i="2" s="1"/>
  <c r="BV140" i="2" s="1"/>
  <c r="BV141" i="2" s="1"/>
  <c r="BZ103" i="2"/>
  <c r="BZ104" i="2" s="1"/>
  <c r="BZ105" i="2" s="1"/>
  <c r="BZ106" i="2" s="1"/>
  <c r="BZ107" i="2" s="1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BZ119" i="2" s="1"/>
  <c r="BZ120" i="2" s="1"/>
  <c r="BZ121" i="2" s="1"/>
  <c r="BZ122" i="2" s="1"/>
  <c r="BZ123" i="2" s="1"/>
  <c r="BZ124" i="2" s="1"/>
  <c r="BZ125" i="2" s="1"/>
  <c r="BZ126" i="2" s="1"/>
  <c r="BZ127" i="2" s="1"/>
  <c r="BZ128" i="2" s="1"/>
  <c r="BZ129" i="2" s="1"/>
  <c r="BZ130" i="2" s="1"/>
  <c r="BZ131" i="2" s="1"/>
  <c r="BZ132" i="2" s="1"/>
  <c r="BZ133" i="2" s="1"/>
  <c r="BZ134" i="2" s="1"/>
  <c r="BZ135" i="2" s="1"/>
  <c r="BZ136" i="2" s="1"/>
  <c r="BZ137" i="2" s="1"/>
  <c r="BZ138" i="2" s="1"/>
  <c r="BZ139" i="2" s="1"/>
  <c r="BZ140" i="2" s="1"/>
  <c r="BZ141" i="2" s="1"/>
  <c r="CD103" i="2"/>
  <c r="CD104" i="2" s="1"/>
  <c r="CD105" i="2" s="1"/>
  <c r="CD106" i="2" s="1"/>
  <c r="CD107" i="2" s="1"/>
  <c r="CD108" i="2" s="1"/>
  <c r="CD109" i="2" s="1"/>
  <c r="CD110" i="2" s="1"/>
  <c r="CD111" i="2" s="1"/>
  <c r="CD112" i="2" s="1"/>
  <c r="CD113" i="2" s="1"/>
  <c r="CD114" i="2" s="1"/>
  <c r="CD115" i="2" s="1"/>
  <c r="CD116" i="2" s="1"/>
  <c r="CD117" i="2" s="1"/>
  <c r="CD118" i="2" s="1"/>
  <c r="CD119" i="2" s="1"/>
  <c r="CD120" i="2" s="1"/>
  <c r="CD121" i="2" s="1"/>
  <c r="CD122" i="2" s="1"/>
  <c r="CD123" i="2" s="1"/>
  <c r="CD124" i="2" s="1"/>
  <c r="CD125" i="2" s="1"/>
  <c r="CD126" i="2" s="1"/>
  <c r="CD127" i="2" s="1"/>
  <c r="CD128" i="2" s="1"/>
  <c r="CD129" i="2" s="1"/>
  <c r="CD130" i="2" s="1"/>
  <c r="CD131" i="2" s="1"/>
  <c r="CD132" i="2" s="1"/>
  <c r="CD133" i="2" s="1"/>
  <c r="CD134" i="2" s="1"/>
  <c r="CD135" i="2" s="1"/>
  <c r="CD136" i="2" s="1"/>
  <c r="CD137" i="2" s="1"/>
  <c r="CD138" i="2" s="1"/>
  <c r="CD139" i="2" s="1"/>
  <c r="CD140" i="2" s="1"/>
  <c r="CD141" i="2" s="1"/>
  <c r="CH103" i="2"/>
  <c r="CH104" i="2" s="1"/>
  <c r="CH105" i="2" s="1"/>
  <c r="CH106" i="2" s="1"/>
  <c r="CH107" i="2" s="1"/>
  <c r="CH108" i="2" s="1"/>
  <c r="CH109" i="2" s="1"/>
  <c r="CH110" i="2" s="1"/>
  <c r="CH111" i="2" s="1"/>
  <c r="CH112" i="2" s="1"/>
  <c r="CH113" i="2" s="1"/>
  <c r="CH114" i="2" s="1"/>
  <c r="CH115" i="2" s="1"/>
  <c r="CH116" i="2" s="1"/>
  <c r="CH117" i="2" s="1"/>
  <c r="CH118" i="2" s="1"/>
  <c r="CH119" i="2" s="1"/>
  <c r="CH120" i="2" s="1"/>
  <c r="CH121" i="2" s="1"/>
  <c r="CH122" i="2" s="1"/>
  <c r="CH123" i="2" s="1"/>
  <c r="CH124" i="2" s="1"/>
  <c r="CH125" i="2" s="1"/>
  <c r="CH126" i="2" s="1"/>
  <c r="CH127" i="2" s="1"/>
  <c r="CH128" i="2" s="1"/>
  <c r="CH129" i="2" s="1"/>
  <c r="CH130" i="2" s="1"/>
  <c r="CH131" i="2" s="1"/>
  <c r="CH132" i="2" s="1"/>
  <c r="CH133" i="2" s="1"/>
  <c r="CH134" i="2" s="1"/>
  <c r="CH135" i="2" s="1"/>
  <c r="CH136" i="2" s="1"/>
  <c r="CH137" i="2" s="1"/>
  <c r="CH138" i="2" s="1"/>
  <c r="CH139" i="2" s="1"/>
  <c r="CH140" i="2" s="1"/>
  <c r="CH141" i="2" s="1"/>
  <c r="H55" i="2"/>
  <c r="L55" i="2"/>
  <c r="P55" i="2"/>
  <c r="T55" i="2"/>
  <c r="X55" i="2"/>
  <c r="AB55" i="2"/>
  <c r="AF55" i="2"/>
  <c r="AJ55" i="2"/>
  <c r="AN55" i="2"/>
  <c r="AR55" i="2"/>
  <c r="AV55" i="2"/>
  <c r="AZ55" i="2"/>
  <c r="BD55" i="2"/>
  <c r="BH55" i="2"/>
  <c r="BL55" i="2"/>
  <c r="BP55" i="2"/>
  <c r="BT55" i="2"/>
  <c r="BX55" i="2"/>
  <c r="CB55" i="2"/>
  <c r="CF55" i="2"/>
  <c r="CE58" i="2" l="1"/>
  <c r="CA58" i="2"/>
  <c r="BW58" i="2"/>
  <c r="BS58" i="2"/>
  <c r="BO58" i="2"/>
  <c r="BK58" i="2"/>
  <c r="BG58" i="2"/>
  <c r="BC58" i="2"/>
  <c r="AY58" i="2"/>
  <c r="AU58" i="2"/>
  <c r="AQ58" i="2"/>
  <c r="AM58" i="2"/>
  <c r="AI58" i="2"/>
  <c r="AE58" i="2"/>
  <c r="K58" i="2"/>
  <c r="S58" i="2"/>
  <c r="AA58" i="2"/>
  <c r="W58" i="2"/>
  <c r="O58" i="2"/>
  <c r="E55" i="2"/>
  <c r="G143" i="2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I61" i="2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J61" i="2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G61" i="2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H61" i="2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G59" i="2" l="1"/>
  <c r="G58" i="2" l="1"/>
  <c r="R33" i="1"/>
  <c r="F21" i="2"/>
  <c r="E21" i="2"/>
  <c r="R16" i="1" s="1"/>
  <c r="D21" i="2"/>
  <c r="F24" i="2"/>
  <c r="E24" i="2"/>
  <c r="R19" i="1" s="1"/>
  <c r="D24" i="2"/>
  <c r="F10" i="2"/>
  <c r="E10" i="2"/>
  <c r="D10" i="2"/>
  <c r="R7" i="1"/>
  <c r="D49" i="2"/>
  <c r="D26" i="2"/>
  <c r="D23" i="2"/>
  <c r="D22" i="2"/>
  <c r="D30" i="2"/>
  <c r="D32" i="2"/>
  <c r="B50" i="2"/>
  <c r="F26" i="2" l="1"/>
  <c r="E26" i="2"/>
  <c r="R21" i="1" s="1"/>
  <c r="R9" i="1"/>
  <c r="R30" i="1"/>
  <c r="R32" i="1"/>
  <c r="F23" i="2"/>
  <c r="E23" i="2"/>
  <c r="R18" i="1" s="1"/>
  <c r="R26" i="1"/>
  <c r="F22" i="2"/>
  <c r="E22" i="2"/>
  <c r="R17" i="1" s="1"/>
  <c r="F30" i="2"/>
  <c r="E30" i="2"/>
  <c r="R25" i="1" s="1"/>
  <c r="R6" i="1"/>
  <c r="F32" i="2"/>
  <c r="E32" i="2"/>
  <c r="R27" i="1" s="1"/>
  <c r="R14" i="1"/>
  <c r="R8" i="1"/>
  <c r="F49" i="2"/>
  <c r="E49" i="2"/>
  <c r="R44" i="1" s="1"/>
  <c r="F50" i="2" l="1"/>
  <c r="E50" i="2"/>
  <c r="D50" i="2"/>
  <c r="D50" i="1" s="1"/>
  <c r="E5" i="2"/>
  <c r="E6" i="2"/>
  <c r="F6" i="2" l="1"/>
  <c r="F5" i="2"/>
  <c r="C5" i="1" l="1"/>
  <c r="B5" i="1"/>
  <c r="A5" i="1"/>
  <c r="R5" i="1" l="1"/>
  <c r="N52" i="1"/>
  <c r="H52" i="1"/>
  <c r="M52" i="1"/>
  <c r="J52" i="1"/>
  <c r="G52" i="1"/>
  <c r="D52" i="1"/>
  <c r="K52" i="1"/>
  <c r="E52" i="1"/>
  <c r="K46" i="1"/>
  <c r="H46" i="1"/>
  <c r="E46" i="1" l="1"/>
  <c r="D48" i="1"/>
  <c r="M48" i="1"/>
  <c r="J48" i="1"/>
  <c r="E50" i="1" l="1"/>
  <c r="G48" i="1"/>
  <c r="D49" i="1" s="1"/>
  <c r="E49" i="1" s="1"/>
</calcChain>
</file>

<file path=xl/sharedStrings.xml><?xml version="1.0" encoding="utf-8"?>
<sst xmlns="http://schemas.openxmlformats.org/spreadsheetml/2006/main" count="493" uniqueCount="106">
  <si>
    <t>League</t>
  </si>
  <si>
    <t>Flags</t>
  </si>
  <si>
    <t>Friendly</t>
  </si>
  <si>
    <t>No.</t>
  </si>
  <si>
    <t>Name</t>
  </si>
  <si>
    <t>Position</t>
  </si>
  <si>
    <t>Apps</t>
  </si>
  <si>
    <t>Goals</t>
  </si>
  <si>
    <t>Avg</t>
  </si>
  <si>
    <t>Mike Barrett</t>
  </si>
  <si>
    <t>Midfield/FO</t>
  </si>
  <si>
    <t>Defence</t>
  </si>
  <si>
    <t>Attack</t>
  </si>
  <si>
    <t>Dave Copple</t>
  </si>
  <si>
    <t>Matt Payne</t>
  </si>
  <si>
    <t>Midfield</t>
  </si>
  <si>
    <t>Andy Fernando</t>
  </si>
  <si>
    <t>Dave Hudson</t>
  </si>
  <si>
    <t>LSM/Defence</t>
  </si>
  <si>
    <t>Justin Baranowski</t>
  </si>
  <si>
    <t>Dave Slaughter</t>
  </si>
  <si>
    <t>Total</t>
  </si>
  <si>
    <t>This</t>
  </si>
  <si>
    <t>Sum league/fl</t>
  </si>
  <si>
    <t>Stats</t>
  </si>
  <si>
    <t>A.N.Other</t>
  </si>
  <si>
    <t xml:space="preserve"> </t>
  </si>
  <si>
    <t>fudge</t>
  </si>
  <si>
    <t>fudge-flags</t>
  </si>
  <si>
    <t>Date</t>
  </si>
  <si>
    <t>Team</t>
  </si>
  <si>
    <t>Venue</t>
  </si>
  <si>
    <t>Competition</t>
  </si>
  <si>
    <t>For</t>
  </si>
  <si>
    <t>Against</t>
  </si>
  <si>
    <t>Played</t>
  </si>
  <si>
    <t>Team size</t>
  </si>
  <si>
    <t>Sam Baranowski</t>
  </si>
  <si>
    <t>Diff</t>
  </si>
  <si>
    <t>G</t>
  </si>
  <si>
    <t>Away</t>
  </si>
  <si>
    <t>A</t>
  </si>
  <si>
    <t>P</t>
  </si>
  <si>
    <t>Prem</t>
  </si>
  <si>
    <t>Assts</t>
  </si>
  <si>
    <t>Tom Hatton</t>
  </si>
  <si>
    <t>Referee</t>
  </si>
  <si>
    <t>R</t>
  </si>
  <si>
    <t>Andy Booth</t>
  </si>
  <si>
    <t>END</t>
  </si>
  <si>
    <t>Team list:</t>
  </si>
  <si>
    <t>Work area:</t>
  </si>
  <si>
    <t>Ref:</t>
  </si>
  <si>
    <t>Games</t>
  </si>
  <si>
    <t>Quarters</t>
  </si>
  <si>
    <t>Referees:</t>
  </si>
  <si>
    <t>Columns: Position (GDMA), Goals, Assists, Referee-quarters</t>
  </si>
  <si>
    <t>Non-team ref(s):</t>
  </si>
  <si>
    <t>Ben Colville</t>
  </si>
  <si>
    <t>Chase Stuart</t>
  </si>
  <si>
    <t>Rob Clark</t>
  </si>
  <si>
    <t>Mylo Johnstone</t>
  </si>
  <si>
    <t>Luke Johnstone</t>
  </si>
  <si>
    <t>Kaspars 'Stripes' Veips</t>
  </si>
  <si>
    <t>Croydon</t>
  </si>
  <si>
    <t>Blues</t>
  </si>
  <si>
    <t>Hillcroft</t>
  </si>
  <si>
    <t>Hampstead</t>
  </si>
  <si>
    <t>Reading</t>
  </si>
  <si>
    <t>Spencer</t>
  </si>
  <si>
    <t>Hitchin</t>
  </si>
  <si>
    <t>Bristol</t>
  </si>
  <si>
    <t>EG</t>
  </si>
  <si>
    <t>Home</t>
  </si>
  <si>
    <t>Cardiff</t>
  </si>
  <si>
    <t>Rob Collinge, Henry Collinge</t>
  </si>
  <si>
    <t>D</t>
  </si>
  <si>
    <t>Felix Bull</t>
  </si>
  <si>
    <t>Elliot Fry</t>
  </si>
  <si>
    <t>Alex Griffiths</t>
  </si>
  <si>
    <t>Jussi Grut</t>
  </si>
  <si>
    <t>James Keal</t>
  </si>
  <si>
    <t>Dara McCreary</t>
  </si>
  <si>
    <t>Dan Murphy</t>
  </si>
  <si>
    <t>Goal</t>
  </si>
  <si>
    <t>00</t>
  </si>
  <si>
    <t>Darren Novell</t>
  </si>
  <si>
    <t>Matt Porter</t>
  </si>
  <si>
    <t>Eliot Wilde</t>
  </si>
  <si>
    <t>M</t>
  </si>
  <si>
    <t>Own Goal</t>
  </si>
  <si>
    <t>Simon Peach</t>
  </si>
  <si>
    <t>Buckers, Trevor Rogers</t>
  </si>
  <si>
    <t>Dave Baldwin</t>
  </si>
  <si>
    <t>Eliot Pugh</t>
  </si>
  <si>
    <t>Miles Whittle</t>
  </si>
  <si>
    <t>Hugh Mitchison</t>
  </si>
  <si>
    <t>Debbie Field</t>
  </si>
  <si>
    <t>Dan</t>
  </si>
  <si>
    <t>Jimmy</t>
  </si>
  <si>
    <t>Phil</t>
  </si>
  <si>
    <t>Jeremy Lee</t>
  </si>
  <si>
    <t>??Hillcroft Guy</t>
  </si>
  <si>
    <t>Ray Harry</t>
  </si>
  <si>
    <t>Gregg Urwin+Spencer</t>
  </si>
  <si>
    <t>James Kellam+EG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</si>
</sst>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"/>
    <numFmt numFmtId="165" formatCode="dd/mm/yy;@"/>
  </numFmts>
  <fonts count="8" x14ac:knownFonts="1">
    <font>
      <sz val="10"/>
      <name val="Tahoma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Lucida Sans Unicode"/>
      <family val="2"/>
    </font>
    <font>
      <sz val="8"/>
      <name val="Tahom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1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Font="1"/>
    <xf numFmtId="0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0" fontId="3" fillId="0" borderId="0" xfId="0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/>
    <xf numFmtId="0" fontId="3" fillId="0" borderId="0" xfId="0" applyNumberFormat="1" applyFont="1"/>
    <xf numFmtId="0" fontId="3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6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 applyBorder="1"/>
    <xf numFmtId="0" fontId="7" fillId="0" borderId="0" xfId="0" applyNumberFormat="1" applyFont="1" applyBorder="1"/>
    <xf numFmtId="0" fontId="3" fillId="0" borderId="0" xfId="0" applyNumberFormat="1" applyFont="1" applyBorder="1" applyAlignment="1">
      <alignment wrapText="1"/>
    </xf>
    <xf numFmtId="0" fontId="4" fillId="0" borderId="0" xfId="0" applyFont="1" applyAlignment="1"/>
    <xf numFmtId="2" fontId="1" fillId="0" borderId="0" xfId="0" applyNumberFormat="1" applyFont="1"/>
    <xf numFmtId="0" fontId="0" fillId="0" borderId="0" xfId="0" applyFont="1" applyBorder="1"/>
    <xf numFmtId="0" fontId="3" fillId="0" borderId="0" xfId="0" quotePrefix="1" applyFont="1" applyAlignment="1">
      <alignment wrapText="1"/>
    </xf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7" fillId="0" borderId="2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P183"/>
  <sheetViews>
    <sheetView tabSelected="1" zoomScaleNormal="100" workbookViewId="0">
      <pane xSplit="2" ySplit="2" topLeftCell="C10" activePane="bottomRight" state="frozen"/>
      <selection pane="topRight" activeCell="C1" sqref="C1"/>
      <selection pane="bottomLeft" activeCell="A3" sqref="A3"/>
      <selection pane="bottomRight" activeCell="A36" sqref="A36"/>
    </sheetView>
  </sheetViews>
  <sheetFormatPr defaultColWidth="11.7109375" defaultRowHeight="12.75" x14ac:dyDescent="0.2"/>
  <cols>
    <col min="1" max="1" width="4.7109375" style="8" customWidth="1"/>
    <col min="2" max="3" width="25.5703125" style="8" customWidth="1"/>
    <col min="4" max="4" width="6.140625" style="8" customWidth="1"/>
    <col min="5" max="5" width="6.28515625" style="8" customWidth="1"/>
    <col min="6" max="6" width="7" style="9" bestFit="1" customWidth="1"/>
    <col min="7" max="93" width="2.7109375" style="8" customWidth="1"/>
    <col min="94" max="94" width="3.28515625" style="8" customWidth="1"/>
    <col min="95" max="16384" width="11.7109375" style="8"/>
  </cols>
  <sheetData>
    <row r="1" spans="1:94" x14ac:dyDescent="0.2">
      <c r="A1" s="10"/>
      <c r="B1" s="2" t="s">
        <v>29</v>
      </c>
      <c r="C1" s="10"/>
      <c r="F1" s="23"/>
      <c r="G1" s="15">
        <v>42259</v>
      </c>
      <c r="H1" s="15"/>
      <c r="I1" s="15"/>
      <c r="J1" s="18"/>
      <c r="K1" s="15">
        <v>42266</v>
      </c>
      <c r="L1" s="15"/>
      <c r="M1" s="15"/>
      <c r="N1" s="18"/>
      <c r="O1" s="15">
        <v>42287</v>
      </c>
      <c r="P1" s="15"/>
      <c r="Q1" s="15"/>
      <c r="R1" s="18"/>
      <c r="S1" s="15">
        <v>42294</v>
      </c>
      <c r="T1" s="15"/>
      <c r="U1" s="15"/>
      <c r="V1" s="18"/>
      <c r="W1" s="15">
        <v>42301</v>
      </c>
      <c r="X1" s="15"/>
      <c r="Y1" s="15"/>
      <c r="Z1" s="18"/>
      <c r="AA1" s="15">
        <v>42308</v>
      </c>
      <c r="AB1" s="15"/>
      <c r="AC1" s="15"/>
      <c r="AD1" s="18"/>
      <c r="AE1" s="15">
        <v>42315</v>
      </c>
      <c r="AF1" s="15"/>
      <c r="AG1" s="15"/>
      <c r="AH1" s="18"/>
      <c r="AI1" s="15">
        <v>42322</v>
      </c>
      <c r="AJ1" s="15"/>
      <c r="AK1" s="15"/>
      <c r="AL1" s="18"/>
      <c r="AM1" s="15">
        <v>42329</v>
      </c>
      <c r="AN1" s="15"/>
      <c r="AO1" s="15"/>
      <c r="AP1" s="18"/>
      <c r="AQ1" s="15">
        <v>42336</v>
      </c>
      <c r="AR1" s="15"/>
      <c r="AS1" s="15"/>
      <c r="AT1" s="18"/>
      <c r="AU1" s="15">
        <v>42343</v>
      </c>
      <c r="AV1" s="15"/>
      <c r="AW1" s="15"/>
      <c r="AX1" s="18"/>
      <c r="AY1" s="15">
        <v>42350</v>
      </c>
      <c r="AZ1" s="15"/>
      <c r="BA1" s="15"/>
      <c r="BB1" s="18"/>
      <c r="BC1" s="15">
        <v>42378</v>
      </c>
      <c r="BD1" s="15"/>
      <c r="BE1" s="15"/>
      <c r="BF1" s="18"/>
      <c r="BG1" s="15">
        <v>42385</v>
      </c>
      <c r="BH1" s="15"/>
      <c r="BI1" s="15"/>
      <c r="BJ1" s="18"/>
      <c r="BK1" s="15">
        <v>42392</v>
      </c>
      <c r="BL1" s="15"/>
      <c r="BM1" s="15"/>
      <c r="BN1" s="18"/>
      <c r="BO1" s="15">
        <v>42406</v>
      </c>
      <c r="BP1" s="15"/>
      <c r="BQ1" s="15"/>
      <c r="BR1" s="18"/>
      <c r="BS1" s="15">
        <v>42413</v>
      </c>
      <c r="BT1" s="15"/>
      <c r="BU1" s="15"/>
      <c r="BV1" s="18"/>
      <c r="BW1" s="15">
        <v>42420</v>
      </c>
      <c r="BX1" s="15"/>
      <c r="BY1" s="15"/>
      <c r="BZ1" s="18"/>
      <c r="CA1" s="15">
        <v>42441</v>
      </c>
      <c r="CB1" s="15"/>
      <c r="CC1" s="15"/>
      <c r="CD1" s="18"/>
      <c r="CE1" s="15">
        <v>42448</v>
      </c>
      <c r="CF1" s="15"/>
      <c r="CG1" s="16"/>
      <c r="CH1" s="18"/>
      <c r="CI1" s="15">
        <v>42462</v>
      </c>
      <c r="CJ1" s="15"/>
      <c r="CK1" s="16"/>
      <c r="CL1" s="18"/>
    </row>
    <row r="2" spans="1:94" x14ac:dyDescent="0.2">
      <c r="A2" s="10"/>
      <c r="B2" s="2" t="s">
        <v>30</v>
      </c>
      <c r="C2" s="10"/>
      <c r="F2" s="23"/>
      <c r="G2" s="17" t="s">
        <v>64</v>
      </c>
      <c r="H2" s="17"/>
      <c r="I2" s="17"/>
      <c r="J2" s="19"/>
      <c r="K2" s="17" t="s">
        <v>65</v>
      </c>
      <c r="L2" s="17"/>
      <c r="M2" s="17"/>
      <c r="N2" s="19"/>
      <c r="O2" s="17" t="s">
        <v>74</v>
      </c>
      <c r="P2" s="17"/>
      <c r="Q2" s="17"/>
      <c r="R2" s="19"/>
      <c r="S2" s="17" t="s">
        <v>66</v>
      </c>
      <c r="T2" s="17"/>
      <c r="U2" s="17"/>
      <c r="V2" s="19"/>
      <c r="W2" s="17" t="s">
        <v>65</v>
      </c>
      <c r="X2" s="17"/>
      <c r="Y2" s="17"/>
      <c r="Z2" s="19"/>
      <c r="AA2" s="17" t="s">
        <v>67</v>
      </c>
      <c r="AB2" s="17"/>
      <c r="AC2" s="17"/>
      <c r="AD2" s="19"/>
      <c r="AE2" s="17" t="s">
        <v>68</v>
      </c>
      <c r="AF2" s="17"/>
      <c r="AG2" s="17"/>
      <c r="AH2" s="19"/>
      <c r="AI2" s="17" t="s">
        <v>69</v>
      </c>
      <c r="AJ2" s="17"/>
      <c r="AK2" s="17"/>
      <c r="AL2" s="19"/>
      <c r="AM2" s="17" t="s">
        <v>69</v>
      </c>
      <c r="AN2" s="17"/>
      <c r="AO2" s="17"/>
      <c r="AP2" s="19"/>
      <c r="AQ2" s="17" t="s">
        <v>70</v>
      </c>
      <c r="AR2" s="17"/>
      <c r="AS2" s="17"/>
      <c r="AT2" s="19"/>
      <c r="AU2" s="17" t="s">
        <v>71</v>
      </c>
      <c r="AV2" s="17"/>
      <c r="AW2" s="17"/>
      <c r="AX2" s="19"/>
      <c r="AY2" s="17" t="s">
        <v>72</v>
      </c>
      <c r="AZ2" s="17"/>
      <c r="BA2" s="17"/>
      <c r="BB2" s="19"/>
      <c r="BC2" s="17" t="s">
        <v>74</v>
      </c>
      <c r="BD2" s="17"/>
      <c r="BE2" s="17"/>
      <c r="BF2" s="19"/>
      <c r="BG2" s="17" t="s">
        <v>66</v>
      </c>
      <c r="BH2" s="17"/>
      <c r="BI2" s="17"/>
      <c r="BJ2" s="19"/>
      <c r="BK2" s="17" t="s">
        <v>65</v>
      </c>
      <c r="BL2" s="17"/>
      <c r="BM2" s="17"/>
      <c r="BN2" s="19"/>
      <c r="BO2" s="17" t="s">
        <v>67</v>
      </c>
      <c r="BP2" s="17"/>
      <c r="BQ2" s="17"/>
      <c r="BR2" s="19"/>
      <c r="BS2" s="17" t="s">
        <v>68</v>
      </c>
      <c r="BT2" s="17"/>
      <c r="BU2" s="17"/>
      <c r="BV2" s="19"/>
      <c r="BW2" s="17" t="s">
        <v>69</v>
      </c>
      <c r="BX2" s="17"/>
      <c r="BY2" s="17"/>
      <c r="BZ2" s="19"/>
      <c r="CA2" s="17" t="s">
        <v>70</v>
      </c>
      <c r="CB2" s="17"/>
      <c r="CC2" s="17"/>
      <c r="CD2" s="19"/>
      <c r="CE2" s="17" t="s">
        <v>72</v>
      </c>
      <c r="CF2" s="17"/>
      <c r="CG2" s="14"/>
      <c r="CH2" s="19"/>
      <c r="CI2" s="17" t="s">
        <v>71</v>
      </c>
      <c r="CJ2" s="17"/>
      <c r="CK2" s="14"/>
      <c r="CL2" s="19"/>
    </row>
    <row r="3" spans="1:94" x14ac:dyDescent="0.2">
      <c r="A3" s="10"/>
      <c r="B3" s="2" t="s">
        <v>31</v>
      </c>
      <c r="C3" s="10"/>
      <c r="F3" s="24" t="s">
        <v>8</v>
      </c>
      <c r="G3" s="17" t="s">
        <v>73</v>
      </c>
      <c r="H3" s="17"/>
      <c r="I3" s="17"/>
      <c r="J3" s="19"/>
      <c r="K3" s="17" t="s">
        <v>40</v>
      </c>
      <c r="L3" s="17"/>
      <c r="M3" s="17"/>
      <c r="N3" s="19"/>
      <c r="O3" s="17" t="s">
        <v>73</v>
      </c>
      <c r="P3" s="17"/>
      <c r="Q3" s="17"/>
      <c r="R3" s="19"/>
      <c r="S3" s="17" t="s">
        <v>40</v>
      </c>
      <c r="T3" s="17"/>
      <c r="U3" s="17"/>
      <c r="V3" s="19"/>
      <c r="W3" s="17" t="s">
        <v>73</v>
      </c>
      <c r="X3" s="17"/>
      <c r="Y3" s="17"/>
      <c r="Z3" s="19"/>
      <c r="AA3" s="17" t="s">
        <v>73</v>
      </c>
      <c r="AB3" s="17"/>
      <c r="AC3" s="17"/>
      <c r="AD3" s="19"/>
      <c r="AE3" s="17" t="s">
        <v>40</v>
      </c>
      <c r="AF3" s="17"/>
      <c r="AG3" s="17"/>
      <c r="AH3" s="19"/>
      <c r="AI3" s="17" t="s">
        <v>40</v>
      </c>
      <c r="AJ3" s="17"/>
      <c r="AK3" s="17"/>
      <c r="AL3" s="19"/>
      <c r="AM3" s="17" t="s">
        <v>73</v>
      </c>
      <c r="AN3" s="17"/>
      <c r="AO3" s="17"/>
      <c r="AP3" s="19"/>
      <c r="AQ3" s="17" t="s">
        <v>40</v>
      </c>
      <c r="AR3" s="17"/>
      <c r="AS3" s="17"/>
      <c r="AT3" s="19"/>
      <c r="AU3" s="17" t="s">
        <v>40</v>
      </c>
      <c r="AV3" s="17"/>
      <c r="AW3" s="17"/>
      <c r="AX3" s="19"/>
      <c r="AY3" s="17" t="s">
        <v>73</v>
      </c>
      <c r="AZ3" s="17"/>
      <c r="BA3" s="17"/>
      <c r="BB3" s="19"/>
      <c r="BC3" s="17" t="s">
        <v>40</v>
      </c>
      <c r="BD3" s="17"/>
      <c r="BE3" s="17"/>
      <c r="BF3" s="19"/>
      <c r="BG3" s="17" t="s">
        <v>73</v>
      </c>
      <c r="BH3" s="17"/>
      <c r="BI3" s="17"/>
      <c r="BJ3" s="19"/>
      <c r="BK3" s="17" t="s">
        <v>40</v>
      </c>
      <c r="BL3" s="17"/>
      <c r="BM3" s="17"/>
      <c r="BN3" s="19"/>
      <c r="BO3" s="17" t="s">
        <v>40</v>
      </c>
      <c r="BP3" s="17"/>
      <c r="BQ3" s="17"/>
      <c r="BR3" s="19"/>
      <c r="BS3" s="17" t="s">
        <v>73</v>
      </c>
      <c r="BT3" s="17"/>
      <c r="BU3" s="17"/>
      <c r="BV3" s="19"/>
      <c r="BW3" s="17" t="s">
        <v>40</v>
      </c>
      <c r="BX3" s="17"/>
      <c r="BY3" s="17"/>
      <c r="BZ3" s="19"/>
      <c r="CA3" s="17" t="s">
        <v>73</v>
      </c>
      <c r="CB3" s="17"/>
      <c r="CC3" s="17"/>
      <c r="CD3" s="19"/>
      <c r="CE3" s="17" t="s">
        <v>40</v>
      </c>
      <c r="CF3" s="17"/>
      <c r="CG3" s="14"/>
      <c r="CH3" s="19"/>
      <c r="CI3" s="17" t="s">
        <v>73</v>
      </c>
      <c r="CJ3" s="17"/>
      <c r="CK3" s="14"/>
      <c r="CL3" s="19"/>
    </row>
    <row r="4" spans="1:94" x14ac:dyDescent="0.2">
      <c r="A4" s="10"/>
      <c r="B4" s="2" t="s">
        <v>32</v>
      </c>
      <c r="C4" s="10"/>
      <c r="F4" s="24"/>
      <c r="G4" s="17" t="s">
        <v>2</v>
      </c>
      <c r="H4" s="17"/>
      <c r="I4" s="17"/>
      <c r="J4" s="19"/>
      <c r="K4" s="17" t="s">
        <v>2</v>
      </c>
      <c r="L4" s="17"/>
      <c r="M4" s="17"/>
      <c r="N4" s="19"/>
      <c r="O4" s="17" t="s">
        <v>43</v>
      </c>
      <c r="P4" s="17"/>
      <c r="Q4" s="17"/>
      <c r="R4" s="19"/>
      <c r="S4" s="17" t="s">
        <v>43</v>
      </c>
      <c r="T4" s="17"/>
      <c r="U4" s="17"/>
      <c r="V4" s="19"/>
      <c r="W4" s="17" t="s">
        <v>43</v>
      </c>
      <c r="X4" s="17"/>
      <c r="Y4" s="17"/>
      <c r="Z4" s="19"/>
      <c r="AA4" s="17" t="s">
        <v>43</v>
      </c>
      <c r="AB4" s="17"/>
      <c r="AC4" s="17"/>
      <c r="AD4" s="19"/>
      <c r="AE4" s="17" t="s">
        <v>43</v>
      </c>
      <c r="AF4" s="17"/>
      <c r="AG4" s="17"/>
      <c r="AH4" s="19"/>
      <c r="AI4" s="17" t="s">
        <v>1</v>
      </c>
      <c r="AJ4" s="17"/>
      <c r="AK4" s="17"/>
      <c r="AL4" s="19"/>
      <c r="AM4" s="17" t="s">
        <v>43</v>
      </c>
      <c r="AN4" s="17"/>
      <c r="AO4" s="17"/>
      <c r="AP4" s="19"/>
      <c r="AQ4" s="17" t="s">
        <v>43</v>
      </c>
      <c r="AR4" s="17"/>
      <c r="AS4" s="17"/>
      <c r="AT4" s="19"/>
      <c r="AU4" s="17" t="s">
        <v>43</v>
      </c>
      <c r="AV4" s="17"/>
      <c r="AW4" s="17"/>
      <c r="AX4" s="19"/>
      <c r="AY4" s="17" t="s">
        <v>43</v>
      </c>
      <c r="AZ4" s="17"/>
      <c r="BA4" s="17"/>
      <c r="BB4" s="19"/>
      <c r="BC4" s="17" t="s">
        <v>43</v>
      </c>
      <c r="BD4" s="17"/>
      <c r="BE4" s="17"/>
      <c r="BF4" s="19"/>
      <c r="BG4" s="17" t="s">
        <v>43</v>
      </c>
      <c r="BH4" s="17"/>
      <c r="BI4" s="17"/>
      <c r="BJ4" s="19"/>
      <c r="BK4" s="17" t="s">
        <v>43</v>
      </c>
      <c r="BL4" s="17"/>
      <c r="BM4" s="17"/>
      <c r="BN4" s="19"/>
      <c r="BO4" s="17" t="s">
        <v>43</v>
      </c>
      <c r="BP4" s="17"/>
      <c r="BQ4" s="17"/>
      <c r="BR4" s="19"/>
      <c r="BS4" s="17" t="s">
        <v>43</v>
      </c>
      <c r="BT4" s="17"/>
      <c r="BU4" s="17"/>
      <c r="BV4" s="19"/>
      <c r="BW4" s="17" t="s">
        <v>43</v>
      </c>
      <c r="BX4" s="17"/>
      <c r="BY4" s="17"/>
      <c r="BZ4" s="19"/>
      <c r="CA4" s="17" t="s">
        <v>43</v>
      </c>
      <c r="CB4" s="17"/>
      <c r="CC4" s="17"/>
      <c r="CD4" s="19"/>
      <c r="CE4" s="17" t="s">
        <v>43</v>
      </c>
      <c r="CF4" s="17"/>
      <c r="CG4" s="14"/>
      <c r="CH4" s="19"/>
      <c r="CI4" s="17" t="s">
        <v>43</v>
      </c>
      <c r="CJ4" s="17"/>
      <c r="CK4" s="14"/>
      <c r="CL4" s="19"/>
    </row>
    <row r="5" spans="1:94" x14ac:dyDescent="0.2">
      <c r="A5" s="10"/>
      <c r="B5" s="2" t="s">
        <v>33</v>
      </c>
      <c r="C5" s="10"/>
      <c r="E5" s="5">
        <f>SUM(G5:CM5)</f>
        <v>60</v>
      </c>
      <c r="F5" s="25">
        <f>IF(E7=0,"",E5/E7)</f>
        <v>3.75</v>
      </c>
      <c r="G5" s="14">
        <f>SUM(H10:H49)</f>
        <v>9</v>
      </c>
      <c r="H5" s="14"/>
      <c r="I5" s="14"/>
      <c r="J5" s="20"/>
      <c r="K5" s="14">
        <f t="shared" ref="K5" si="0">SUM(L10:L49)</f>
        <v>4</v>
      </c>
      <c r="L5" s="14"/>
      <c r="M5" s="14"/>
      <c r="N5" s="20"/>
      <c r="O5" s="14">
        <f t="shared" ref="O5" si="1">SUM(P10:P49)</f>
        <v>2</v>
      </c>
      <c r="P5" s="14"/>
      <c r="Q5" s="14"/>
      <c r="R5" s="20"/>
      <c r="S5" s="14">
        <f t="shared" ref="S5" si="2">SUM(T10:T49)</f>
        <v>4</v>
      </c>
      <c r="T5" s="14"/>
      <c r="U5" s="14"/>
      <c r="V5" s="20"/>
      <c r="W5" s="14">
        <f t="shared" ref="W5" si="3">SUM(X10:X49)</f>
        <v>0</v>
      </c>
      <c r="X5" s="14"/>
      <c r="Y5" s="14"/>
      <c r="Z5" s="20"/>
      <c r="AA5" s="14">
        <f t="shared" ref="AA5" si="4">SUM(AB10:AB49)</f>
        <v>4</v>
      </c>
      <c r="AB5" s="14"/>
      <c r="AC5" s="14"/>
      <c r="AD5" s="20"/>
      <c r="AE5" s="14">
        <f t="shared" ref="AE5" si="5">SUM(AF10:AF49)</f>
        <v>8</v>
      </c>
      <c r="AF5" s="14"/>
      <c r="AG5" s="14"/>
      <c r="AH5" s="20"/>
      <c r="AI5" s="14">
        <f t="shared" ref="AI5" si="6">SUM(AJ10:AJ49)</f>
        <v>0</v>
      </c>
      <c r="AJ5" s="14"/>
      <c r="AK5" s="14"/>
      <c r="AL5" s="20"/>
      <c r="AM5" s="14">
        <f t="shared" ref="AM5" si="7">SUM(AN10:AN49)</f>
        <v>0</v>
      </c>
      <c r="AN5" s="14"/>
      <c r="AO5" s="14"/>
      <c r="AP5" s="20"/>
      <c r="AQ5" s="14">
        <f t="shared" ref="AQ5" si="8">SUM(AR10:AR49)</f>
        <v>4</v>
      </c>
      <c r="AR5" s="14"/>
      <c r="AS5" s="14"/>
      <c r="AT5" s="20"/>
      <c r="AU5" s="14">
        <f t="shared" ref="AU5" si="9">SUM(AV10:AV49)</f>
        <v>5</v>
      </c>
      <c r="AV5" s="14"/>
      <c r="AW5" s="14"/>
      <c r="AX5" s="20"/>
      <c r="AY5" s="14">
        <f t="shared" ref="AY5" si="10">SUM(AZ10:AZ49)</f>
        <v>0</v>
      </c>
      <c r="AZ5" s="14"/>
      <c r="BA5" s="14"/>
      <c r="BB5" s="20"/>
      <c r="BC5" s="14">
        <f t="shared" ref="BC5" si="11">SUM(BD10:BD49)</f>
        <v>0</v>
      </c>
      <c r="BD5" s="14"/>
      <c r="BE5" s="14"/>
      <c r="BF5" s="20"/>
      <c r="BG5" s="14">
        <f t="shared" ref="BG5" si="12">SUM(BH10:BH49)</f>
        <v>0</v>
      </c>
      <c r="BH5" s="14"/>
      <c r="BI5" s="14"/>
      <c r="BJ5" s="20"/>
      <c r="BK5" s="14">
        <f t="shared" ref="BK5" si="13">SUM(BL10:BL49)</f>
        <v>0</v>
      </c>
      <c r="BL5" s="14"/>
      <c r="BM5" s="14"/>
      <c r="BN5" s="20"/>
      <c r="BO5" s="14">
        <f t="shared" ref="BO5" si="14">SUM(BP10:BP49)</f>
        <v>1</v>
      </c>
      <c r="BP5" s="14"/>
      <c r="BQ5" s="14"/>
      <c r="BR5" s="20"/>
      <c r="BS5" s="14">
        <f t="shared" ref="BS5" si="15">SUM(BT10:BT49)</f>
        <v>7</v>
      </c>
      <c r="BT5" s="14"/>
      <c r="BU5" s="14"/>
      <c r="BV5" s="20"/>
      <c r="BW5" s="14">
        <f t="shared" ref="BW5" si="16">SUM(BX10:BX49)</f>
        <v>2</v>
      </c>
      <c r="BX5" s="14"/>
      <c r="BY5" s="14"/>
      <c r="BZ5" s="20"/>
      <c r="CA5" s="14">
        <f t="shared" ref="CA5" si="17">SUM(CB10:CB49)</f>
        <v>3</v>
      </c>
      <c r="CB5" s="14"/>
      <c r="CC5" s="14"/>
      <c r="CD5" s="20"/>
      <c r="CE5" s="14">
        <f t="shared" ref="CE5" si="18">SUM(CF10:CF49)</f>
        <v>3</v>
      </c>
      <c r="CF5" s="14"/>
      <c r="CG5" s="14"/>
      <c r="CH5" s="20"/>
      <c r="CI5" s="14">
        <f t="shared" ref="CI5" si="19">SUM(CJ10:CJ49)</f>
        <v>4</v>
      </c>
      <c r="CJ5" s="14"/>
      <c r="CK5" s="14"/>
      <c r="CL5" s="20"/>
      <c r="CM5" s="14" t="s">
        <v>26</v>
      </c>
      <c r="CN5" s="14"/>
      <c r="CO5" s="14"/>
      <c r="CP5" s="14"/>
    </row>
    <row r="6" spans="1:94" x14ac:dyDescent="0.2">
      <c r="A6" s="10"/>
      <c r="B6" s="2" t="s">
        <v>34</v>
      </c>
      <c r="C6" s="10"/>
      <c r="E6" s="5">
        <f>SUM(G6:CM6)</f>
        <v>227</v>
      </c>
      <c r="F6" s="25">
        <f>IF(E7=0,"",E6/E7)</f>
        <v>14.1875</v>
      </c>
      <c r="G6" s="14">
        <v>13</v>
      </c>
      <c r="H6" s="14"/>
      <c r="I6" s="14"/>
      <c r="J6" s="20"/>
      <c r="K6" s="14">
        <v>9</v>
      </c>
      <c r="L6" s="14"/>
      <c r="M6" s="14"/>
      <c r="N6" s="20"/>
      <c r="O6" s="14">
        <v>11</v>
      </c>
      <c r="P6" s="14"/>
      <c r="Q6" s="14"/>
      <c r="R6" s="20"/>
      <c r="S6" s="14">
        <v>18</v>
      </c>
      <c r="T6" s="14"/>
      <c r="U6" s="14"/>
      <c r="V6" s="20"/>
      <c r="W6" s="14" t="s">
        <v>26</v>
      </c>
      <c r="X6" s="14"/>
      <c r="Y6" s="14"/>
      <c r="Z6" s="20"/>
      <c r="AA6" s="14">
        <v>17</v>
      </c>
      <c r="AB6" s="14"/>
      <c r="AC6" s="14"/>
      <c r="AD6" s="20"/>
      <c r="AE6" s="14">
        <v>16</v>
      </c>
      <c r="AF6" s="14"/>
      <c r="AG6" s="14"/>
      <c r="AH6" s="20"/>
      <c r="AI6" s="14">
        <v>23</v>
      </c>
      <c r="AJ6" s="14"/>
      <c r="AK6" s="14"/>
      <c r="AL6" s="20"/>
      <c r="AM6" s="14" t="s">
        <v>26</v>
      </c>
      <c r="AN6" s="14"/>
      <c r="AO6" s="14"/>
      <c r="AP6" s="20"/>
      <c r="AQ6" s="14">
        <v>10</v>
      </c>
      <c r="AR6" s="14"/>
      <c r="AS6" s="14"/>
      <c r="AT6" s="20"/>
      <c r="AU6" s="14">
        <v>8</v>
      </c>
      <c r="AV6" s="14"/>
      <c r="AW6" s="14"/>
      <c r="AX6" s="20"/>
      <c r="AY6" s="14">
        <v>17</v>
      </c>
      <c r="AZ6" s="14"/>
      <c r="BA6" s="14"/>
      <c r="BB6" s="20"/>
      <c r="BC6" s="14" t="s">
        <v>26</v>
      </c>
      <c r="BD6" s="14"/>
      <c r="BE6" s="14"/>
      <c r="BF6" s="20"/>
      <c r="BG6" s="14" t="s">
        <v>26</v>
      </c>
      <c r="BH6" s="14"/>
      <c r="BI6" s="14"/>
      <c r="BJ6" s="20"/>
      <c r="BK6" s="14" t="s">
        <v>26</v>
      </c>
      <c r="BL6" s="14"/>
      <c r="BM6" s="14"/>
      <c r="BN6" s="20"/>
      <c r="BO6" s="14">
        <v>24</v>
      </c>
      <c r="BP6" s="14"/>
      <c r="BQ6" s="14"/>
      <c r="BR6" s="20"/>
      <c r="BS6" s="14">
        <v>8</v>
      </c>
      <c r="BT6" s="14"/>
      <c r="BU6" s="14"/>
      <c r="BV6" s="20"/>
      <c r="BW6" s="14">
        <v>24</v>
      </c>
      <c r="BX6" s="14"/>
      <c r="BY6" s="14"/>
      <c r="BZ6" s="20"/>
      <c r="CA6" s="14">
        <v>11</v>
      </c>
      <c r="CB6" s="14"/>
      <c r="CC6" s="14"/>
      <c r="CD6" s="20"/>
      <c r="CE6" s="14">
        <v>14</v>
      </c>
      <c r="CF6" s="14"/>
      <c r="CG6" s="14"/>
      <c r="CH6" s="20"/>
      <c r="CI6" s="14">
        <v>4</v>
      </c>
      <c r="CJ6" s="14"/>
      <c r="CK6" s="14"/>
      <c r="CL6" s="20"/>
      <c r="CM6" s="14" t="s">
        <v>26</v>
      </c>
      <c r="CN6" s="14"/>
      <c r="CO6" s="14"/>
      <c r="CP6" s="14"/>
    </row>
    <row r="7" spans="1:94" x14ac:dyDescent="0.2">
      <c r="A7" s="10"/>
      <c r="B7" s="2" t="s">
        <v>35</v>
      </c>
      <c r="C7" s="10"/>
      <c r="E7" s="12">
        <f>COUNT(G6:CM6)</f>
        <v>16</v>
      </c>
      <c r="F7" s="25"/>
      <c r="J7" s="21"/>
      <c r="N7" s="21"/>
      <c r="R7" s="21"/>
      <c r="V7" s="21"/>
      <c r="Z7" s="21"/>
      <c r="AD7" s="21"/>
      <c r="AH7" s="21"/>
      <c r="AL7" s="21"/>
      <c r="AP7" s="21"/>
      <c r="AT7" s="21"/>
      <c r="AX7" s="21"/>
      <c r="BB7" s="21"/>
      <c r="BF7" s="21"/>
      <c r="BJ7" s="21"/>
      <c r="BN7" s="21"/>
      <c r="BR7" s="21"/>
      <c r="BV7" s="21"/>
      <c r="BZ7" s="21"/>
      <c r="CD7" s="21"/>
      <c r="CH7" s="21"/>
      <c r="CI7" s="31"/>
      <c r="CJ7" s="31"/>
      <c r="CK7" s="31"/>
      <c r="CL7" s="39"/>
    </row>
    <row r="8" spans="1:94" x14ac:dyDescent="0.2">
      <c r="A8" s="48" t="s">
        <v>56</v>
      </c>
      <c r="D8" s="10"/>
      <c r="E8" s="10"/>
      <c r="F8" s="23"/>
      <c r="G8" s="11"/>
      <c r="H8" s="11"/>
      <c r="I8" s="11"/>
      <c r="J8" s="22"/>
      <c r="K8" s="11"/>
      <c r="L8" s="11"/>
      <c r="M8" s="11"/>
      <c r="N8" s="22"/>
      <c r="O8" s="11"/>
      <c r="P8" s="11"/>
      <c r="Q8" s="11"/>
      <c r="R8" s="22"/>
      <c r="S8" s="11"/>
      <c r="T8" s="11"/>
      <c r="U8" s="11"/>
      <c r="V8" s="22"/>
      <c r="W8" s="11"/>
      <c r="X8" s="11"/>
      <c r="Y8" s="11"/>
      <c r="Z8" s="22"/>
      <c r="AA8" s="11"/>
      <c r="AB8" s="11"/>
      <c r="AC8" s="11"/>
      <c r="AD8" s="22"/>
      <c r="AE8" s="11"/>
      <c r="AF8" s="11"/>
      <c r="AG8" s="11"/>
      <c r="AH8" s="22"/>
      <c r="AI8" s="11"/>
      <c r="AJ8" s="11"/>
      <c r="AK8" s="11"/>
      <c r="AL8" s="22"/>
      <c r="AM8" s="11"/>
      <c r="AN8" s="11"/>
      <c r="AO8" s="11"/>
      <c r="AP8" s="22"/>
      <c r="AQ8" s="11"/>
      <c r="AR8" s="11"/>
      <c r="AS8" s="11"/>
      <c r="AT8" s="22"/>
      <c r="AU8" s="11"/>
      <c r="AV8" s="11"/>
      <c r="AW8" s="11"/>
      <c r="AX8" s="22"/>
      <c r="AY8" s="11"/>
      <c r="AZ8" s="11"/>
      <c r="BA8" s="11"/>
      <c r="BB8" s="22"/>
      <c r="BC8" s="11"/>
      <c r="BD8" s="11"/>
      <c r="BE8" s="11"/>
      <c r="BF8" s="22"/>
      <c r="BG8" s="11"/>
      <c r="BH8" s="11"/>
      <c r="BI8" s="11"/>
      <c r="BJ8" s="22"/>
      <c r="BK8" s="11"/>
      <c r="BL8" s="11"/>
      <c r="BM8" s="11"/>
      <c r="BN8" s="22"/>
      <c r="BO8" s="11"/>
      <c r="BP8" s="11"/>
      <c r="BQ8" s="11"/>
      <c r="BR8" s="22"/>
      <c r="BS8" s="11"/>
      <c r="BT8" s="11"/>
      <c r="BU8" s="11"/>
      <c r="BV8" s="22"/>
      <c r="BW8" s="11"/>
      <c r="BX8" s="11"/>
      <c r="BY8" s="11"/>
      <c r="BZ8" s="22"/>
      <c r="CA8" s="11"/>
      <c r="CB8" s="11"/>
      <c r="CC8" s="11"/>
      <c r="CD8" s="22"/>
      <c r="CE8" s="11"/>
      <c r="CF8" s="11"/>
      <c r="CG8" s="11"/>
      <c r="CH8" s="22"/>
      <c r="CI8" s="50"/>
      <c r="CJ8" s="50"/>
      <c r="CK8" s="50"/>
      <c r="CL8" s="22"/>
      <c r="CM8" s="11"/>
      <c r="CN8" s="11"/>
      <c r="CO8" s="11"/>
      <c r="CP8" s="11"/>
    </row>
    <row r="9" spans="1:94" s="31" customFormat="1" x14ac:dyDescent="0.2">
      <c r="A9" s="27" t="s">
        <v>3</v>
      </c>
      <c r="B9" s="27" t="s">
        <v>4</v>
      </c>
      <c r="C9" s="27" t="s">
        <v>5</v>
      </c>
      <c r="D9" s="27" t="s">
        <v>6</v>
      </c>
      <c r="E9" s="27" t="s">
        <v>7</v>
      </c>
      <c r="F9" s="28" t="s">
        <v>44</v>
      </c>
      <c r="G9" s="29" t="s">
        <v>42</v>
      </c>
      <c r="H9" s="29" t="s">
        <v>39</v>
      </c>
      <c r="I9" s="29" t="s">
        <v>41</v>
      </c>
      <c r="J9" s="30" t="s">
        <v>47</v>
      </c>
      <c r="K9" s="29" t="s">
        <v>42</v>
      </c>
      <c r="L9" s="29" t="s">
        <v>39</v>
      </c>
      <c r="M9" s="29" t="s">
        <v>41</v>
      </c>
      <c r="N9" s="30" t="s">
        <v>47</v>
      </c>
      <c r="O9" s="29" t="s">
        <v>42</v>
      </c>
      <c r="P9" s="29" t="s">
        <v>39</v>
      </c>
      <c r="Q9" s="29" t="s">
        <v>41</v>
      </c>
      <c r="R9" s="30" t="s">
        <v>47</v>
      </c>
      <c r="S9" s="29" t="s">
        <v>42</v>
      </c>
      <c r="T9" s="29" t="s">
        <v>39</v>
      </c>
      <c r="U9" s="29" t="s">
        <v>41</v>
      </c>
      <c r="V9" s="30" t="s">
        <v>47</v>
      </c>
      <c r="W9" s="29" t="s">
        <v>42</v>
      </c>
      <c r="X9" s="29" t="s">
        <v>39</v>
      </c>
      <c r="Y9" s="29" t="s">
        <v>41</v>
      </c>
      <c r="Z9" s="30" t="s">
        <v>47</v>
      </c>
      <c r="AA9" s="29" t="s">
        <v>42</v>
      </c>
      <c r="AB9" s="29" t="s">
        <v>39</v>
      </c>
      <c r="AC9" s="29" t="s">
        <v>41</v>
      </c>
      <c r="AD9" s="30" t="s">
        <v>47</v>
      </c>
      <c r="AE9" s="29" t="s">
        <v>42</v>
      </c>
      <c r="AF9" s="29" t="s">
        <v>39</v>
      </c>
      <c r="AG9" s="29" t="s">
        <v>41</v>
      </c>
      <c r="AH9" s="30" t="s">
        <v>47</v>
      </c>
      <c r="AI9" s="29" t="s">
        <v>42</v>
      </c>
      <c r="AJ9" s="29" t="s">
        <v>39</v>
      </c>
      <c r="AK9" s="29" t="s">
        <v>41</v>
      </c>
      <c r="AL9" s="30" t="s">
        <v>47</v>
      </c>
      <c r="AM9" s="29" t="s">
        <v>42</v>
      </c>
      <c r="AN9" s="29" t="s">
        <v>39</v>
      </c>
      <c r="AO9" s="29" t="s">
        <v>41</v>
      </c>
      <c r="AP9" s="30" t="s">
        <v>47</v>
      </c>
      <c r="AQ9" s="29" t="s">
        <v>42</v>
      </c>
      <c r="AR9" s="29" t="s">
        <v>39</v>
      </c>
      <c r="AS9" s="29" t="s">
        <v>41</v>
      </c>
      <c r="AT9" s="30" t="s">
        <v>47</v>
      </c>
      <c r="AU9" s="29" t="s">
        <v>42</v>
      </c>
      <c r="AV9" s="29" t="s">
        <v>39</v>
      </c>
      <c r="AW9" s="29" t="s">
        <v>41</v>
      </c>
      <c r="AX9" s="30" t="s">
        <v>47</v>
      </c>
      <c r="AY9" s="29" t="s">
        <v>42</v>
      </c>
      <c r="AZ9" s="29" t="s">
        <v>39</v>
      </c>
      <c r="BA9" s="29" t="s">
        <v>41</v>
      </c>
      <c r="BB9" s="30" t="s">
        <v>47</v>
      </c>
      <c r="BC9" s="29" t="s">
        <v>42</v>
      </c>
      <c r="BD9" s="29" t="s">
        <v>39</v>
      </c>
      <c r="BE9" s="29" t="s">
        <v>41</v>
      </c>
      <c r="BF9" s="30" t="s">
        <v>47</v>
      </c>
      <c r="BG9" s="29" t="s">
        <v>42</v>
      </c>
      <c r="BH9" s="29" t="s">
        <v>39</v>
      </c>
      <c r="BI9" s="29" t="s">
        <v>41</v>
      </c>
      <c r="BJ9" s="30" t="s">
        <v>47</v>
      </c>
      <c r="BK9" s="29" t="s">
        <v>42</v>
      </c>
      <c r="BL9" s="29" t="s">
        <v>39</v>
      </c>
      <c r="BM9" s="29" t="s">
        <v>41</v>
      </c>
      <c r="BN9" s="30" t="s">
        <v>47</v>
      </c>
      <c r="BO9" s="29" t="s">
        <v>42</v>
      </c>
      <c r="BP9" s="29" t="s">
        <v>39</v>
      </c>
      <c r="BQ9" s="29" t="s">
        <v>41</v>
      </c>
      <c r="BR9" s="30" t="s">
        <v>47</v>
      </c>
      <c r="BS9" s="29" t="s">
        <v>42</v>
      </c>
      <c r="BT9" s="29" t="s">
        <v>39</v>
      </c>
      <c r="BU9" s="29" t="s">
        <v>41</v>
      </c>
      <c r="BV9" s="30" t="s">
        <v>47</v>
      </c>
      <c r="BW9" s="29" t="s">
        <v>42</v>
      </c>
      <c r="BX9" s="29" t="s">
        <v>39</v>
      </c>
      <c r="BY9" s="29" t="s">
        <v>41</v>
      </c>
      <c r="BZ9" s="30" t="s">
        <v>47</v>
      </c>
      <c r="CA9" s="29" t="s">
        <v>42</v>
      </c>
      <c r="CB9" s="29" t="s">
        <v>39</v>
      </c>
      <c r="CC9" s="29" t="s">
        <v>41</v>
      </c>
      <c r="CD9" s="30" t="s">
        <v>47</v>
      </c>
      <c r="CE9" s="29" t="s">
        <v>42</v>
      </c>
      <c r="CF9" s="29" t="s">
        <v>39</v>
      </c>
      <c r="CG9" s="29" t="s">
        <v>41</v>
      </c>
      <c r="CH9" s="30" t="s">
        <v>47</v>
      </c>
      <c r="CI9" s="29" t="s">
        <v>42</v>
      </c>
      <c r="CJ9" s="29" t="s">
        <v>39</v>
      </c>
      <c r="CK9" s="29" t="s">
        <v>41</v>
      </c>
      <c r="CL9" s="30" t="s">
        <v>47</v>
      </c>
    </row>
    <row r="10" spans="1:94" x14ac:dyDescent="0.2">
      <c r="A10" s="4">
        <v>17</v>
      </c>
      <c r="B10" s="4" t="s">
        <v>93</v>
      </c>
      <c r="C10" s="4" t="s">
        <v>10</v>
      </c>
      <c r="D10" s="5">
        <f t="shared" ref="D10:D30" si="20">COUNTIF(G10:CM10,"=*")</f>
        <v>8</v>
      </c>
      <c r="E10" s="5">
        <f t="shared" ref="E10:E30" si="21">SUMIF(G$9:CM$9,"G",G10:CM10)</f>
        <v>6</v>
      </c>
      <c r="F10" s="26">
        <f t="shared" ref="F10:F30" si="22">SUMIF(G$9:CM$9,"A",G10:CM10)</f>
        <v>0</v>
      </c>
      <c r="G10" s="8" t="s">
        <v>89</v>
      </c>
      <c r="H10" s="8">
        <v>2</v>
      </c>
      <c r="J10" s="39"/>
      <c r="K10" s="8" t="s">
        <v>89</v>
      </c>
      <c r="L10" s="8">
        <v>1</v>
      </c>
      <c r="N10" s="38"/>
      <c r="O10" s="8" t="s">
        <v>89</v>
      </c>
      <c r="R10" s="38"/>
      <c r="S10" s="8" t="s">
        <v>89</v>
      </c>
      <c r="T10" s="8">
        <v>1</v>
      </c>
      <c r="V10" s="38"/>
      <c r="Z10" s="38"/>
      <c r="AA10" s="8" t="s">
        <v>89</v>
      </c>
      <c r="AB10" s="8">
        <v>1</v>
      </c>
      <c r="AD10" s="38"/>
      <c r="AE10" s="8" t="s">
        <v>89</v>
      </c>
      <c r="AF10" s="8">
        <v>1</v>
      </c>
      <c r="AH10" s="38"/>
      <c r="AL10" s="38"/>
      <c r="AP10" s="38"/>
      <c r="AT10" s="38"/>
      <c r="AU10" s="8" t="s">
        <v>89</v>
      </c>
      <c r="AX10" s="38"/>
      <c r="AY10" s="8" t="s">
        <v>89</v>
      </c>
      <c r="BB10" s="38"/>
      <c r="BF10" s="38"/>
      <c r="BJ10" s="38"/>
      <c r="BN10" s="38"/>
      <c r="BR10" s="38"/>
      <c r="BV10" s="38"/>
      <c r="BZ10" s="38"/>
      <c r="CD10" s="38"/>
      <c r="CH10" s="38"/>
      <c r="CL10" s="39"/>
    </row>
    <row r="11" spans="1:94" x14ac:dyDescent="0.2">
      <c r="A11" s="4">
        <v>5</v>
      </c>
      <c r="B11" s="4" t="s">
        <v>19</v>
      </c>
      <c r="C11" s="4" t="s">
        <v>12</v>
      </c>
      <c r="D11" s="5">
        <f t="shared" si="20"/>
        <v>5</v>
      </c>
      <c r="E11" s="5">
        <f t="shared" si="21"/>
        <v>3</v>
      </c>
      <c r="F11" s="26">
        <f t="shared" si="22"/>
        <v>0</v>
      </c>
      <c r="G11" s="8" t="s">
        <v>41</v>
      </c>
      <c r="J11" s="39">
        <v>1</v>
      </c>
      <c r="N11" s="39"/>
      <c r="O11" s="8" t="s">
        <v>41</v>
      </c>
      <c r="R11" s="39"/>
      <c r="S11" s="8" t="s">
        <v>41</v>
      </c>
      <c r="T11" s="8">
        <v>2</v>
      </c>
      <c r="V11" s="39"/>
      <c r="Z11" s="39"/>
      <c r="AA11" s="8" t="s">
        <v>41</v>
      </c>
      <c r="AD11" s="39"/>
      <c r="AE11" s="8" t="s">
        <v>41</v>
      </c>
      <c r="AF11" s="8">
        <v>1</v>
      </c>
      <c r="AH11" s="39"/>
      <c r="AL11" s="39"/>
      <c r="AP11" s="39"/>
      <c r="AT11" s="39"/>
      <c r="AX11" s="39"/>
      <c r="BB11" s="39"/>
      <c r="BF11" s="39"/>
      <c r="BJ11" s="39"/>
      <c r="BN11" s="39"/>
      <c r="BR11" s="39"/>
      <c r="BV11" s="39"/>
      <c r="BZ11" s="39"/>
      <c r="CD11" s="39"/>
      <c r="CH11" s="39"/>
      <c r="CL11" s="39"/>
    </row>
    <row r="12" spans="1:94" x14ac:dyDescent="0.2">
      <c r="A12" s="4"/>
      <c r="B12" s="1" t="s">
        <v>37</v>
      </c>
      <c r="C12" s="4" t="s">
        <v>15</v>
      </c>
      <c r="D12" s="5">
        <f t="shared" si="20"/>
        <v>0</v>
      </c>
      <c r="E12" s="5">
        <f t="shared" si="21"/>
        <v>0</v>
      </c>
      <c r="F12" s="26">
        <f t="shared" si="22"/>
        <v>0</v>
      </c>
      <c r="J12" s="40"/>
      <c r="N12" s="39"/>
      <c r="R12" s="39"/>
      <c r="V12" s="39"/>
      <c r="Z12" s="39"/>
      <c r="AD12" s="39"/>
      <c r="AH12" s="39"/>
      <c r="AL12" s="39"/>
      <c r="AP12" s="39"/>
      <c r="AT12" s="39"/>
      <c r="AX12" s="39"/>
      <c r="BB12" s="39"/>
      <c r="BF12" s="39"/>
      <c r="BJ12" s="39"/>
      <c r="BN12" s="39"/>
      <c r="BR12" s="39"/>
      <c r="BV12" s="39"/>
      <c r="BZ12" s="39"/>
      <c r="CD12" s="39"/>
      <c r="CH12" s="39"/>
      <c r="CL12" s="39"/>
    </row>
    <row r="13" spans="1:94" x14ac:dyDescent="0.2">
      <c r="A13" s="4">
        <v>2</v>
      </c>
      <c r="B13" s="4" t="s">
        <v>9</v>
      </c>
      <c r="C13" s="4" t="s">
        <v>10</v>
      </c>
      <c r="D13" s="5">
        <f t="shared" si="20"/>
        <v>0</v>
      </c>
      <c r="E13" s="5">
        <f t="shared" si="21"/>
        <v>0</v>
      </c>
      <c r="F13" s="26">
        <f t="shared" si="22"/>
        <v>0</v>
      </c>
      <c r="J13" s="39"/>
      <c r="N13" s="39"/>
      <c r="R13" s="39"/>
      <c r="V13" s="39"/>
      <c r="Z13" s="39"/>
      <c r="AD13" s="39"/>
      <c r="AH13" s="39"/>
      <c r="AL13" s="39"/>
      <c r="AP13" s="39"/>
      <c r="AT13" s="39"/>
      <c r="AX13" s="39"/>
      <c r="BB13" s="39"/>
      <c r="BF13" s="39"/>
      <c r="BJ13" s="39"/>
      <c r="BN13" s="39"/>
      <c r="BR13" s="39"/>
      <c r="BV13" s="39"/>
      <c r="BZ13" s="39"/>
      <c r="CD13" s="39"/>
      <c r="CH13" s="39"/>
      <c r="CL13" s="39"/>
    </row>
    <row r="14" spans="1:94" x14ac:dyDescent="0.2">
      <c r="A14" s="4">
        <v>3</v>
      </c>
      <c r="B14" s="4" t="s">
        <v>48</v>
      </c>
      <c r="C14" s="4" t="s">
        <v>11</v>
      </c>
      <c r="D14" s="5">
        <f t="shared" si="20"/>
        <v>9</v>
      </c>
      <c r="E14" s="5">
        <f t="shared" si="21"/>
        <v>0</v>
      </c>
      <c r="F14" s="26">
        <f t="shared" si="22"/>
        <v>0</v>
      </c>
      <c r="G14" s="8" t="s">
        <v>76</v>
      </c>
      <c r="J14" s="39"/>
      <c r="K14" s="8" t="s">
        <v>41</v>
      </c>
      <c r="N14" s="39"/>
      <c r="O14" s="8" t="s">
        <v>76</v>
      </c>
      <c r="R14" s="39"/>
      <c r="S14" s="8" t="s">
        <v>76</v>
      </c>
      <c r="V14" s="39"/>
      <c r="Z14" s="39"/>
      <c r="AD14" s="39">
        <v>4</v>
      </c>
      <c r="AH14" s="39"/>
      <c r="AI14" s="8" t="s">
        <v>41</v>
      </c>
      <c r="AL14" s="39"/>
      <c r="AP14" s="39"/>
      <c r="AQ14" s="8" t="s">
        <v>41</v>
      </c>
      <c r="AT14" s="39"/>
      <c r="AX14" s="39"/>
      <c r="AY14" s="8" t="s">
        <v>41</v>
      </c>
      <c r="BB14" s="39"/>
      <c r="BF14" s="39"/>
      <c r="BJ14" s="39"/>
      <c r="BN14" s="39"/>
      <c r="BR14" s="39"/>
      <c r="BV14" s="39"/>
      <c r="BZ14" s="39"/>
      <c r="CD14" s="39"/>
      <c r="CE14" s="8" t="s">
        <v>76</v>
      </c>
      <c r="CH14" s="39"/>
      <c r="CI14" s="8" t="s">
        <v>41</v>
      </c>
      <c r="CL14" s="39"/>
    </row>
    <row r="15" spans="1:94" x14ac:dyDescent="0.2">
      <c r="A15" s="4"/>
      <c r="B15" s="4"/>
      <c r="C15" s="4"/>
      <c r="D15" s="5">
        <f t="shared" si="20"/>
        <v>0</v>
      </c>
      <c r="E15" s="5">
        <f t="shared" si="21"/>
        <v>0</v>
      </c>
      <c r="F15" s="26">
        <f t="shared" si="22"/>
        <v>0</v>
      </c>
      <c r="J15" s="39"/>
      <c r="N15" s="39"/>
      <c r="R15" s="39"/>
      <c r="V15" s="39"/>
      <c r="Z15" s="39"/>
      <c r="AD15" s="39"/>
      <c r="AH15" s="39"/>
      <c r="AL15" s="39"/>
      <c r="AP15" s="39"/>
      <c r="AT15" s="39"/>
      <c r="AX15" s="39"/>
      <c r="BB15" s="39"/>
      <c r="BF15" s="39"/>
      <c r="BJ15" s="39"/>
      <c r="BN15" s="39"/>
      <c r="BR15" s="39"/>
      <c r="BV15" s="39"/>
      <c r="BZ15" s="39"/>
      <c r="CD15" s="39"/>
      <c r="CH15" s="39"/>
      <c r="CL15" s="39"/>
    </row>
    <row r="16" spans="1:94" x14ac:dyDescent="0.2">
      <c r="A16" s="4">
        <v>24</v>
      </c>
      <c r="B16" s="4" t="s">
        <v>77</v>
      </c>
      <c r="C16" s="4" t="s">
        <v>11</v>
      </c>
      <c r="D16" s="5">
        <f t="shared" si="20"/>
        <v>13</v>
      </c>
      <c r="E16" s="5">
        <f t="shared" si="21"/>
        <v>2</v>
      </c>
      <c r="F16" s="26">
        <f t="shared" si="22"/>
        <v>0</v>
      </c>
      <c r="G16" s="8" t="s">
        <v>76</v>
      </c>
      <c r="J16" s="39"/>
      <c r="K16" s="8" t="s">
        <v>76</v>
      </c>
      <c r="N16" s="39"/>
      <c r="O16" s="8" t="s">
        <v>76</v>
      </c>
      <c r="R16" s="39"/>
      <c r="S16" s="8" t="s">
        <v>76</v>
      </c>
      <c r="V16" s="39"/>
      <c r="Z16" s="39"/>
      <c r="AA16" s="8" t="s">
        <v>76</v>
      </c>
      <c r="AD16" s="39"/>
      <c r="AH16" s="39"/>
      <c r="AI16" s="8" t="s">
        <v>76</v>
      </c>
      <c r="AL16" s="39"/>
      <c r="AP16" s="39"/>
      <c r="AQ16" s="8" t="s">
        <v>76</v>
      </c>
      <c r="AT16" s="39"/>
      <c r="AX16" s="39"/>
      <c r="AY16" s="8" t="s">
        <v>76</v>
      </c>
      <c r="BB16" s="39"/>
      <c r="BF16" s="39"/>
      <c r="BJ16" s="39"/>
      <c r="BN16" s="39"/>
      <c r="BO16" s="8" t="s">
        <v>76</v>
      </c>
      <c r="BP16" s="8">
        <v>1</v>
      </c>
      <c r="BR16" s="39"/>
      <c r="BS16" s="8" t="s">
        <v>76</v>
      </c>
      <c r="BV16" s="39"/>
      <c r="BW16" s="8" t="s">
        <v>76</v>
      </c>
      <c r="BZ16" s="39"/>
      <c r="CA16" s="8" t="s">
        <v>76</v>
      </c>
      <c r="CB16" s="8">
        <v>1</v>
      </c>
      <c r="CD16" s="39"/>
      <c r="CH16" s="39"/>
      <c r="CI16" s="8" t="s">
        <v>76</v>
      </c>
      <c r="CL16" s="39"/>
    </row>
    <row r="17" spans="1:90" x14ac:dyDescent="0.2">
      <c r="A17" s="4">
        <v>26</v>
      </c>
      <c r="B17" s="4" t="s">
        <v>60</v>
      </c>
      <c r="C17" s="4" t="s">
        <v>12</v>
      </c>
      <c r="D17" s="5">
        <f t="shared" si="20"/>
        <v>3</v>
      </c>
      <c r="E17" s="5">
        <f t="shared" si="21"/>
        <v>0</v>
      </c>
      <c r="F17" s="26">
        <f t="shared" si="22"/>
        <v>0</v>
      </c>
      <c r="J17" s="39"/>
      <c r="N17" s="39"/>
      <c r="O17" s="8" t="s">
        <v>89</v>
      </c>
      <c r="R17" s="39"/>
      <c r="S17" s="8" t="s">
        <v>89</v>
      </c>
      <c r="V17" s="39"/>
      <c r="Z17" s="39"/>
      <c r="AA17" s="8" t="s">
        <v>89</v>
      </c>
      <c r="AD17" s="39"/>
      <c r="AH17" s="39"/>
      <c r="AL17" s="39"/>
      <c r="AP17" s="39"/>
      <c r="AT17" s="39"/>
      <c r="AX17" s="39"/>
      <c r="BB17" s="39"/>
      <c r="BF17" s="39"/>
      <c r="BJ17" s="39"/>
      <c r="BN17" s="39"/>
      <c r="BR17" s="39"/>
      <c r="BV17" s="39"/>
      <c r="BZ17" s="39"/>
      <c r="CD17" s="39"/>
      <c r="CH17" s="39"/>
      <c r="CL17" s="39"/>
    </row>
    <row r="18" spans="1:90" x14ac:dyDescent="0.2">
      <c r="A18" s="4">
        <v>888</v>
      </c>
      <c r="B18" s="4" t="s">
        <v>58</v>
      </c>
      <c r="C18" s="4" t="s">
        <v>15</v>
      </c>
      <c r="D18" s="5">
        <f t="shared" si="20"/>
        <v>1</v>
      </c>
      <c r="E18" s="5">
        <f t="shared" si="21"/>
        <v>1</v>
      </c>
      <c r="F18" s="26">
        <f t="shared" si="22"/>
        <v>0</v>
      </c>
      <c r="J18" s="39"/>
      <c r="K18" s="8" t="s">
        <v>89</v>
      </c>
      <c r="L18" s="8">
        <v>1</v>
      </c>
      <c r="N18" s="39"/>
      <c r="R18" s="39"/>
      <c r="V18" s="39"/>
      <c r="Z18" s="39"/>
      <c r="AD18" s="39"/>
      <c r="AH18" s="39"/>
      <c r="AL18" s="39"/>
      <c r="AP18" s="39"/>
      <c r="AT18" s="39"/>
      <c r="AX18" s="39"/>
      <c r="BB18" s="39"/>
      <c r="BF18" s="39"/>
      <c r="BJ18" s="39"/>
      <c r="BN18" s="39"/>
      <c r="BR18" s="39"/>
      <c r="BV18" s="39"/>
      <c r="BZ18" s="39"/>
      <c r="CD18" s="39"/>
      <c r="CH18" s="39"/>
      <c r="CL18" s="39"/>
    </row>
    <row r="19" spans="1:90" x14ac:dyDescent="0.2">
      <c r="A19" s="4">
        <v>6</v>
      </c>
      <c r="B19" s="4" t="s">
        <v>13</v>
      </c>
      <c r="C19" s="4" t="s">
        <v>11</v>
      </c>
      <c r="D19" s="5">
        <f t="shared" si="20"/>
        <v>6</v>
      </c>
      <c r="E19" s="5">
        <f t="shared" si="21"/>
        <v>0</v>
      </c>
      <c r="F19" s="26">
        <f t="shared" si="22"/>
        <v>0</v>
      </c>
      <c r="J19" s="39"/>
      <c r="N19" s="38"/>
      <c r="R19" s="38"/>
      <c r="V19" s="38"/>
      <c r="Z19" s="38"/>
      <c r="AD19" s="38"/>
      <c r="AH19" s="38"/>
      <c r="AI19" s="8" t="s">
        <v>76</v>
      </c>
      <c r="AL19" s="38"/>
      <c r="AP19" s="38"/>
      <c r="AT19" s="38"/>
      <c r="AU19" s="8" t="s">
        <v>76</v>
      </c>
      <c r="AX19" s="38"/>
      <c r="AY19" s="8" t="s">
        <v>76</v>
      </c>
      <c r="BB19" s="38"/>
      <c r="BF19" s="38"/>
      <c r="BJ19" s="38"/>
      <c r="BN19" s="38"/>
      <c r="BO19" s="8" t="s">
        <v>76</v>
      </c>
      <c r="BR19" s="38"/>
      <c r="BS19" s="8" t="s">
        <v>76</v>
      </c>
      <c r="BV19" s="38"/>
      <c r="BZ19" s="38"/>
      <c r="CD19" s="38"/>
      <c r="CH19" s="38"/>
      <c r="CI19" s="8" t="s">
        <v>76</v>
      </c>
      <c r="CL19" s="39"/>
    </row>
    <row r="20" spans="1:90" x14ac:dyDescent="0.2">
      <c r="A20" s="4">
        <v>11</v>
      </c>
      <c r="B20" s="4" t="s">
        <v>16</v>
      </c>
      <c r="C20" s="4" t="s">
        <v>10</v>
      </c>
      <c r="D20" s="5">
        <f t="shared" si="20"/>
        <v>12</v>
      </c>
      <c r="E20" s="5">
        <f t="shared" si="21"/>
        <v>0</v>
      </c>
      <c r="F20" s="26">
        <f t="shared" si="22"/>
        <v>0</v>
      </c>
      <c r="G20" s="8" t="s">
        <v>89</v>
      </c>
      <c r="J20" s="39">
        <v>1</v>
      </c>
      <c r="K20" s="8" t="s">
        <v>89</v>
      </c>
      <c r="N20" s="39"/>
      <c r="O20" s="8" t="s">
        <v>89</v>
      </c>
      <c r="R20" s="39"/>
      <c r="S20" s="8" t="s">
        <v>89</v>
      </c>
      <c r="V20" s="39"/>
      <c r="Z20" s="39"/>
      <c r="AA20" s="8" t="s">
        <v>89</v>
      </c>
      <c r="AD20" s="39"/>
      <c r="AH20" s="39"/>
      <c r="AI20" s="8" t="s">
        <v>89</v>
      </c>
      <c r="AL20" s="39"/>
      <c r="AP20" s="39"/>
      <c r="AT20" s="39"/>
      <c r="AU20" s="8" t="s">
        <v>89</v>
      </c>
      <c r="AX20" s="39"/>
      <c r="AY20" s="8" t="s">
        <v>89</v>
      </c>
      <c r="BB20" s="39"/>
      <c r="BF20" s="39"/>
      <c r="BJ20" s="39"/>
      <c r="BN20" s="39"/>
      <c r="BO20" s="8" t="s">
        <v>89</v>
      </c>
      <c r="BR20" s="39"/>
      <c r="BV20" s="39"/>
      <c r="BZ20" s="39"/>
      <c r="CA20" s="8" t="s">
        <v>89</v>
      </c>
      <c r="CD20" s="39"/>
      <c r="CE20" s="8" t="s">
        <v>89</v>
      </c>
      <c r="CH20" s="39"/>
      <c r="CI20" s="8" t="s">
        <v>89</v>
      </c>
      <c r="CL20" s="39"/>
    </row>
    <row r="21" spans="1:90" x14ac:dyDescent="0.2">
      <c r="A21" s="4">
        <v>13</v>
      </c>
      <c r="B21" s="4" t="s">
        <v>78</v>
      </c>
      <c r="C21" s="1" t="s">
        <v>11</v>
      </c>
      <c r="D21" s="5">
        <f t="shared" si="20"/>
        <v>11</v>
      </c>
      <c r="E21" s="5">
        <f t="shared" si="21"/>
        <v>0</v>
      </c>
      <c r="F21" s="26">
        <f t="shared" si="22"/>
        <v>0</v>
      </c>
      <c r="J21" s="39"/>
      <c r="N21" s="38"/>
      <c r="O21" s="8" t="s">
        <v>76</v>
      </c>
      <c r="R21" s="38"/>
      <c r="S21" s="8" t="s">
        <v>76</v>
      </c>
      <c r="V21" s="38"/>
      <c r="Z21" s="38"/>
      <c r="AA21" s="8" t="s">
        <v>76</v>
      </c>
      <c r="AD21" s="38"/>
      <c r="AE21" s="8" t="s">
        <v>76</v>
      </c>
      <c r="AH21" s="38"/>
      <c r="AL21" s="38"/>
      <c r="AP21" s="38"/>
      <c r="AQ21" s="8" t="s">
        <v>76</v>
      </c>
      <c r="AT21" s="38"/>
      <c r="AU21" s="8" t="s">
        <v>76</v>
      </c>
      <c r="AX21" s="38"/>
      <c r="AY21" s="8" t="s">
        <v>76</v>
      </c>
      <c r="BB21" s="38"/>
      <c r="BF21" s="38"/>
      <c r="BJ21" s="38"/>
      <c r="BN21" s="38"/>
      <c r="BO21" s="8" t="s">
        <v>76</v>
      </c>
      <c r="BR21" s="38"/>
      <c r="BS21" s="8" t="s">
        <v>76</v>
      </c>
      <c r="BV21" s="38"/>
      <c r="BW21" s="8" t="s">
        <v>76</v>
      </c>
      <c r="BZ21" s="38"/>
      <c r="CD21" s="38"/>
      <c r="CH21" s="38"/>
      <c r="CI21" s="8" t="s">
        <v>76</v>
      </c>
      <c r="CL21" s="39"/>
    </row>
    <row r="22" spans="1:90" x14ac:dyDescent="0.2">
      <c r="A22" s="4">
        <v>888</v>
      </c>
      <c r="B22" s="4" t="s">
        <v>79</v>
      </c>
      <c r="C22" s="4" t="s">
        <v>15</v>
      </c>
      <c r="D22" s="5">
        <f t="shared" si="20"/>
        <v>12</v>
      </c>
      <c r="E22" s="5">
        <f t="shared" si="21"/>
        <v>1</v>
      </c>
      <c r="F22" s="26">
        <f t="shared" si="22"/>
        <v>0</v>
      </c>
      <c r="G22" s="8" t="s">
        <v>89</v>
      </c>
      <c r="J22" s="39"/>
      <c r="N22" s="38"/>
      <c r="O22" s="8" t="s">
        <v>89</v>
      </c>
      <c r="R22" s="38"/>
      <c r="S22" s="8" t="s">
        <v>89</v>
      </c>
      <c r="V22" s="38"/>
      <c r="Z22" s="38"/>
      <c r="AA22" s="8" t="s">
        <v>89</v>
      </c>
      <c r="AD22" s="38"/>
      <c r="AE22" s="8" t="s">
        <v>89</v>
      </c>
      <c r="AH22" s="38"/>
      <c r="AI22" s="8" t="s">
        <v>89</v>
      </c>
      <c r="AL22" s="38"/>
      <c r="AP22" s="38"/>
      <c r="AQ22" s="8" t="s">
        <v>89</v>
      </c>
      <c r="AR22" s="8">
        <v>1</v>
      </c>
      <c r="AT22" s="38"/>
      <c r="AU22" s="8" t="s">
        <v>89</v>
      </c>
      <c r="AX22" s="38"/>
      <c r="AY22" s="8" t="s">
        <v>41</v>
      </c>
      <c r="BB22" s="38"/>
      <c r="BF22" s="38"/>
      <c r="BJ22" s="38"/>
      <c r="BN22" s="38"/>
      <c r="BO22" s="8" t="s">
        <v>89</v>
      </c>
      <c r="BR22" s="38"/>
      <c r="BS22" s="8" t="s">
        <v>89</v>
      </c>
      <c r="BV22" s="38"/>
      <c r="BZ22" s="38"/>
      <c r="CD22" s="38"/>
      <c r="CE22" s="8" t="s">
        <v>41</v>
      </c>
      <c r="CH22" s="38"/>
      <c r="CL22" s="39"/>
    </row>
    <row r="23" spans="1:90" x14ac:dyDescent="0.2">
      <c r="A23" s="4">
        <v>888</v>
      </c>
      <c r="B23" s="4" t="s">
        <v>80</v>
      </c>
      <c r="C23" s="1" t="s">
        <v>15</v>
      </c>
      <c r="D23" s="5">
        <f t="shared" si="20"/>
        <v>4</v>
      </c>
      <c r="E23" s="5">
        <f t="shared" si="21"/>
        <v>0</v>
      </c>
      <c r="F23" s="26">
        <f t="shared" si="22"/>
        <v>0</v>
      </c>
      <c r="J23" s="39"/>
      <c r="N23" s="38"/>
      <c r="R23" s="38"/>
      <c r="S23" s="8" t="s">
        <v>76</v>
      </c>
      <c r="V23" s="38"/>
      <c r="Z23" s="38"/>
      <c r="AD23" s="38"/>
      <c r="AE23" s="8" t="s">
        <v>89</v>
      </c>
      <c r="AH23" s="38"/>
      <c r="AI23" s="8" t="s">
        <v>89</v>
      </c>
      <c r="AL23" s="38"/>
      <c r="AP23" s="38"/>
      <c r="AQ23" s="8" t="s">
        <v>41</v>
      </c>
      <c r="AT23" s="38"/>
      <c r="AX23" s="38"/>
      <c r="BB23" s="38"/>
      <c r="BF23" s="38"/>
      <c r="BJ23" s="38"/>
      <c r="BN23" s="38"/>
      <c r="BR23" s="38"/>
      <c r="BV23" s="38"/>
      <c r="BZ23" s="38"/>
      <c r="CD23" s="38"/>
      <c r="CH23" s="38"/>
      <c r="CL23" s="39"/>
    </row>
    <row r="24" spans="1:90" x14ac:dyDescent="0.2">
      <c r="A24" s="4">
        <v>21</v>
      </c>
      <c r="B24" s="4" t="s">
        <v>45</v>
      </c>
      <c r="C24" s="1" t="s">
        <v>15</v>
      </c>
      <c r="D24" s="5">
        <f t="shared" si="20"/>
        <v>12</v>
      </c>
      <c r="E24" s="5">
        <f t="shared" si="21"/>
        <v>8</v>
      </c>
      <c r="F24" s="26">
        <f t="shared" si="22"/>
        <v>4</v>
      </c>
      <c r="G24" s="8" t="s">
        <v>89</v>
      </c>
      <c r="H24" s="8">
        <v>5</v>
      </c>
      <c r="J24" s="39"/>
      <c r="K24" s="8" t="s">
        <v>89</v>
      </c>
      <c r="N24" s="38"/>
      <c r="O24" s="8" t="s">
        <v>89</v>
      </c>
      <c r="R24" s="38"/>
      <c r="S24" s="8" t="s">
        <v>89</v>
      </c>
      <c r="V24" s="38"/>
      <c r="Z24" s="38"/>
      <c r="AA24" s="8" t="s">
        <v>41</v>
      </c>
      <c r="AB24" s="8">
        <v>1</v>
      </c>
      <c r="AD24" s="38"/>
      <c r="AE24" s="8" t="s">
        <v>41</v>
      </c>
      <c r="AH24" s="38"/>
      <c r="AI24" s="8" t="s">
        <v>41</v>
      </c>
      <c r="AL24" s="38"/>
      <c r="AP24" s="38"/>
      <c r="AT24" s="38"/>
      <c r="AU24" s="8" t="s">
        <v>41</v>
      </c>
      <c r="AV24" s="8">
        <v>1</v>
      </c>
      <c r="AW24" s="8">
        <v>4</v>
      </c>
      <c r="AX24" s="38"/>
      <c r="BB24" s="38"/>
      <c r="BF24" s="38"/>
      <c r="BJ24" s="38"/>
      <c r="BN24" s="38"/>
      <c r="BO24" s="8" t="s">
        <v>41</v>
      </c>
      <c r="BR24" s="38"/>
      <c r="BS24" s="8" t="s">
        <v>41</v>
      </c>
      <c r="BT24" s="8">
        <v>1</v>
      </c>
      <c r="BV24" s="38"/>
      <c r="BZ24" s="38"/>
      <c r="CA24" s="8" t="s">
        <v>41</v>
      </c>
      <c r="CD24" s="38"/>
      <c r="CE24" s="8" t="s">
        <v>41</v>
      </c>
      <c r="CH24" s="38"/>
      <c r="CL24" s="39"/>
    </row>
    <row r="25" spans="1:90" x14ac:dyDescent="0.2">
      <c r="A25" s="4"/>
      <c r="B25"/>
      <c r="C25" s="4"/>
      <c r="D25" s="5">
        <f t="shared" si="20"/>
        <v>0</v>
      </c>
      <c r="E25" s="5">
        <f t="shared" si="21"/>
        <v>0</v>
      </c>
      <c r="F25" s="26">
        <f t="shared" si="22"/>
        <v>0</v>
      </c>
      <c r="J25" s="39"/>
      <c r="N25" s="38"/>
      <c r="R25" s="38"/>
      <c r="V25" s="38"/>
      <c r="Z25" s="38"/>
      <c r="AD25" s="38"/>
      <c r="AH25" s="38"/>
      <c r="AL25" s="38"/>
      <c r="AP25" s="38"/>
      <c r="AT25" s="38"/>
      <c r="AX25" s="38"/>
      <c r="BB25" s="38"/>
      <c r="BF25" s="38"/>
      <c r="BJ25" s="38"/>
      <c r="BN25" s="38"/>
      <c r="BR25" s="38"/>
      <c r="BV25" s="38"/>
      <c r="BZ25" s="38"/>
      <c r="CD25" s="38"/>
      <c r="CH25" s="38"/>
      <c r="CL25" s="39"/>
    </row>
    <row r="26" spans="1:90" x14ac:dyDescent="0.2">
      <c r="A26" s="4">
        <v>12</v>
      </c>
      <c r="B26" s="4" t="s">
        <v>17</v>
      </c>
      <c r="C26" s="4" t="s">
        <v>18</v>
      </c>
      <c r="D26" s="5">
        <f t="shared" si="20"/>
        <v>0</v>
      </c>
      <c r="E26" s="5">
        <f t="shared" si="21"/>
        <v>0</v>
      </c>
      <c r="F26" s="26">
        <f t="shared" si="22"/>
        <v>0</v>
      </c>
      <c r="J26" s="39"/>
      <c r="N26" s="38"/>
      <c r="R26" s="38"/>
      <c r="V26" s="38"/>
      <c r="Z26" s="38"/>
      <c r="AD26" s="38"/>
      <c r="AH26" s="38"/>
      <c r="AL26" s="38"/>
      <c r="AP26" s="38"/>
      <c r="AT26" s="38"/>
      <c r="AX26" s="38"/>
      <c r="BB26" s="38"/>
      <c r="BF26" s="38"/>
      <c r="BJ26" s="38"/>
      <c r="BN26" s="38"/>
      <c r="BR26" s="38"/>
      <c r="BV26" s="38"/>
      <c r="BZ26" s="38"/>
      <c r="CD26" s="38"/>
      <c r="CH26" s="38"/>
      <c r="CL26" s="39"/>
    </row>
    <row r="27" spans="1:90" x14ac:dyDescent="0.2">
      <c r="A27" s="4">
        <v>888</v>
      </c>
      <c r="B27" s="4" t="s">
        <v>62</v>
      </c>
      <c r="C27" s="4" t="s">
        <v>12</v>
      </c>
      <c r="D27" s="5">
        <f t="shared" si="20"/>
        <v>0</v>
      </c>
      <c r="E27" s="5">
        <f t="shared" si="21"/>
        <v>0</v>
      </c>
      <c r="F27" s="26">
        <f t="shared" si="22"/>
        <v>0</v>
      </c>
      <c r="J27" s="39"/>
      <c r="N27" s="39"/>
      <c r="R27" s="39"/>
      <c r="V27" s="39"/>
      <c r="Z27" s="39"/>
      <c r="AD27" s="39"/>
      <c r="AH27" s="39"/>
      <c r="AL27" s="39"/>
      <c r="AP27" s="39"/>
      <c r="AT27" s="39"/>
      <c r="AX27" s="39"/>
      <c r="BB27" s="39"/>
      <c r="BF27" s="39"/>
      <c r="BJ27" s="39"/>
      <c r="BN27" s="39"/>
      <c r="BR27" s="39"/>
      <c r="BV27" s="39"/>
      <c r="BZ27" s="39"/>
      <c r="CD27" s="39"/>
      <c r="CH27" s="39"/>
      <c r="CL27" s="39"/>
    </row>
    <row r="28" spans="1:90" x14ac:dyDescent="0.2">
      <c r="A28" s="4">
        <v>888</v>
      </c>
      <c r="B28" s="4" t="s">
        <v>61</v>
      </c>
      <c r="C28" s="4" t="s">
        <v>12</v>
      </c>
      <c r="D28" s="5">
        <f t="shared" si="20"/>
        <v>0</v>
      </c>
      <c r="E28" s="5">
        <f t="shared" si="21"/>
        <v>0</v>
      </c>
      <c r="F28" s="26">
        <f t="shared" si="22"/>
        <v>0</v>
      </c>
      <c r="J28" s="39"/>
      <c r="N28" s="39"/>
      <c r="R28" s="39"/>
      <c r="V28" s="39"/>
      <c r="Z28" s="39"/>
      <c r="AD28" s="39"/>
      <c r="AH28" s="39"/>
      <c r="AL28" s="39"/>
      <c r="AP28" s="39"/>
      <c r="AT28" s="39"/>
      <c r="AX28" s="39"/>
      <c r="BB28" s="39"/>
      <c r="BF28" s="39"/>
      <c r="BJ28" s="39"/>
      <c r="BN28" s="39"/>
      <c r="BR28" s="39"/>
      <c r="BV28" s="39"/>
      <c r="BZ28" s="39"/>
      <c r="CD28" s="39"/>
      <c r="CH28" s="39"/>
      <c r="CL28" s="39"/>
    </row>
    <row r="29" spans="1:90" x14ac:dyDescent="0.2">
      <c r="A29" s="4">
        <v>14</v>
      </c>
      <c r="B29" s="4" t="s">
        <v>81</v>
      </c>
      <c r="C29" s="4" t="s">
        <v>15</v>
      </c>
      <c r="D29" s="5">
        <f t="shared" si="20"/>
        <v>7</v>
      </c>
      <c r="E29" s="5">
        <f t="shared" si="21"/>
        <v>2</v>
      </c>
      <c r="F29" s="26">
        <f t="shared" si="22"/>
        <v>0</v>
      </c>
      <c r="J29" s="39"/>
      <c r="K29" s="8" t="s">
        <v>89</v>
      </c>
      <c r="N29" s="39"/>
      <c r="O29" s="8" t="s">
        <v>89</v>
      </c>
      <c r="R29" s="39"/>
      <c r="S29" s="8" t="s">
        <v>89</v>
      </c>
      <c r="V29" s="39"/>
      <c r="Z29" s="39"/>
      <c r="AD29" s="39"/>
      <c r="AE29" s="8" t="s">
        <v>89</v>
      </c>
      <c r="AF29" s="8">
        <v>1</v>
      </c>
      <c r="AH29" s="39"/>
      <c r="AL29" s="39"/>
      <c r="AP29" s="39"/>
      <c r="AT29" s="39"/>
      <c r="AU29" s="8" t="s">
        <v>41</v>
      </c>
      <c r="AX29" s="39"/>
      <c r="BB29" s="39"/>
      <c r="BF29" s="39"/>
      <c r="BJ29" s="39"/>
      <c r="BN29" s="39"/>
      <c r="BR29" s="39"/>
      <c r="BS29" s="8" t="s">
        <v>89</v>
      </c>
      <c r="BV29" s="39"/>
      <c r="BZ29" s="39"/>
      <c r="CD29" s="39"/>
      <c r="CH29" s="39"/>
      <c r="CI29" s="8" t="s">
        <v>89</v>
      </c>
      <c r="CJ29" s="8">
        <v>1</v>
      </c>
      <c r="CL29" s="39"/>
    </row>
    <row r="30" spans="1:90" x14ac:dyDescent="0.2">
      <c r="A30" s="4">
        <v>12</v>
      </c>
      <c r="B30" s="4" t="s">
        <v>82</v>
      </c>
      <c r="C30" s="4" t="s">
        <v>11</v>
      </c>
      <c r="D30" s="5">
        <f t="shared" si="20"/>
        <v>12</v>
      </c>
      <c r="E30" s="5">
        <f t="shared" si="21"/>
        <v>1</v>
      </c>
      <c r="F30" s="26">
        <f t="shared" si="22"/>
        <v>0</v>
      </c>
      <c r="J30" s="39"/>
      <c r="K30" s="8" t="s">
        <v>76</v>
      </c>
      <c r="N30" s="38"/>
      <c r="O30" s="8" t="s">
        <v>76</v>
      </c>
      <c r="R30" s="38"/>
      <c r="S30" s="8" t="s">
        <v>76</v>
      </c>
      <c r="V30" s="38"/>
      <c r="Z30" s="38"/>
      <c r="AD30" s="38"/>
      <c r="AE30" s="8" t="s">
        <v>76</v>
      </c>
      <c r="AH30" s="38"/>
      <c r="AI30" s="8" t="s">
        <v>76</v>
      </c>
      <c r="AL30" s="38"/>
      <c r="AP30" s="38"/>
      <c r="AQ30" s="8" t="s">
        <v>41</v>
      </c>
      <c r="AR30" s="8">
        <v>1</v>
      </c>
      <c r="AT30" s="38"/>
      <c r="AU30" s="8" t="s">
        <v>41</v>
      </c>
      <c r="AX30" s="38"/>
      <c r="BB30" s="38"/>
      <c r="BF30" s="38"/>
      <c r="BJ30" s="38"/>
      <c r="BN30" s="38"/>
      <c r="BR30" s="38"/>
      <c r="BS30" s="8" t="s">
        <v>76</v>
      </c>
      <c r="BV30" s="38"/>
      <c r="BW30" s="8" t="s">
        <v>89</v>
      </c>
      <c r="BZ30" s="38"/>
      <c r="CA30" s="8" t="s">
        <v>76</v>
      </c>
      <c r="CD30" s="38"/>
      <c r="CE30" s="8" t="s">
        <v>76</v>
      </c>
      <c r="CH30" s="38"/>
      <c r="CI30" s="8" t="s">
        <v>89</v>
      </c>
      <c r="CL30" s="39"/>
    </row>
    <row r="31" spans="1:90" x14ac:dyDescent="0.2">
      <c r="A31" s="51" t="s">
        <v>85</v>
      </c>
      <c r="B31" s="4" t="s">
        <v>83</v>
      </c>
      <c r="C31" s="4" t="s">
        <v>84</v>
      </c>
      <c r="D31" s="5"/>
      <c r="E31" s="5"/>
      <c r="F31" s="26"/>
      <c r="G31" s="8" t="s">
        <v>39</v>
      </c>
      <c r="J31" s="39"/>
      <c r="K31" s="8" t="s">
        <v>39</v>
      </c>
      <c r="N31" s="38"/>
      <c r="O31" s="8" t="s">
        <v>39</v>
      </c>
      <c r="R31" s="38"/>
      <c r="S31" s="8" t="s">
        <v>39</v>
      </c>
      <c r="V31" s="38"/>
      <c r="Z31" s="38"/>
      <c r="AA31" s="8" t="s">
        <v>39</v>
      </c>
      <c r="AD31" s="38"/>
      <c r="AE31" s="8" t="s">
        <v>39</v>
      </c>
      <c r="AH31" s="38"/>
      <c r="AI31" s="8" t="s">
        <v>39</v>
      </c>
      <c r="AL31" s="38"/>
      <c r="AP31" s="38"/>
      <c r="AQ31" s="8" t="s">
        <v>39</v>
      </c>
      <c r="AT31" s="38"/>
      <c r="AX31" s="38"/>
      <c r="BB31" s="38"/>
      <c r="BF31" s="38"/>
      <c r="BJ31" s="38"/>
      <c r="BN31" s="38"/>
      <c r="BR31" s="38"/>
      <c r="BV31" s="38"/>
      <c r="BZ31" s="38"/>
      <c r="CD31" s="38"/>
      <c r="CH31" s="38"/>
      <c r="CL31" s="39"/>
    </row>
    <row r="32" spans="1:90" ht="13.5" customHeight="1" x14ac:dyDescent="0.2">
      <c r="A32" s="4">
        <v>10</v>
      </c>
      <c r="B32" s="4" t="s">
        <v>86</v>
      </c>
      <c r="C32" s="4" t="s">
        <v>12</v>
      </c>
      <c r="D32" s="5">
        <f t="shared" ref="D32:D39" si="23">COUNTIF(G32:CM32,"=*")</f>
        <v>9</v>
      </c>
      <c r="E32" s="5">
        <f t="shared" ref="E32:E39" si="24">SUMIF(G$9:CM$9,"G",G32:CM32)</f>
        <v>3</v>
      </c>
      <c r="F32" s="26">
        <f t="shared" ref="F32:F39" si="25">SUMIF(G$9:CM$9,"A",G32:CM32)</f>
        <v>0</v>
      </c>
      <c r="G32" s="8" t="s">
        <v>41</v>
      </c>
      <c r="H32" s="8">
        <v>1</v>
      </c>
      <c r="J32" s="39"/>
      <c r="N32" s="38"/>
      <c r="O32" s="8" t="s">
        <v>41</v>
      </c>
      <c r="R32" s="38"/>
      <c r="S32" s="8" t="s">
        <v>41</v>
      </c>
      <c r="V32" s="38"/>
      <c r="Z32" s="38"/>
      <c r="AA32" s="8" t="s">
        <v>41</v>
      </c>
      <c r="AD32" s="38"/>
      <c r="AE32" s="8" t="s">
        <v>41</v>
      </c>
      <c r="AF32" s="8">
        <v>1</v>
      </c>
      <c r="AH32" s="38"/>
      <c r="AL32" s="38"/>
      <c r="AP32" s="38"/>
      <c r="AT32" s="38"/>
      <c r="AX32" s="38"/>
      <c r="AY32" s="8" t="s">
        <v>41</v>
      </c>
      <c r="BB32" s="38"/>
      <c r="BF32" s="38"/>
      <c r="BJ32" s="38"/>
      <c r="BN32" s="38"/>
      <c r="BO32" s="8" t="s">
        <v>41</v>
      </c>
      <c r="BR32" s="38"/>
      <c r="BS32" s="8" t="s">
        <v>41</v>
      </c>
      <c r="BT32" s="8">
        <v>1</v>
      </c>
      <c r="BV32" s="38"/>
      <c r="BZ32" s="38"/>
      <c r="CD32" s="38"/>
      <c r="CH32" s="38"/>
      <c r="CI32" s="8" t="s">
        <v>41</v>
      </c>
      <c r="CL32" s="39"/>
    </row>
    <row r="33" spans="1:90" ht="13.5" customHeight="1" x14ac:dyDescent="0.2">
      <c r="A33" s="4">
        <v>7</v>
      </c>
      <c r="B33" s="4" t="s">
        <v>14</v>
      </c>
      <c r="C33" s="4" t="s">
        <v>12</v>
      </c>
      <c r="D33" s="5">
        <f t="shared" si="23"/>
        <v>5</v>
      </c>
      <c r="E33" s="5">
        <f t="shared" si="24"/>
        <v>7</v>
      </c>
      <c r="F33" s="26">
        <f t="shared" si="25"/>
        <v>0</v>
      </c>
      <c r="G33" s="8" t="s">
        <v>41</v>
      </c>
      <c r="J33" s="39"/>
      <c r="N33" s="39"/>
      <c r="O33" s="8" t="s">
        <v>41</v>
      </c>
      <c r="P33" s="8">
        <v>2</v>
      </c>
      <c r="R33" s="39"/>
      <c r="S33" s="8" t="s">
        <v>41</v>
      </c>
      <c r="T33" s="8">
        <v>1</v>
      </c>
      <c r="V33" s="39"/>
      <c r="Z33" s="39"/>
      <c r="AD33" s="39"/>
      <c r="AE33" s="8" t="s">
        <v>89</v>
      </c>
      <c r="AF33" s="8">
        <v>4</v>
      </c>
      <c r="AH33" s="39"/>
      <c r="AI33" s="8" t="s">
        <v>41</v>
      </c>
      <c r="AL33" s="39"/>
      <c r="AP33" s="39"/>
      <c r="AT33" s="39"/>
      <c r="AX33" s="39"/>
      <c r="BB33" s="39"/>
      <c r="BF33" s="39"/>
      <c r="BJ33" s="39"/>
      <c r="BN33" s="39"/>
      <c r="BR33" s="39"/>
      <c r="BV33" s="39"/>
      <c r="BZ33" s="39"/>
      <c r="CD33" s="39"/>
      <c r="CH33" s="39"/>
      <c r="CL33" s="39"/>
    </row>
    <row r="34" spans="1:90" ht="13.5" customHeight="1" x14ac:dyDescent="0.2">
      <c r="A34" s="4">
        <v>15</v>
      </c>
      <c r="B34" s="4" t="s">
        <v>87</v>
      </c>
      <c r="C34" s="4" t="s">
        <v>11</v>
      </c>
      <c r="D34" s="5">
        <f t="shared" si="23"/>
        <v>4</v>
      </c>
      <c r="E34" s="5">
        <f t="shared" si="24"/>
        <v>0</v>
      </c>
      <c r="F34" s="26">
        <f t="shared" si="25"/>
        <v>0</v>
      </c>
      <c r="G34" s="8" t="s">
        <v>76</v>
      </c>
      <c r="J34" s="39"/>
      <c r="N34" s="39"/>
      <c r="O34" s="8" t="s">
        <v>76</v>
      </c>
      <c r="R34" s="39"/>
      <c r="V34" s="39"/>
      <c r="Z34" s="39"/>
      <c r="AD34" s="39"/>
      <c r="AH34" s="39"/>
      <c r="AL34" s="39"/>
      <c r="AP34" s="39"/>
      <c r="AT34" s="39"/>
      <c r="AX34" s="39"/>
      <c r="BB34" s="39"/>
      <c r="BF34" s="39"/>
      <c r="BJ34" s="39"/>
      <c r="BN34" s="39"/>
      <c r="BR34" s="39"/>
      <c r="BV34" s="39"/>
      <c r="BW34" s="8" t="s">
        <v>76</v>
      </c>
      <c r="BZ34" s="39"/>
      <c r="CA34" s="8" t="s">
        <v>76</v>
      </c>
      <c r="CD34" s="39"/>
      <c r="CH34" s="39"/>
      <c r="CL34" s="39"/>
    </row>
    <row r="35" spans="1:90" x14ac:dyDescent="0.2">
      <c r="A35" s="4">
        <v>888</v>
      </c>
      <c r="B35" s="1" t="s">
        <v>94</v>
      </c>
      <c r="C35" s="4" t="s">
        <v>84</v>
      </c>
      <c r="D35" s="5">
        <f t="shared" si="23"/>
        <v>8</v>
      </c>
      <c r="E35" s="5">
        <f t="shared" si="24"/>
        <v>0</v>
      </c>
      <c r="F35" s="26">
        <f t="shared" si="25"/>
        <v>0</v>
      </c>
      <c r="J35" s="39"/>
      <c r="N35" s="39"/>
      <c r="R35" s="39"/>
      <c r="V35" s="39"/>
      <c r="Z35" s="39"/>
      <c r="AD35" s="39"/>
      <c r="AH35" s="39"/>
      <c r="AL35" s="39"/>
      <c r="AP35" s="39"/>
      <c r="AT35" s="39"/>
      <c r="AU35" s="8" t="s">
        <v>39</v>
      </c>
      <c r="AX35" s="39"/>
      <c r="AY35" s="8" t="s">
        <v>39</v>
      </c>
      <c r="BB35" s="39"/>
      <c r="BF35" s="39"/>
      <c r="BJ35" s="39"/>
      <c r="BN35" s="39"/>
      <c r="BO35" s="8" t="s">
        <v>39</v>
      </c>
      <c r="BR35" s="39"/>
      <c r="BS35" s="8" t="s">
        <v>39</v>
      </c>
      <c r="BV35" s="39"/>
      <c r="BW35" s="8" t="s">
        <v>39</v>
      </c>
      <c r="BZ35" s="39"/>
      <c r="CA35" s="8" t="s">
        <v>39</v>
      </c>
      <c r="CD35" s="39"/>
      <c r="CE35" s="8" t="s">
        <v>39</v>
      </c>
      <c r="CH35" s="39"/>
      <c r="CI35" s="8" t="s">
        <v>39</v>
      </c>
      <c r="CL35" s="39"/>
    </row>
    <row r="36" spans="1:90" x14ac:dyDescent="0.2">
      <c r="A36" s="4">
        <v>28</v>
      </c>
      <c r="B36" s="4" t="s">
        <v>20</v>
      </c>
      <c r="C36" s="4" t="s">
        <v>11</v>
      </c>
      <c r="D36" s="5">
        <f t="shared" si="23"/>
        <v>12</v>
      </c>
      <c r="E36" s="5">
        <f t="shared" si="24"/>
        <v>1</v>
      </c>
      <c r="F36" s="26">
        <f t="shared" si="25"/>
        <v>0</v>
      </c>
      <c r="G36" s="8" t="s">
        <v>76</v>
      </c>
      <c r="J36" s="39">
        <v>2</v>
      </c>
      <c r="K36" s="8" t="s">
        <v>76</v>
      </c>
      <c r="N36" s="39"/>
      <c r="R36" s="39">
        <v>4</v>
      </c>
      <c r="V36" s="39"/>
      <c r="Z36" s="39"/>
      <c r="AA36" s="8" t="s">
        <v>76</v>
      </c>
      <c r="AD36" s="39"/>
      <c r="AE36" s="8" t="s">
        <v>76</v>
      </c>
      <c r="AH36" s="39"/>
      <c r="AI36" s="8" t="s">
        <v>76</v>
      </c>
      <c r="AL36" s="39"/>
      <c r="AP36" s="39"/>
      <c r="AQ36" s="8" t="s">
        <v>76</v>
      </c>
      <c r="AT36" s="39"/>
      <c r="AX36" s="39"/>
      <c r="BB36" s="39">
        <v>4</v>
      </c>
      <c r="BF36" s="39"/>
      <c r="BJ36" s="39"/>
      <c r="BN36" s="39"/>
      <c r="BO36" s="8" t="s">
        <v>41</v>
      </c>
      <c r="BR36" s="39"/>
      <c r="BS36" s="8" t="s">
        <v>41</v>
      </c>
      <c r="BT36" s="8">
        <v>1</v>
      </c>
      <c r="BV36" s="39"/>
      <c r="BW36" s="8" t="s">
        <v>41</v>
      </c>
      <c r="BZ36" s="39"/>
      <c r="CA36" s="8" t="s">
        <v>41</v>
      </c>
      <c r="CD36" s="39"/>
      <c r="CE36" s="8" t="s">
        <v>41</v>
      </c>
      <c r="CH36" s="39"/>
      <c r="CI36" s="8" t="s">
        <v>41</v>
      </c>
      <c r="CL36" s="39"/>
    </row>
    <row r="37" spans="1:90" x14ac:dyDescent="0.2">
      <c r="A37" s="4">
        <v>888</v>
      </c>
      <c r="B37" s="4" t="s">
        <v>59</v>
      </c>
      <c r="C37" s="4" t="s">
        <v>15</v>
      </c>
      <c r="D37" s="5">
        <f t="shared" si="23"/>
        <v>1</v>
      </c>
      <c r="E37" s="5">
        <f t="shared" si="24"/>
        <v>0</v>
      </c>
      <c r="F37" s="26">
        <f t="shared" si="25"/>
        <v>0</v>
      </c>
      <c r="J37" s="39"/>
      <c r="N37" s="39"/>
      <c r="O37" s="8" t="s">
        <v>89</v>
      </c>
      <c r="R37" s="39"/>
      <c r="V37" s="39"/>
      <c r="Z37" s="39"/>
      <c r="AD37" s="39"/>
      <c r="AH37" s="39"/>
      <c r="AL37" s="39"/>
      <c r="AP37" s="39"/>
      <c r="AT37" s="39"/>
      <c r="AX37" s="39"/>
      <c r="BB37" s="39"/>
      <c r="BF37" s="39"/>
      <c r="BJ37" s="39"/>
      <c r="BN37" s="39"/>
      <c r="BR37" s="39"/>
      <c r="BV37" s="39"/>
      <c r="BZ37" s="39"/>
      <c r="CD37" s="39"/>
      <c r="CH37" s="39"/>
      <c r="CL37" s="39"/>
    </row>
    <row r="38" spans="1:90" x14ac:dyDescent="0.2">
      <c r="A38" s="4">
        <v>19</v>
      </c>
      <c r="B38" t="s">
        <v>63</v>
      </c>
      <c r="C38" s="4" t="s">
        <v>11</v>
      </c>
      <c r="D38" s="5">
        <f t="shared" si="23"/>
        <v>9</v>
      </c>
      <c r="E38" s="5">
        <f t="shared" si="24"/>
        <v>8</v>
      </c>
      <c r="F38" s="26">
        <f t="shared" si="25"/>
        <v>0</v>
      </c>
      <c r="J38" s="39"/>
      <c r="N38" s="39"/>
      <c r="R38" s="39"/>
      <c r="S38" s="8" t="s">
        <v>76</v>
      </c>
      <c r="V38" s="39"/>
      <c r="Z38" s="39"/>
      <c r="AA38" s="8" t="s">
        <v>89</v>
      </c>
      <c r="AB38" s="8">
        <v>2</v>
      </c>
      <c r="AD38" s="39"/>
      <c r="AH38" s="39"/>
      <c r="AI38" s="8" t="s">
        <v>89</v>
      </c>
      <c r="AL38" s="39"/>
      <c r="AP38" s="39"/>
      <c r="AQ38" s="8" t="s">
        <v>89</v>
      </c>
      <c r="AR38" s="8">
        <v>2</v>
      </c>
      <c r="AT38" s="39"/>
      <c r="AU38" s="8" t="s">
        <v>89</v>
      </c>
      <c r="AV38" s="8">
        <v>4</v>
      </c>
      <c r="AX38" s="39"/>
      <c r="AY38" s="8" t="s">
        <v>89</v>
      </c>
      <c r="BB38" s="39"/>
      <c r="BF38" s="39"/>
      <c r="BJ38" s="39"/>
      <c r="BN38" s="39"/>
      <c r="BO38" s="8" t="s">
        <v>89</v>
      </c>
      <c r="BR38" s="39"/>
      <c r="BV38" s="39"/>
      <c r="BZ38" s="39"/>
      <c r="CA38" s="8" t="s">
        <v>89</v>
      </c>
      <c r="CD38" s="39"/>
      <c r="CE38" s="8" t="s">
        <v>89</v>
      </c>
      <c r="CH38" s="39"/>
      <c r="CL38" s="39"/>
    </row>
    <row r="39" spans="1:90" x14ac:dyDescent="0.2">
      <c r="A39" s="4">
        <v>4</v>
      </c>
      <c r="B39" s="4" t="s">
        <v>88</v>
      </c>
      <c r="C39" s="4" t="s">
        <v>11</v>
      </c>
      <c r="D39" s="5">
        <f t="shared" si="23"/>
        <v>12</v>
      </c>
      <c r="E39" s="5">
        <f t="shared" si="24"/>
        <v>0</v>
      </c>
      <c r="F39" s="26">
        <f t="shared" si="25"/>
        <v>0</v>
      </c>
      <c r="G39" s="8" t="s">
        <v>76</v>
      </c>
      <c r="J39" s="39"/>
      <c r="K39" s="8" t="s">
        <v>76</v>
      </c>
      <c r="N39" s="39"/>
      <c r="O39" s="8" t="s">
        <v>76</v>
      </c>
      <c r="R39" s="39"/>
      <c r="V39" s="39"/>
      <c r="Z39" s="39"/>
      <c r="AA39" s="8" t="s">
        <v>76</v>
      </c>
      <c r="AD39" s="39"/>
      <c r="AE39" s="8" t="s">
        <v>76</v>
      </c>
      <c r="AH39" s="39"/>
      <c r="AL39" s="39"/>
      <c r="AP39" s="39"/>
      <c r="AQ39" s="8" t="s">
        <v>89</v>
      </c>
      <c r="AT39" s="39"/>
      <c r="AU39" s="8" t="s">
        <v>76</v>
      </c>
      <c r="AX39" s="39"/>
      <c r="AY39" s="8" t="s">
        <v>76</v>
      </c>
      <c r="BB39" s="39"/>
      <c r="BF39" s="39"/>
      <c r="BJ39" s="39"/>
      <c r="BN39" s="39"/>
      <c r="BO39" s="8" t="s">
        <v>76</v>
      </c>
      <c r="BR39" s="39"/>
      <c r="BS39" s="8" t="s">
        <v>76</v>
      </c>
      <c r="BV39" s="39"/>
      <c r="BW39" s="8" t="s">
        <v>76</v>
      </c>
      <c r="BZ39" s="39"/>
      <c r="CD39" s="39"/>
      <c r="CH39" s="39"/>
      <c r="CI39" s="8" t="s">
        <v>76</v>
      </c>
      <c r="CL39" s="39"/>
    </row>
    <row r="40" spans="1:90" x14ac:dyDescent="0.2">
      <c r="A40" s="4">
        <v>777</v>
      </c>
      <c r="B40" s="4" t="s">
        <v>96</v>
      </c>
      <c r="C40" s="4"/>
      <c r="D40" s="5"/>
      <c r="E40" s="5"/>
      <c r="F40" s="26"/>
      <c r="J40" s="39"/>
      <c r="N40" s="39"/>
      <c r="R40" s="39"/>
      <c r="V40" s="39"/>
      <c r="Z40" s="39"/>
      <c r="AD40" s="39"/>
      <c r="AH40" s="39"/>
      <c r="AL40" s="39"/>
      <c r="AP40" s="39"/>
      <c r="AT40" s="39"/>
      <c r="AX40" s="39"/>
      <c r="BB40" s="39"/>
      <c r="BF40" s="39"/>
      <c r="BJ40" s="39"/>
      <c r="BN40" s="39"/>
      <c r="BO40" s="8" t="s">
        <v>89</v>
      </c>
      <c r="BR40" s="39"/>
      <c r="BV40" s="39"/>
      <c r="BZ40" s="39"/>
      <c r="CD40" s="39"/>
      <c r="CH40" s="39"/>
      <c r="CL40" s="39"/>
    </row>
    <row r="41" spans="1:90" x14ac:dyDescent="0.2">
      <c r="A41" s="4">
        <v>888</v>
      </c>
      <c r="B41" s="4" t="s">
        <v>98</v>
      </c>
      <c r="C41" s="4"/>
      <c r="D41" s="5">
        <f t="shared" ref="D41:D49" si="26">COUNTIF(G41:CM41,"=*")</f>
        <v>1</v>
      </c>
      <c r="E41" s="5">
        <f t="shared" ref="E41:E49" si="27">SUMIF(G$9:CM$9,"G",G41:CM41)</f>
        <v>2</v>
      </c>
      <c r="F41" s="26">
        <f t="shared" ref="F41:F49" si="28">SUMIF(G$9:CM$9,"A",G41:CM41)</f>
        <v>0</v>
      </c>
      <c r="J41" s="39"/>
      <c r="N41" s="39"/>
      <c r="R41" s="39"/>
      <c r="V41" s="39"/>
      <c r="Z41" s="39"/>
      <c r="AD41" s="39"/>
      <c r="AH41" s="39"/>
      <c r="AL41" s="39"/>
      <c r="AP41" s="39"/>
      <c r="AT41" s="39"/>
      <c r="AX41" s="39"/>
      <c r="BB41" s="39"/>
      <c r="BF41" s="39"/>
      <c r="BJ41" s="39"/>
      <c r="BN41" s="39"/>
      <c r="BR41" s="39"/>
      <c r="BS41" s="8" t="s">
        <v>89</v>
      </c>
      <c r="BT41" s="8">
        <v>2</v>
      </c>
      <c r="BV41" s="39"/>
      <c r="BZ41" s="39"/>
      <c r="CD41" s="39"/>
      <c r="CH41" s="39"/>
      <c r="CL41" s="39"/>
    </row>
    <row r="42" spans="1:90" x14ac:dyDescent="0.2">
      <c r="A42" s="4">
        <v>888</v>
      </c>
      <c r="B42" s="4" t="s">
        <v>99</v>
      </c>
      <c r="C42" s="4"/>
      <c r="D42" s="5">
        <f t="shared" si="26"/>
        <v>1</v>
      </c>
      <c r="E42" s="5">
        <f t="shared" si="27"/>
        <v>3</v>
      </c>
      <c r="F42" s="26">
        <f t="shared" si="28"/>
        <v>0</v>
      </c>
      <c r="J42" s="39"/>
      <c r="N42" s="39"/>
      <c r="R42" s="39"/>
      <c r="V42" s="39"/>
      <c r="Z42" s="39"/>
      <c r="AD42" s="39"/>
      <c r="AH42" s="39"/>
      <c r="AL42" s="39"/>
      <c r="AP42" s="39"/>
      <c r="AT42" s="39"/>
      <c r="AX42" s="39"/>
      <c r="BB42" s="39"/>
      <c r="BF42" s="39"/>
      <c r="BJ42" s="39"/>
      <c r="BN42" s="39"/>
      <c r="BR42" s="39"/>
      <c r="BV42" s="39"/>
      <c r="BZ42" s="39"/>
      <c r="CD42" s="39"/>
      <c r="CE42" s="8" t="s">
        <v>89</v>
      </c>
      <c r="CF42" s="8">
        <v>3</v>
      </c>
      <c r="CH42" s="39"/>
      <c r="CL42" s="39"/>
    </row>
    <row r="43" spans="1:90" x14ac:dyDescent="0.2">
      <c r="A43" s="4">
        <v>888</v>
      </c>
      <c r="B43" s="1" t="s">
        <v>100</v>
      </c>
      <c r="C43" s="4"/>
      <c r="D43" s="5">
        <f t="shared" si="26"/>
        <v>2</v>
      </c>
      <c r="E43" s="5">
        <f t="shared" si="27"/>
        <v>0</v>
      </c>
      <c r="F43" s="26">
        <f t="shared" si="28"/>
        <v>0</v>
      </c>
      <c r="J43" s="39"/>
      <c r="N43" s="39"/>
      <c r="R43" s="39"/>
      <c r="V43" s="39"/>
      <c r="Z43" s="39"/>
      <c r="AD43" s="39"/>
      <c r="AH43" s="39"/>
      <c r="AL43" s="39"/>
      <c r="AP43" s="39"/>
      <c r="AT43" s="39"/>
      <c r="AX43" s="39"/>
      <c r="BB43" s="39"/>
      <c r="BF43" s="39"/>
      <c r="BJ43" s="39"/>
      <c r="BN43" s="39"/>
      <c r="BR43" s="39"/>
      <c r="BV43" s="39"/>
      <c r="BW43" s="8" t="s">
        <v>76</v>
      </c>
      <c r="BZ43" s="39"/>
      <c r="CD43" s="39"/>
      <c r="CE43" s="8" t="s">
        <v>76</v>
      </c>
      <c r="CH43" s="39"/>
      <c r="CL43" s="39"/>
    </row>
    <row r="44" spans="1:90" x14ac:dyDescent="0.2">
      <c r="A44" s="4">
        <v>888</v>
      </c>
      <c r="B44" s="1" t="s">
        <v>101</v>
      </c>
      <c r="C44" s="4"/>
      <c r="D44" s="5">
        <f t="shared" si="26"/>
        <v>4</v>
      </c>
      <c r="E44" s="5">
        <f t="shared" si="27"/>
        <v>9</v>
      </c>
      <c r="F44" s="26">
        <f t="shared" si="28"/>
        <v>0</v>
      </c>
      <c r="J44" s="39"/>
      <c r="N44" s="39"/>
      <c r="R44" s="39"/>
      <c r="V44" s="39"/>
      <c r="Z44" s="39"/>
      <c r="AD44" s="39"/>
      <c r="AH44" s="39"/>
      <c r="AL44" s="39"/>
      <c r="AP44" s="39"/>
      <c r="AT44" s="39"/>
      <c r="AX44" s="39"/>
      <c r="BB44" s="39"/>
      <c r="BF44" s="39"/>
      <c r="BJ44" s="39"/>
      <c r="BN44" s="39"/>
      <c r="BR44" s="39"/>
      <c r="BS44" s="8" t="s">
        <v>89</v>
      </c>
      <c r="BT44" s="8">
        <v>2</v>
      </c>
      <c r="BV44" s="39"/>
      <c r="BW44" s="8" t="s">
        <v>89</v>
      </c>
      <c r="BX44" s="8">
        <v>2</v>
      </c>
      <c r="BZ44" s="39"/>
      <c r="CA44" s="8" t="s">
        <v>89</v>
      </c>
      <c r="CB44" s="8">
        <v>2</v>
      </c>
      <c r="CD44" s="39"/>
      <c r="CH44" s="39"/>
      <c r="CI44" s="8" t="s">
        <v>89</v>
      </c>
      <c r="CJ44" s="8">
        <v>3</v>
      </c>
      <c r="CL44" s="39"/>
    </row>
    <row r="45" spans="1:90" x14ac:dyDescent="0.2">
      <c r="A45" s="4"/>
      <c r="B45" s="1"/>
      <c r="C45" s="4"/>
      <c r="D45" s="5">
        <f t="shared" si="26"/>
        <v>0</v>
      </c>
      <c r="E45" s="5">
        <f t="shared" si="27"/>
        <v>0</v>
      </c>
      <c r="F45" s="26">
        <f t="shared" si="28"/>
        <v>0</v>
      </c>
      <c r="J45" s="39"/>
      <c r="N45" s="39"/>
      <c r="R45" s="39"/>
      <c r="V45" s="39"/>
      <c r="Z45" s="39"/>
      <c r="AD45" s="39"/>
      <c r="AH45" s="39"/>
      <c r="AL45" s="39"/>
      <c r="AP45" s="39"/>
      <c r="AT45" s="39"/>
      <c r="AX45" s="39"/>
      <c r="BB45" s="39"/>
      <c r="BF45" s="39"/>
      <c r="BJ45" s="39"/>
      <c r="BN45" s="39"/>
      <c r="BR45" s="39"/>
      <c r="BV45" s="39"/>
      <c r="BZ45" s="39"/>
      <c r="CD45" s="39"/>
      <c r="CH45" s="39"/>
      <c r="CL45" s="39"/>
    </row>
    <row r="46" spans="1:90" x14ac:dyDescent="0.2">
      <c r="A46" s="4"/>
      <c r="B46" s="1"/>
      <c r="C46" s="4"/>
      <c r="D46" s="5">
        <f t="shared" si="26"/>
        <v>0</v>
      </c>
      <c r="E46" s="5">
        <f t="shared" si="27"/>
        <v>0</v>
      </c>
      <c r="F46" s="26">
        <f t="shared" si="28"/>
        <v>0</v>
      </c>
      <c r="J46" s="39"/>
      <c r="N46" s="39"/>
      <c r="R46" s="39"/>
      <c r="V46" s="39"/>
      <c r="Z46" s="39"/>
      <c r="AD46" s="39"/>
      <c r="AH46" s="39"/>
      <c r="AL46" s="39"/>
      <c r="AP46" s="39"/>
      <c r="AT46" s="39"/>
      <c r="AX46" s="39"/>
      <c r="BB46" s="39"/>
      <c r="BF46" s="39"/>
      <c r="BJ46" s="39"/>
      <c r="BN46" s="39"/>
      <c r="BR46" s="39"/>
      <c r="BV46" s="39"/>
      <c r="BZ46" s="39"/>
      <c r="CD46" s="39"/>
      <c r="CH46" s="39"/>
      <c r="CL46" s="39"/>
    </row>
    <row r="47" spans="1:90" x14ac:dyDescent="0.2">
      <c r="A47" s="4"/>
      <c r="B47" s="1"/>
      <c r="C47" s="4"/>
      <c r="D47" s="5">
        <f t="shared" si="26"/>
        <v>0</v>
      </c>
      <c r="E47" s="5">
        <f t="shared" si="27"/>
        <v>0</v>
      </c>
      <c r="F47" s="26">
        <f t="shared" si="28"/>
        <v>0</v>
      </c>
      <c r="J47" s="39"/>
      <c r="N47" s="39"/>
      <c r="R47" s="39"/>
      <c r="V47" s="39"/>
      <c r="Z47" s="39"/>
      <c r="AD47" s="39"/>
      <c r="AH47" s="39"/>
      <c r="AL47" s="39"/>
      <c r="AP47" s="39"/>
      <c r="AT47" s="39"/>
      <c r="AX47" s="39"/>
      <c r="BB47" s="39"/>
      <c r="BF47" s="39"/>
      <c r="BJ47" s="39"/>
      <c r="BN47" s="39"/>
      <c r="BR47" s="39"/>
      <c r="BV47" s="39"/>
      <c r="BZ47" s="39"/>
      <c r="CD47" s="39"/>
      <c r="CH47" s="39"/>
      <c r="CL47" s="39"/>
    </row>
    <row r="48" spans="1:90" x14ac:dyDescent="0.2">
      <c r="A48" s="4">
        <v>888</v>
      </c>
      <c r="B48" s="1" t="s">
        <v>90</v>
      </c>
      <c r="C48" s="4"/>
      <c r="D48" s="5">
        <f t="shared" si="26"/>
        <v>0</v>
      </c>
      <c r="E48" s="5">
        <f t="shared" si="27"/>
        <v>2</v>
      </c>
      <c r="F48" s="26">
        <f t="shared" si="28"/>
        <v>0</v>
      </c>
      <c r="H48" s="8">
        <v>1</v>
      </c>
      <c r="J48" s="39"/>
      <c r="L48" s="8">
        <v>1</v>
      </c>
      <c r="N48" s="39"/>
      <c r="R48" s="39"/>
      <c r="V48" s="39"/>
      <c r="Z48" s="39"/>
      <c r="AD48" s="39"/>
      <c r="AH48" s="39"/>
      <c r="AL48" s="39"/>
      <c r="AP48" s="39"/>
      <c r="AT48" s="39"/>
      <c r="AX48" s="39"/>
      <c r="BB48" s="39"/>
      <c r="BF48" s="39"/>
      <c r="BJ48" s="39"/>
      <c r="BN48" s="39"/>
      <c r="BR48" s="39"/>
      <c r="BV48" s="39"/>
      <c r="BZ48" s="39"/>
      <c r="CD48" s="39"/>
      <c r="CH48" s="39"/>
      <c r="CL48" s="39"/>
    </row>
    <row r="49" spans="1:90" x14ac:dyDescent="0.2">
      <c r="A49" s="4">
        <v>777</v>
      </c>
      <c r="B49" s="4" t="s">
        <v>25</v>
      </c>
      <c r="C49" s="4"/>
      <c r="D49" s="5">
        <f t="shared" si="26"/>
        <v>1</v>
      </c>
      <c r="E49" s="5">
        <f t="shared" si="27"/>
        <v>1</v>
      </c>
      <c r="F49" s="26">
        <f t="shared" si="28"/>
        <v>0</v>
      </c>
      <c r="J49" s="39"/>
      <c r="K49" s="8" t="s">
        <v>41</v>
      </c>
      <c r="L49" s="8">
        <v>1</v>
      </c>
      <c r="N49" s="38"/>
      <c r="R49" s="38"/>
      <c r="V49" s="38"/>
      <c r="Z49" s="38"/>
      <c r="AD49" s="38"/>
      <c r="AH49" s="38"/>
      <c r="AL49" s="38"/>
      <c r="AP49" s="38"/>
      <c r="AT49" s="38"/>
      <c r="AX49" s="38"/>
      <c r="BB49" s="38"/>
      <c r="BF49" s="38"/>
      <c r="BJ49" s="38"/>
      <c r="BN49" s="38"/>
      <c r="BR49" s="38"/>
      <c r="BV49" s="38"/>
      <c r="BZ49" s="38"/>
      <c r="CD49" s="38"/>
      <c r="CH49" s="38"/>
      <c r="CL49" s="39"/>
    </row>
    <row r="50" spans="1:90" x14ac:dyDescent="0.2">
      <c r="A50" s="32"/>
      <c r="B50" s="35" t="str">
        <f>Summary!B46</f>
        <v>Total</v>
      </c>
      <c r="C50" s="32"/>
      <c r="D50" s="33">
        <f>SUM(D10:D49)</f>
        <v>184</v>
      </c>
      <c r="E50" s="33">
        <f>SUM(E10:E49)</f>
        <v>60</v>
      </c>
      <c r="F50" s="34">
        <f>SUM(F10:F49)</f>
        <v>4</v>
      </c>
      <c r="G50" s="29"/>
      <c r="H50" s="29"/>
      <c r="I50" s="29"/>
      <c r="J50" s="30"/>
      <c r="K50" s="29"/>
      <c r="L50" s="29"/>
      <c r="M50" s="29"/>
      <c r="N50" s="30"/>
      <c r="O50" s="29"/>
      <c r="P50" s="29"/>
      <c r="Q50" s="29"/>
      <c r="R50" s="30"/>
      <c r="S50" s="29"/>
      <c r="T50" s="29"/>
      <c r="U50" s="29"/>
      <c r="V50" s="30"/>
      <c r="W50" s="29"/>
      <c r="X50" s="29"/>
      <c r="Y50" s="29"/>
      <c r="Z50" s="30"/>
      <c r="AA50" s="29"/>
      <c r="AB50" s="29"/>
      <c r="AC50" s="29"/>
      <c r="AD50" s="30"/>
      <c r="AE50" s="29"/>
      <c r="AF50" s="29"/>
      <c r="AG50" s="29"/>
      <c r="AH50" s="30"/>
      <c r="AI50" s="29"/>
      <c r="AJ50" s="29"/>
      <c r="AK50" s="29"/>
      <c r="AL50" s="30"/>
      <c r="AM50" s="29"/>
      <c r="AN50" s="29"/>
      <c r="AO50" s="29"/>
      <c r="AP50" s="30"/>
      <c r="AQ50" s="29"/>
      <c r="AR50" s="29"/>
      <c r="AS50" s="29"/>
      <c r="AT50" s="30"/>
      <c r="AU50" s="29"/>
      <c r="AV50" s="29"/>
      <c r="AW50" s="29"/>
      <c r="AX50" s="30"/>
      <c r="AY50" s="29"/>
      <c r="AZ50" s="29"/>
      <c r="BA50" s="29"/>
      <c r="BB50" s="30"/>
      <c r="BC50" s="29"/>
      <c r="BD50" s="29"/>
      <c r="BE50" s="29"/>
      <c r="BF50" s="30"/>
      <c r="BG50" s="29"/>
      <c r="BH50" s="29"/>
      <c r="BI50" s="29"/>
      <c r="BJ50" s="30"/>
      <c r="BK50" s="29"/>
      <c r="BL50" s="29"/>
      <c r="BM50" s="29"/>
      <c r="BN50" s="30"/>
      <c r="BO50" s="29"/>
      <c r="BP50" s="29"/>
      <c r="BQ50" s="29"/>
      <c r="BR50" s="30"/>
      <c r="BS50" s="29"/>
      <c r="BT50" s="29"/>
      <c r="BU50" s="29"/>
      <c r="BV50" s="30"/>
      <c r="BW50" s="29"/>
      <c r="BX50" s="29"/>
      <c r="BY50" s="29"/>
      <c r="BZ50" s="30"/>
      <c r="CA50" s="29"/>
      <c r="CB50" s="29"/>
      <c r="CC50" s="29"/>
      <c r="CD50" s="30"/>
      <c r="CE50" s="29"/>
      <c r="CF50" s="29"/>
      <c r="CG50" s="29"/>
      <c r="CH50" s="30"/>
      <c r="CI50" s="29"/>
      <c r="CJ50" s="29"/>
      <c r="CK50" s="29"/>
      <c r="CL50" s="30"/>
    </row>
    <row r="51" spans="1:90" x14ac:dyDescent="0.2">
      <c r="A51" s="52"/>
      <c r="B51" s="53" t="s">
        <v>39</v>
      </c>
      <c r="C51" s="52"/>
      <c r="D51" s="54"/>
      <c r="E51" s="54"/>
      <c r="F51" s="26"/>
      <c r="G51" s="31"/>
      <c r="H51" s="31">
        <f>IF(ISNUMBER(G$6),COUNTIF(G$10:G$49,$B51),"")</f>
        <v>1</v>
      </c>
      <c r="I51" s="31"/>
      <c r="J51" s="39"/>
      <c r="K51" s="31"/>
      <c r="L51" s="31">
        <f t="shared" ref="L51:AN54" si="29">IF(ISNUMBER(K$6),COUNTIF(K$10:K$49,$B51),"")</f>
        <v>1</v>
      </c>
      <c r="M51" s="31"/>
      <c r="N51" s="39"/>
      <c r="O51" s="31"/>
      <c r="P51" s="31">
        <f t="shared" ref="P51" si="30">IF(ISNUMBER(O$6),COUNTIF(O$10:O$49,$B51),"")</f>
        <v>1</v>
      </c>
      <c r="Q51" s="31"/>
      <c r="R51" s="39"/>
      <c r="S51" s="31"/>
      <c r="T51" s="31">
        <f t="shared" ref="T51" si="31">IF(ISNUMBER(S$6),COUNTIF(S$10:S$49,$B51),"")</f>
        <v>1</v>
      </c>
      <c r="U51" s="31"/>
      <c r="V51" s="39"/>
      <c r="W51" s="31"/>
      <c r="X51" s="31" t="str">
        <f t="shared" ref="X51" si="32">IF(ISNUMBER(W$6),COUNTIF(W$10:W$49,$B51),"")</f>
        <v/>
      </c>
      <c r="Y51" s="31"/>
      <c r="Z51" s="39"/>
      <c r="AA51" s="31"/>
      <c r="AB51" s="31">
        <f t="shared" ref="AB51" si="33">IF(ISNUMBER(AA$6),COUNTIF(AA$10:AA$49,$B51),"")</f>
        <v>1</v>
      </c>
      <c r="AC51" s="31"/>
      <c r="AD51" s="39"/>
      <c r="AE51" s="31"/>
      <c r="AF51" s="31">
        <f t="shared" ref="AF51" si="34">IF(ISNUMBER(AE$6),COUNTIF(AE$10:AE$49,$B51),"")</f>
        <v>1</v>
      </c>
      <c r="AG51" s="31"/>
      <c r="AH51" s="39"/>
      <c r="AI51" s="31"/>
      <c r="AJ51" s="31">
        <f t="shared" ref="AJ51" si="35">IF(ISNUMBER(AI$6),COUNTIF(AI$10:AI$49,$B51),"")</f>
        <v>1</v>
      </c>
      <c r="AK51" s="31"/>
      <c r="AL51" s="39"/>
      <c r="AM51" s="31"/>
      <c r="AN51" s="31" t="str">
        <f t="shared" ref="AN51" si="36">IF(ISNUMBER(AM$6),COUNTIF(AM$10:AM$49,$B51),"")</f>
        <v/>
      </c>
      <c r="AO51" s="31"/>
      <c r="AP51" s="39"/>
      <c r="AQ51" s="31"/>
      <c r="AR51" s="31">
        <f t="shared" ref="AR51:BT54" si="37">IF(ISNUMBER(AQ$6),COUNTIF(AQ$10:AQ$49,$B51),"")</f>
        <v>1</v>
      </c>
      <c r="AS51" s="31"/>
      <c r="AT51" s="39"/>
      <c r="AU51" s="31"/>
      <c r="AV51" s="31">
        <f t="shared" ref="AV51" si="38">IF(ISNUMBER(AU$6),COUNTIF(AU$10:AU$49,$B51),"")</f>
        <v>1</v>
      </c>
      <c r="AW51" s="31"/>
      <c r="AX51" s="39"/>
      <c r="AY51" s="31"/>
      <c r="AZ51" s="31">
        <f t="shared" ref="AZ51" si="39">IF(ISNUMBER(AY$6),COUNTIF(AY$10:AY$49,$B51),"")</f>
        <v>1</v>
      </c>
      <c r="BA51" s="31"/>
      <c r="BB51" s="39"/>
      <c r="BC51" s="31"/>
      <c r="BD51" s="31" t="str">
        <f t="shared" ref="BD51" si="40">IF(ISNUMBER(BC$6),COUNTIF(BC$10:BC$49,$B51),"")</f>
        <v/>
      </c>
      <c r="BE51" s="31"/>
      <c r="BF51" s="39"/>
      <c r="BG51" s="31"/>
      <c r="BH51" s="31" t="str">
        <f t="shared" ref="BH51" si="41">IF(ISNUMBER(BG$6),COUNTIF(BG$10:BG$49,$B51),"")</f>
        <v/>
      </c>
      <c r="BI51" s="31"/>
      <c r="BJ51" s="39"/>
      <c r="BK51" s="31"/>
      <c r="BL51" s="31" t="str">
        <f t="shared" ref="BL51" si="42">IF(ISNUMBER(BK$6),COUNTIF(BK$10:BK$49,$B51),"")</f>
        <v/>
      </c>
      <c r="BM51" s="31"/>
      <c r="BN51" s="39"/>
      <c r="BO51" s="31"/>
      <c r="BP51" s="31">
        <f t="shared" ref="BP51" si="43">IF(ISNUMBER(BO$6),COUNTIF(BO$10:BO$49,$B51),"")</f>
        <v>1</v>
      </c>
      <c r="BQ51" s="31"/>
      <c r="BR51" s="39"/>
      <c r="BS51" s="31"/>
      <c r="BT51" s="31">
        <f t="shared" ref="BT51" si="44">IF(ISNUMBER(BS$6),COUNTIF(BS$10:BS$49,$B51),"")</f>
        <v>1</v>
      </c>
      <c r="BU51" s="31"/>
      <c r="BV51" s="39"/>
      <c r="BW51" s="31"/>
      <c r="BX51" s="31">
        <f t="shared" ref="BX51:CJ54" si="45">IF(ISNUMBER(BW$6),COUNTIF(BW$10:BW$49,$B51),"")</f>
        <v>1</v>
      </c>
      <c r="BY51" s="31"/>
      <c r="BZ51" s="39"/>
      <c r="CA51" s="31"/>
      <c r="CB51" s="31">
        <f t="shared" ref="CB51" si="46">IF(ISNUMBER(CA$6),COUNTIF(CA$10:CA$49,$B51),"")</f>
        <v>1</v>
      </c>
      <c r="CC51" s="31"/>
      <c r="CD51" s="39"/>
      <c r="CE51" s="31"/>
      <c r="CF51" s="31">
        <f t="shared" ref="CF51" si="47">IF(ISNUMBER(CE$6),COUNTIF(CE$10:CE$49,$B51),"")</f>
        <v>1</v>
      </c>
      <c r="CG51" s="31"/>
      <c r="CH51" s="39"/>
      <c r="CI51" s="31"/>
      <c r="CJ51" s="31">
        <f t="shared" ref="CJ51" si="48">IF(ISNUMBER(CI$6),COUNTIF(CI$10:CI$49,$B51),"")</f>
        <v>1</v>
      </c>
      <c r="CK51" s="31"/>
      <c r="CL51" s="39"/>
    </row>
    <row r="52" spans="1:90" x14ac:dyDescent="0.2">
      <c r="A52" s="52"/>
      <c r="B52" s="53" t="s">
        <v>76</v>
      </c>
      <c r="C52" s="52"/>
      <c r="D52" s="54"/>
      <c r="E52" s="54"/>
      <c r="F52" s="26"/>
      <c r="G52" s="31"/>
      <c r="H52" s="31">
        <f t="shared" ref="H52:H54" si="49">IF(ISNUMBER(G$6),COUNTIF(G$10:G$49,$B52),"")</f>
        <v>5</v>
      </c>
      <c r="I52" s="31"/>
      <c r="J52" s="39"/>
      <c r="K52" s="31"/>
      <c r="L52" s="31">
        <f t="shared" si="29"/>
        <v>4</v>
      </c>
      <c r="M52" s="31"/>
      <c r="N52" s="39"/>
      <c r="O52" s="31"/>
      <c r="P52" s="31">
        <f t="shared" si="29"/>
        <v>6</v>
      </c>
      <c r="Q52" s="31"/>
      <c r="R52" s="39"/>
      <c r="S52" s="31"/>
      <c r="T52" s="31">
        <f t="shared" si="29"/>
        <v>6</v>
      </c>
      <c r="U52" s="31"/>
      <c r="V52" s="39"/>
      <c r="W52" s="31"/>
      <c r="X52" s="31" t="str">
        <f t="shared" si="29"/>
        <v/>
      </c>
      <c r="Y52" s="31"/>
      <c r="Z52" s="39"/>
      <c r="AA52" s="31"/>
      <c r="AB52" s="31">
        <f t="shared" si="29"/>
        <v>4</v>
      </c>
      <c r="AC52" s="31"/>
      <c r="AD52" s="39"/>
      <c r="AE52" s="31"/>
      <c r="AF52" s="31">
        <f t="shared" si="29"/>
        <v>4</v>
      </c>
      <c r="AG52" s="31"/>
      <c r="AH52" s="39"/>
      <c r="AI52" s="31"/>
      <c r="AJ52" s="31">
        <f t="shared" si="29"/>
        <v>4</v>
      </c>
      <c r="AK52" s="31"/>
      <c r="AL52" s="39"/>
      <c r="AM52" s="31"/>
      <c r="AN52" s="31" t="str">
        <f t="shared" si="29"/>
        <v/>
      </c>
      <c r="AO52" s="31"/>
      <c r="AP52" s="39"/>
      <c r="AQ52" s="31"/>
      <c r="AR52" s="31">
        <f t="shared" si="37"/>
        <v>3</v>
      </c>
      <c r="AS52" s="31"/>
      <c r="AT52" s="39"/>
      <c r="AU52" s="31"/>
      <c r="AV52" s="31">
        <f t="shared" si="37"/>
        <v>3</v>
      </c>
      <c r="AW52" s="31"/>
      <c r="AX52" s="39"/>
      <c r="AY52" s="31"/>
      <c r="AZ52" s="31">
        <f t="shared" si="37"/>
        <v>4</v>
      </c>
      <c r="BA52" s="31"/>
      <c r="BB52" s="39"/>
      <c r="BC52" s="31"/>
      <c r="BD52" s="31" t="str">
        <f t="shared" si="37"/>
        <v/>
      </c>
      <c r="BE52" s="31"/>
      <c r="BF52" s="39"/>
      <c r="BG52" s="31"/>
      <c r="BH52" s="31" t="str">
        <f t="shared" si="37"/>
        <v/>
      </c>
      <c r="BI52" s="31"/>
      <c r="BJ52" s="39"/>
      <c r="BK52" s="31"/>
      <c r="BL52" s="31" t="str">
        <f t="shared" si="37"/>
        <v/>
      </c>
      <c r="BM52" s="31"/>
      <c r="BN52" s="39"/>
      <c r="BO52" s="31"/>
      <c r="BP52" s="31">
        <f t="shared" si="37"/>
        <v>4</v>
      </c>
      <c r="BQ52" s="31"/>
      <c r="BR52" s="39"/>
      <c r="BS52" s="31"/>
      <c r="BT52" s="31">
        <f t="shared" si="37"/>
        <v>5</v>
      </c>
      <c r="BU52" s="31"/>
      <c r="BV52" s="39"/>
      <c r="BW52" s="31"/>
      <c r="BX52" s="31">
        <f t="shared" si="45"/>
        <v>5</v>
      </c>
      <c r="BY52" s="31"/>
      <c r="BZ52" s="39"/>
      <c r="CA52" s="31"/>
      <c r="CB52" s="31">
        <f t="shared" si="45"/>
        <v>3</v>
      </c>
      <c r="CC52" s="31"/>
      <c r="CD52" s="39"/>
      <c r="CE52" s="31"/>
      <c r="CF52" s="31">
        <f t="shared" si="45"/>
        <v>3</v>
      </c>
      <c r="CG52" s="31"/>
      <c r="CH52" s="39"/>
      <c r="CI52" s="31"/>
      <c r="CJ52" s="31">
        <f t="shared" si="45"/>
        <v>4</v>
      </c>
      <c r="CK52" s="31"/>
      <c r="CL52" s="39"/>
    </row>
    <row r="53" spans="1:90" x14ac:dyDescent="0.2">
      <c r="A53" s="52"/>
      <c r="B53" s="53" t="s">
        <v>89</v>
      </c>
      <c r="C53" s="52"/>
      <c r="D53" s="54"/>
      <c r="E53" s="54"/>
      <c r="F53" s="26"/>
      <c r="G53" s="31"/>
      <c r="H53" s="31">
        <f t="shared" si="49"/>
        <v>4</v>
      </c>
      <c r="I53" s="31"/>
      <c r="J53" s="39"/>
      <c r="K53" s="31"/>
      <c r="L53" s="31">
        <f t="shared" si="29"/>
        <v>5</v>
      </c>
      <c r="M53" s="31"/>
      <c r="N53" s="39"/>
      <c r="O53" s="31"/>
      <c r="P53" s="31">
        <f t="shared" si="29"/>
        <v>7</v>
      </c>
      <c r="Q53" s="31"/>
      <c r="R53" s="39"/>
      <c r="S53" s="31"/>
      <c r="T53" s="31">
        <f t="shared" si="29"/>
        <v>6</v>
      </c>
      <c r="U53" s="31"/>
      <c r="V53" s="39"/>
      <c r="W53" s="31"/>
      <c r="X53" s="31" t="str">
        <f t="shared" si="29"/>
        <v/>
      </c>
      <c r="Y53" s="31"/>
      <c r="Z53" s="39"/>
      <c r="AA53" s="31"/>
      <c r="AB53" s="31">
        <f t="shared" si="29"/>
        <v>5</v>
      </c>
      <c r="AC53" s="31"/>
      <c r="AD53" s="39"/>
      <c r="AE53" s="31"/>
      <c r="AF53" s="31">
        <f t="shared" si="29"/>
        <v>5</v>
      </c>
      <c r="AG53" s="31"/>
      <c r="AH53" s="39"/>
      <c r="AI53" s="31"/>
      <c r="AJ53" s="31">
        <f t="shared" si="29"/>
        <v>4</v>
      </c>
      <c r="AK53" s="31"/>
      <c r="AL53" s="39"/>
      <c r="AM53" s="31"/>
      <c r="AN53" s="31" t="str">
        <f t="shared" si="29"/>
        <v/>
      </c>
      <c r="AO53" s="31"/>
      <c r="AP53" s="39"/>
      <c r="AQ53" s="31"/>
      <c r="AR53" s="31">
        <f t="shared" si="37"/>
        <v>3</v>
      </c>
      <c r="AS53" s="31"/>
      <c r="AT53" s="39"/>
      <c r="AU53" s="31"/>
      <c r="AV53" s="31">
        <f t="shared" si="37"/>
        <v>4</v>
      </c>
      <c r="AW53" s="31"/>
      <c r="AX53" s="39"/>
      <c r="AY53" s="31"/>
      <c r="AZ53" s="31">
        <f t="shared" si="37"/>
        <v>3</v>
      </c>
      <c r="BA53" s="31"/>
      <c r="BB53" s="39"/>
      <c r="BC53" s="31"/>
      <c r="BD53" s="31" t="str">
        <f t="shared" si="37"/>
        <v/>
      </c>
      <c r="BE53" s="31"/>
      <c r="BF53" s="39"/>
      <c r="BG53" s="31"/>
      <c r="BH53" s="31" t="str">
        <f t="shared" si="37"/>
        <v/>
      </c>
      <c r="BI53" s="31"/>
      <c r="BJ53" s="39"/>
      <c r="BK53" s="31"/>
      <c r="BL53" s="31" t="str">
        <f t="shared" si="37"/>
        <v/>
      </c>
      <c r="BM53" s="31"/>
      <c r="BN53" s="39"/>
      <c r="BO53" s="31"/>
      <c r="BP53" s="31">
        <f t="shared" si="37"/>
        <v>4</v>
      </c>
      <c r="BQ53" s="31"/>
      <c r="BR53" s="39"/>
      <c r="BS53" s="31"/>
      <c r="BT53" s="31">
        <f t="shared" si="37"/>
        <v>4</v>
      </c>
      <c r="BU53" s="31"/>
      <c r="BV53" s="39"/>
      <c r="BW53" s="31"/>
      <c r="BX53" s="31">
        <f t="shared" si="45"/>
        <v>2</v>
      </c>
      <c r="BY53" s="31"/>
      <c r="BZ53" s="39"/>
      <c r="CA53" s="31"/>
      <c r="CB53" s="31">
        <f t="shared" si="45"/>
        <v>3</v>
      </c>
      <c r="CC53" s="31"/>
      <c r="CD53" s="39"/>
      <c r="CE53" s="31"/>
      <c r="CF53" s="31">
        <f t="shared" si="45"/>
        <v>3</v>
      </c>
      <c r="CG53" s="31"/>
      <c r="CH53" s="39"/>
      <c r="CI53" s="31"/>
      <c r="CJ53" s="31">
        <f t="shared" si="45"/>
        <v>4</v>
      </c>
      <c r="CK53" s="31"/>
      <c r="CL53" s="39"/>
    </row>
    <row r="54" spans="1:90" x14ac:dyDescent="0.2">
      <c r="A54" s="52"/>
      <c r="B54" s="53" t="s">
        <v>41</v>
      </c>
      <c r="C54" s="52"/>
      <c r="D54" s="54"/>
      <c r="E54" s="54"/>
      <c r="F54" s="26"/>
      <c r="G54" s="31"/>
      <c r="H54" s="31">
        <f t="shared" si="49"/>
        <v>3</v>
      </c>
      <c r="I54" s="31"/>
      <c r="J54" s="39"/>
      <c r="K54" s="31"/>
      <c r="L54" s="31">
        <f t="shared" si="29"/>
        <v>2</v>
      </c>
      <c r="M54" s="31"/>
      <c r="N54" s="39"/>
      <c r="O54" s="31"/>
      <c r="P54" s="31">
        <f t="shared" si="29"/>
        <v>3</v>
      </c>
      <c r="Q54" s="31"/>
      <c r="R54" s="39"/>
      <c r="S54" s="31"/>
      <c r="T54" s="31">
        <f t="shared" si="29"/>
        <v>3</v>
      </c>
      <c r="U54" s="31"/>
      <c r="V54" s="39"/>
      <c r="W54" s="31"/>
      <c r="X54" s="31" t="str">
        <f t="shared" si="29"/>
        <v/>
      </c>
      <c r="Y54" s="31"/>
      <c r="Z54" s="39"/>
      <c r="AA54" s="31"/>
      <c r="AB54" s="31">
        <f t="shared" si="29"/>
        <v>3</v>
      </c>
      <c r="AC54" s="31"/>
      <c r="AD54" s="39"/>
      <c r="AE54" s="31"/>
      <c r="AF54" s="31">
        <f t="shared" si="29"/>
        <v>3</v>
      </c>
      <c r="AG54" s="31"/>
      <c r="AH54" s="39"/>
      <c r="AI54" s="31"/>
      <c r="AJ54" s="31">
        <f t="shared" si="29"/>
        <v>3</v>
      </c>
      <c r="AK54" s="31"/>
      <c r="AL54" s="39"/>
      <c r="AM54" s="31"/>
      <c r="AN54" s="31" t="str">
        <f t="shared" si="29"/>
        <v/>
      </c>
      <c r="AO54" s="31"/>
      <c r="AP54" s="39"/>
      <c r="AQ54" s="31"/>
      <c r="AR54" s="31">
        <f t="shared" si="37"/>
        <v>3</v>
      </c>
      <c r="AS54" s="31"/>
      <c r="AT54" s="39"/>
      <c r="AU54" s="31"/>
      <c r="AV54" s="31">
        <f t="shared" si="37"/>
        <v>3</v>
      </c>
      <c r="AW54" s="31"/>
      <c r="AX54" s="39"/>
      <c r="AY54" s="31"/>
      <c r="AZ54" s="31">
        <f t="shared" si="37"/>
        <v>3</v>
      </c>
      <c r="BA54" s="31"/>
      <c r="BB54" s="39"/>
      <c r="BC54" s="31"/>
      <c r="BD54" s="31" t="str">
        <f t="shared" si="37"/>
        <v/>
      </c>
      <c r="BE54" s="31"/>
      <c r="BF54" s="39"/>
      <c r="BG54" s="31"/>
      <c r="BH54" s="31" t="str">
        <f t="shared" si="37"/>
        <v/>
      </c>
      <c r="BI54" s="31"/>
      <c r="BJ54" s="39"/>
      <c r="BK54" s="31"/>
      <c r="BL54" s="31" t="str">
        <f t="shared" si="37"/>
        <v/>
      </c>
      <c r="BM54" s="31"/>
      <c r="BN54" s="39"/>
      <c r="BO54" s="31"/>
      <c r="BP54" s="31">
        <f t="shared" si="37"/>
        <v>3</v>
      </c>
      <c r="BQ54" s="31"/>
      <c r="BR54" s="39"/>
      <c r="BS54" s="31"/>
      <c r="BT54" s="31">
        <f t="shared" si="37"/>
        <v>3</v>
      </c>
      <c r="BU54" s="31"/>
      <c r="BV54" s="39"/>
      <c r="BW54" s="31"/>
      <c r="BX54" s="31">
        <f t="shared" si="45"/>
        <v>1</v>
      </c>
      <c r="BY54" s="31"/>
      <c r="BZ54" s="39"/>
      <c r="CA54" s="31"/>
      <c r="CB54" s="31">
        <f t="shared" si="45"/>
        <v>2</v>
      </c>
      <c r="CC54" s="31"/>
      <c r="CD54" s="39"/>
      <c r="CE54" s="31"/>
      <c r="CF54" s="31">
        <f t="shared" si="45"/>
        <v>3</v>
      </c>
      <c r="CG54" s="31"/>
      <c r="CH54" s="39"/>
      <c r="CI54" s="31"/>
      <c r="CJ54" s="31">
        <f t="shared" si="45"/>
        <v>3</v>
      </c>
      <c r="CK54" s="31"/>
      <c r="CL54" s="39"/>
    </row>
    <row r="55" spans="1:90" s="56" customFormat="1" x14ac:dyDescent="0.2">
      <c r="A55" s="29"/>
      <c r="B55" s="55" t="s">
        <v>36</v>
      </c>
      <c r="C55" s="29"/>
      <c r="D55" s="55" t="s">
        <v>8</v>
      </c>
      <c r="E55" s="29">
        <f>AVERAGE(H55:CM55)</f>
        <v>12.0625</v>
      </c>
      <c r="F55" s="30"/>
      <c r="G55" s="29"/>
      <c r="H55" s="29">
        <f>IF(ISNUMBER(G6),COUNTIF(G10:G49,"&lt;&gt;"),"")</f>
        <v>13</v>
      </c>
      <c r="I55" s="29"/>
      <c r="J55" s="30"/>
      <c r="K55" s="29"/>
      <c r="L55" s="29">
        <f>IF(ISNUMBER(K6),COUNTIF(K10:K49,"&lt;&gt;"),"")</f>
        <v>12</v>
      </c>
      <c r="M55" s="29"/>
      <c r="N55" s="30"/>
      <c r="O55" s="29"/>
      <c r="P55" s="29">
        <f>IF(ISNUMBER(O6),COUNTIF(O10:O49,"&lt;&gt;"),"")</f>
        <v>17</v>
      </c>
      <c r="Q55" s="29"/>
      <c r="R55" s="30"/>
      <c r="S55" s="29"/>
      <c r="T55" s="29">
        <f>IF(ISNUMBER(S6),COUNTIF(S10:S49,"&lt;&gt;"),"")</f>
        <v>16</v>
      </c>
      <c r="U55" s="29"/>
      <c r="V55" s="30"/>
      <c r="W55" s="29"/>
      <c r="X55" s="29" t="str">
        <f>IF(ISNUMBER(W6),COUNTIF(W10:W49,"&lt;&gt;"),"")</f>
        <v/>
      </c>
      <c r="Y55" s="29"/>
      <c r="Z55" s="30"/>
      <c r="AA55" s="29"/>
      <c r="AB55" s="29">
        <f>IF(ISNUMBER(AA6),COUNTIF(AA10:AA49,"&lt;&gt;"),"")</f>
        <v>13</v>
      </c>
      <c r="AC55" s="29"/>
      <c r="AD55" s="30"/>
      <c r="AE55" s="29"/>
      <c r="AF55" s="29">
        <f>IF(ISNUMBER(AE6),COUNTIF(AE10:AE49,"&lt;&gt;"),"")</f>
        <v>13</v>
      </c>
      <c r="AG55" s="29"/>
      <c r="AH55" s="30"/>
      <c r="AI55" s="29"/>
      <c r="AJ55" s="29">
        <f>IF(ISNUMBER(AI6),COUNTIF(AI10:AI49,"&lt;&gt;"),"")</f>
        <v>12</v>
      </c>
      <c r="AK55" s="29"/>
      <c r="AL55" s="30"/>
      <c r="AM55" s="29"/>
      <c r="AN55" s="29" t="str">
        <f>IF(ISNUMBER(AM6),COUNTIF(AM10:AM49,"&lt;&gt;"),"")</f>
        <v/>
      </c>
      <c r="AO55" s="29"/>
      <c r="AP55" s="30"/>
      <c r="AQ55" s="29"/>
      <c r="AR55" s="29">
        <f>IF(ISNUMBER(AQ6),COUNTIF(AQ10:AQ49,"&lt;&gt;"),"")</f>
        <v>10</v>
      </c>
      <c r="AS55" s="29"/>
      <c r="AT55" s="30"/>
      <c r="AU55" s="29"/>
      <c r="AV55" s="29">
        <f>IF(ISNUMBER(AU6),COUNTIF(AU10:AU49,"&lt;&gt;"),"")</f>
        <v>11</v>
      </c>
      <c r="AW55" s="29"/>
      <c r="AX55" s="30"/>
      <c r="AY55" s="29"/>
      <c r="AZ55" s="29">
        <f>IF(ISNUMBER(AY6),COUNTIF(AY10:AY49,"&lt;&gt;"),"")</f>
        <v>11</v>
      </c>
      <c r="BA55" s="29"/>
      <c r="BB55" s="30"/>
      <c r="BC55" s="29"/>
      <c r="BD55" s="29" t="str">
        <f>IF(ISNUMBER(BC6),COUNTIF(BC10:BC49,"&lt;&gt;"),"")</f>
        <v/>
      </c>
      <c r="BE55" s="29"/>
      <c r="BF55" s="30"/>
      <c r="BG55" s="29"/>
      <c r="BH55" s="29" t="str">
        <f>IF(ISNUMBER(BG6),COUNTIF(BG10:BG49,"&lt;&gt;"),"")</f>
        <v/>
      </c>
      <c r="BI55" s="29"/>
      <c r="BJ55" s="30"/>
      <c r="BK55" s="29"/>
      <c r="BL55" s="29" t="str">
        <f>IF(ISNUMBER(BK6),COUNTIF(BK10:BK49,"&lt;&gt;"),"")</f>
        <v/>
      </c>
      <c r="BM55" s="29"/>
      <c r="BN55" s="30"/>
      <c r="BO55" s="29"/>
      <c r="BP55" s="29">
        <f>IF(ISNUMBER(BO6),COUNTIF(BO10:BO49,"&lt;&gt;"),"")</f>
        <v>12</v>
      </c>
      <c r="BQ55" s="29"/>
      <c r="BR55" s="30"/>
      <c r="BS55" s="29"/>
      <c r="BT55" s="29">
        <f>IF(ISNUMBER(BS6),COUNTIF(BS10:BS49,"&lt;&gt;"),"")</f>
        <v>13</v>
      </c>
      <c r="BU55" s="29"/>
      <c r="BV55" s="30"/>
      <c r="BW55" s="29"/>
      <c r="BX55" s="29">
        <f>IF(ISNUMBER(BW6),COUNTIF(BW10:BW49,"&lt;&gt;"),"")</f>
        <v>9</v>
      </c>
      <c r="BY55" s="29"/>
      <c r="BZ55" s="30"/>
      <c r="CA55" s="29"/>
      <c r="CB55" s="29">
        <f>IF(ISNUMBER(CA6),COUNTIF(CA10:CA49,"&lt;&gt;"),"")</f>
        <v>9</v>
      </c>
      <c r="CC55" s="29"/>
      <c r="CD55" s="30"/>
      <c r="CE55" s="29"/>
      <c r="CF55" s="29">
        <f>IF(ISNUMBER(CE6),COUNTIF(CE10:CE49,"&lt;&gt;"),"")</f>
        <v>10</v>
      </c>
      <c r="CG55" s="29"/>
      <c r="CH55" s="30"/>
      <c r="CI55" s="29"/>
      <c r="CJ55" s="29">
        <f>IF(ISNUMBER(CI6),COUNTIF(CI10:CI49,"&lt;&gt;"),"")</f>
        <v>12</v>
      </c>
      <c r="CK55" s="29"/>
      <c r="CL55" s="30"/>
    </row>
    <row r="56" spans="1:90" s="37" customFormat="1" x14ac:dyDescent="0.2">
      <c r="A56" s="45"/>
      <c r="B56" s="46" t="s">
        <v>57</v>
      </c>
      <c r="C56" s="45"/>
      <c r="D56" s="45"/>
      <c r="E56" s="45"/>
      <c r="F56" s="47"/>
      <c r="G56" s="45"/>
      <c r="H56" s="45"/>
      <c r="I56" s="45"/>
      <c r="J56" s="45"/>
      <c r="K56" s="45" t="s">
        <v>75</v>
      </c>
      <c r="L56" s="45"/>
      <c r="M56" s="45"/>
      <c r="N56" s="45"/>
      <c r="O56" s="45"/>
      <c r="P56" s="45"/>
      <c r="Q56" s="45"/>
      <c r="R56" s="45"/>
      <c r="S56" s="45" t="s">
        <v>91</v>
      </c>
      <c r="T56" s="45"/>
      <c r="U56" s="45"/>
      <c r="V56" s="45"/>
      <c r="W56" s="45"/>
      <c r="X56" s="45"/>
      <c r="Y56" s="45"/>
      <c r="Z56" s="45"/>
      <c r="AA56" s="45" t="s">
        <v>91</v>
      </c>
      <c r="AB56" s="45"/>
      <c r="AC56" s="45"/>
      <c r="AD56" s="45"/>
      <c r="AE56" s="45" t="s">
        <v>92</v>
      </c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 t="s">
        <v>95</v>
      </c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 t="s">
        <v>97</v>
      </c>
      <c r="BP56" s="45"/>
      <c r="BQ56" s="45"/>
      <c r="BR56" s="45"/>
      <c r="BS56" s="45" t="s">
        <v>102</v>
      </c>
      <c r="BT56" s="45"/>
      <c r="BU56" s="45"/>
      <c r="BV56" s="45"/>
      <c r="BW56" s="45" t="s">
        <v>104</v>
      </c>
      <c r="BX56" s="45"/>
      <c r="BY56" s="45"/>
      <c r="BZ56" s="45"/>
      <c r="CA56" s="45" t="s">
        <v>103</v>
      </c>
      <c r="CB56" s="45"/>
      <c r="CC56" s="45"/>
      <c r="CD56" s="45"/>
      <c r="CE56" s="45" t="s">
        <v>105</v>
      </c>
      <c r="CF56" s="45"/>
      <c r="CG56" s="45"/>
      <c r="CH56" s="45"/>
      <c r="CI56" s="45"/>
      <c r="CJ56" s="45"/>
      <c r="CK56" s="45"/>
      <c r="CL56" s="45"/>
    </row>
    <row r="57" spans="1:90" x14ac:dyDescent="0.2">
      <c r="A57" s="4"/>
      <c r="B57" s="1"/>
      <c r="C57" s="4"/>
      <c r="D57" s="5"/>
      <c r="E57" s="5"/>
      <c r="F57" s="26"/>
      <c r="J57" s="39"/>
      <c r="N57" s="39"/>
      <c r="R57" s="39"/>
      <c r="V57" s="39"/>
      <c r="Z57" s="39"/>
      <c r="AD57" s="39"/>
      <c r="AH57" s="39"/>
      <c r="AL57" s="39"/>
      <c r="AP57" s="39"/>
      <c r="AT57" s="39"/>
      <c r="AX57" s="39"/>
      <c r="BB57" s="39"/>
      <c r="BF57" s="39"/>
      <c r="BJ57" s="39"/>
      <c r="BN57" s="39"/>
      <c r="BR57" s="39"/>
      <c r="BV57" s="39"/>
      <c r="BZ57" s="39"/>
      <c r="CD57" s="39"/>
      <c r="CH57" s="39"/>
      <c r="CL57" s="39"/>
    </row>
    <row r="58" spans="1:90" x14ac:dyDescent="0.2">
      <c r="B58" s="36" t="s">
        <v>50</v>
      </c>
      <c r="G58" s="8" t="str">
        <f>CONCATENATE("&lt;p class=""small""&gt;Goal: ",G141,"; Defence: ",H141,"; Midfield: ",I141,"; Attack: ",J141)</f>
        <v>&lt;p class="small"&gt;Goal: Dan Murphy; Defence: Andy Booth, Felix Bull, Matt Porter, Dave Slaughter, Eliot Wilde; Midfield: Dave Baldwin (2), Andy Fernando, Alex Griffiths, Tom Hatton (5); Attack: Justin Baranowski, Darren Novell (1), Matt Payne</v>
      </c>
      <c r="K58" s="8" t="str">
        <f t="shared" ref="K58" si="50">CONCATENATE("&lt;p class=""small""&gt;Goal: ",K141,"; Defence: ",L141,"; Midfield: ",M141,"; Attack: ",N141)</f>
        <v>&lt;p class="small"&gt;Goal: Dan Murphy; Defence: Felix Bull, Dara McCreary, Dave Slaughter, Eliot Wilde; Midfield: Dave Baldwin (1), Ben Colville (1), Andy Fernando, Tom Hatton, James Keal; Attack: Andy Booth, A.N.Other (1)</v>
      </c>
      <c r="O58" s="8" t="str">
        <f t="shared" ref="O58" si="51">CONCATENATE("&lt;p class=""small""&gt;Goal: ",O141,"; Defence: ",P141,"; Midfield: ",Q141,"; Attack: ",R141)</f>
        <v>&lt;p class="small"&gt;Goal: Dan Murphy; Defence: Andy Booth, Felix Bull, Elliot Fry, Dara McCreary, Matt Porter, Eliot Wilde; Midfield: Dave Baldwin, Rob Clark, Andy Fernando, Alex Griffiths, Tom Hatton, James Keal, Chase Stuart; Attack: Justin Baranowski, Darren Novell, Matt Payne (2)</v>
      </c>
      <c r="S58" s="8" t="str">
        <f t="shared" ref="S58" si="52">CONCATENATE("&lt;p class=""small""&gt;Goal: ",S141,"; Defence: ",T141,"; Midfield: ",U141,"; Attack: ",V141)</f>
        <v>&lt;p class="small"&gt;Goal: Dan Murphy; Defence: Andy Booth, Felix Bull, Elliot Fry, Jussi Grut, Dara McCreary, Kaspars 'Stripes' Veips; Midfield: Dave Baldwin (1), Rob Clark, Andy Fernando, Alex Griffiths, Tom Hatton, James Keal; Attack: Justin Baranowski (2), Darren Novell, Matt Payne (1)</v>
      </c>
      <c r="W58" s="8" t="str">
        <f t="shared" ref="W58" si="53">CONCATENATE("&lt;p class=""small""&gt;Goal: ",W141,"; Defence: ",X141,"; Midfield: ",Y141,"; Attack: ",Z141)</f>
        <v xml:space="preserve">&lt;p class="small"&gt;Goal: ; Defence: ; Midfield: ; Attack: </v>
      </c>
      <c r="AA58" s="8" t="str">
        <f t="shared" ref="AA58" si="54">CONCATENATE("&lt;p class=""small""&gt;Goal: ",AA141,"; Defence: ",AB141,"; Midfield: ",AC141,"; Attack: ",AD141)</f>
        <v>&lt;p class="small"&gt;Goal: Dan Murphy; Defence: Felix Bull, Elliot Fry, Dave Slaughter, Eliot Wilde; Midfield: Dave Baldwin (1), Rob Clark, Andy Fernando, Alex Griffiths, Kaspars 'Stripes' Veips (2); Attack: Justin Baranowski, Tom Hatton (1), Darren Novell</v>
      </c>
      <c r="AE58" s="8" t="str">
        <f t="shared" ref="AE58" si="55">CONCATENATE("&lt;p class=""small""&gt;Goal: ",AE141,"; Defence: ",AF141,"; Midfield: ",AG141,"; Attack: ",AH141)</f>
        <v>&lt;p class="small"&gt;Goal: Dan Murphy; Defence: Elliot Fry, Dara McCreary, Dave Slaughter, Eliot Wilde; Midfield: Dave Baldwin (1), Alex Griffiths, Jussi Grut, James Keal (1), Matt Payne (4); Attack: Justin Baranowski (1), Tom Hatton, Darren Novell (1)</v>
      </c>
      <c r="AI58" s="8" t="e">
        <f t="shared" ref="AI58" si="56">CONCATENATE("&lt;p class=""small""&gt;Goal: ",AI141,"; Defence: ",AJ141,"; Midfield: ",AK141,"; Attack: ",AL141)</f>
        <v>#REF!</v>
      </c>
      <c r="AM58" s="8" t="str">
        <f t="shared" ref="AM58" si="57">CONCATENATE("&lt;p class=""small""&gt;Goal: ",AM141,"; Defence: ",AN141,"; Midfield: ",AO141,"; Attack: ",AP141)</f>
        <v xml:space="preserve">&lt;p class="small"&gt;Goal: ; Defence: ; Midfield: ; Attack: </v>
      </c>
      <c r="AQ58" s="8" t="str">
        <f t="shared" ref="AQ58" si="58">CONCATENATE("&lt;p class=""small""&gt;Goal: ",AQ141,"; Defence: ",AR141,"; Midfield: ",AS141,"; Attack: ",AT141)</f>
        <v>&lt;p class="small"&gt;Goal: Dan Murphy; Defence: Felix Bull, Elliot Fry, Dave Slaughter; Midfield: Alex Griffiths (1), Kaspars 'Stripes' Veips (2), Eliot Wilde; Attack: Andy Booth, Jussi Grut, Dara McCreary (1)</v>
      </c>
      <c r="AU58" s="8" t="str">
        <f t="shared" ref="AU58" si="59">CONCATENATE("&lt;p class=""small""&gt;Goal: ",AU141,"; Defence: ",AV141,"; Midfield: ",AW141,"; Attack: ",AX141)</f>
        <v>&lt;p class="small"&gt;Goal: Eliot Pugh; Defence: Dave Copple, Elliot Fry, Eliot Wilde; Midfield: Dave Baldwin, Andy Fernando, Alex Griffiths, Kaspars 'Stripes' Veips (4); Attack: Tom Hatton (1,4A), James Keal, Dara McCreary</v>
      </c>
      <c r="AY58" s="8" t="str">
        <f t="shared" ref="AY58" si="60">CONCATENATE("&lt;p class=""small""&gt;Goal: ",AY141,"; Defence: ",AZ141,"; Midfield: ",BA141,"; Attack: ",BB141)</f>
        <v>&lt;p class="small"&gt;Goal: Eliot Pugh; Defence: Felix Bull, Dave Copple, Elliot Fry, Eliot Wilde; Midfield: Dave Baldwin, Andy Fernando, Kaspars 'Stripes' Veips; Attack: Andy Booth, Alex Griffiths, Darren Novell</v>
      </c>
      <c r="BC58" s="8" t="str">
        <f t="shared" ref="BC58" si="61">CONCATENATE("&lt;p class=""small""&gt;Goal: ",BC141,"; Defence: ",BD141,"; Midfield: ",BE141,"; Attack: ",BF141)</f>
        <v xml:space="preserve">&lt;p class="small"&gt;Goal: ; Defence: ; Midfield: ; Attack: </v>
      </c>
      <c r="BG58" s="8" t="str">
        <f t="shared" ref="BG58" si="62">CONCATENATE("&lt;p class=""small""&gt;Goal: ",BG141,"; Defence: ",BH141,"; Midfield: ",BI141,"; Attack: ",BJ141)</f>
        <v xml:space="preserve">&lt;p class="small"&gt;Goal: ; Defence: ; Midfield: ; Attack: </v>
      </c>
      <c r="BK58" s="8" t="str">
        <f t="shared" ref="BK58" si="63">CONCATENATE("&lt;p class=""small""&gt;Goal: ",BK141,"; Defence: ",BL141,"; Midfield: ",BM141,"; Attack: ",BN141)</f>
        <v xml:space="preserve">&lt;p class="small"&gt;Goal: ; Defence: ; Midfield: ; Attack: </v>
      </c>
      <c r="BO58" s="8" t="str">
        <f t="shared" ref="BO58" si="64">CONCATENATE("&lt;p class=""small""&gt;Goal: ",BO141,"; Defence: ",BP141,"; Midfield: ",BQ141,"; Attack: ",BR141)</f>
        <v>&lt;p class="small"&gt;Goal: Eliot Pugh; Defence: Felix Bull (1), Dave Copple, Elliot Fry, Eliot Wilde; Midfield: Andy Fernando, Alex Griffiths, Kaspars 'Stripes' Veips, Hugh Mitchison; Attack: Tom Hatton, Darren Novell, Dave Slaughter</v>
      </c>
      <c r="BS58" s="8" t="str">
        <f t="shared" ref="BS58" si="65">CONCATENATE("&lt;p class=""small""&gt;Goal: ",BS141,"; Defence: ",BT141,"; Midfield: ",BU141,"; Attack: ",BV141)</f>
        <v>&lt;p class="small"&gt;Goal: Eliot Pugh; Defence: Felix Bull, Dave Copple, Elliot Fry, Dara McCreary, Eliot Wilde; Midfield: Alex Griffiths, James Keal, Dan (2), Jeremy Lee (2); Attack: Tom Hatton (1), Darren Novell (1), Dave Slaughter (1)</v>
      </c>
      <c r="BW58" s="8" t="str">
        <f t="shared" ref="BW58" si="66">CONCATENATE("&lt;p class=""small""&gt;Goal: ",BW141,"; Defence: ",BX141,"; Midfield: ",BY141,"; Attack: ",BZ141)</f>
        <v>&lt;p class="small"&gt;Goal: Eliot Pugh; Defence: Felix Bull, Elliot Fry, Matt Porter, Eliot Wilde, Phil; Midfield: Dara McCreary, Jeremy Lee (2); Attack: Dave Slaughter</v>
      </c>
      <c r="CA58" s="8" t="str">
        <f t="shared" ref="CA58" si="67">CONCATENATE("&lt;p class=""small""&gt;Goal: ",CA141,"; Defence: ",CB141,"; Midfield: ",CC141,"; Attack: ",CD141)</f>
        <v>&lt;p class="small"&gt;Goal: Eliot Pugh; Defence: Felix Bull (1), Dara McCreary, Matt Porter; Midfield: Andy Fernando, Kaspars 'Stripes' Veips, Jeremy Lee (2); Attack: Tom Hatton, Dave Slaughter</v>
      </c>
      <c r="CE58" s="8" t="str">
        <f t="shared" ref="CE58" si="68">CONCATENATE("&lt;p class=""small""&gt;Goal: ",CE141,"; Defence: ",CF141,"; Midfield: ",CG141,"; Attack: ",CH141)</f>
        <v>&lt;p class="small"&gt;Goal: Eliot Pugh; Defence: Andy Booth, Dara McCreary, Phil; Midfield: Andy Fernando, Kaspars 'Stripes' Veips, Jimmy (3); Attack: Alex Griffiths, Tom Hatton, Dave Slaughter</v>
      </c>
      <c r="CI58" s="8" t="str">
        <f t="shared" ref="CI58" si="69">CONCATENATE("&lt;p class=""small""&gt;Goal: ",CI141,"; Defence: ",CJ141,"; Midfield: ",CK141,"; Attack: ",CL141)</f>
        <v>&lt;p class="small"&gt;Goal: Eliot Pugh; Defence: Felix Bull, Dave Copple, Elliot Fry, Eliot Wilde; Midfield: Andy Fernando, James Keal (1), Dara McCreary, Jeremy Lee (3); Attack: Andy Booth, Darren Novell, Dave Slaughter</v>
      </c>
    </row>
    <row r="59" spans="1:90" x14ac:dyDescent="0.2">
      <c r="B59" s="36" t="s">
        <v>55</v>
      </c>
      <c r="G59" s="8" t="str">
        <f>"&lt;br/&gt;Referee: "&amp;H182&amp;"&lt;/p&gt;"</f>
        <v>&lt;br/&gt;Referee: Justin Baranowski, Andy Fernando, Dave Slaughter&lt;/p&gt;</v>
      </c>
      <c r="K59" s="8" t="str">
        <f>"&lt;br/&gt;Referee: "&amp;L182&amp;"&lt;/p&gt;"</f>
        <v>&lt;br/&gt;Referee: Rob Collinge, Henry Collinge&lt;/p&gt;</v>
      </c>
      <c r="O59" s="8" t="str">
        <f t="shared" ref="O59" si="70">"&lt;br/&gt;Referee: "&amp;P182&amp;"&lt;/p&gt;"</f>
        <v>&lt;br/&gt;Referee: Dave Slaughter&lt;/p&gt;</v>
      </c>
      <c r="S59" s="8" t="str">
        <f t="shared" ref="S59" si="71">"&lt;br/&gt;Referee: "&amp;T182&amp;"&lt;/p&gt;"</f>
        <v>&lt;br/&gt;Referee: Simon Peach&lt;/p&gt;</v>
      </c>
      <c r="W59" s="8" t="str">
        <f t="shared" ref="W59" si="72">"&lt;br/&gt;Referee: "&amp;X182&amp;"&lt;/p&gt;"</f>
        <v>&lt;br/&gt;Referee: &lt;/p&gt;</v>
      </c>
      <c r="AA59" s="8" t="str">
        <f t="shared" ref="AA59" si="73">"&lt;br/&gt;Referee: "&amp;AB182&amp;"&lt;/p&gt;"</f>
        <v>&lt;br/&gt;Referee: Simon Peach, Andy Booth&lt;/p&gt;</v>
      </c>
      <c r="AE59" s="8" t="str">
        <f t="shared" ref="AE59" si="74">"&lt;br/&gt;Referee: "&amp;AF182&amp;"&lt;/p&gt;"</f>
        <v>&lt;br/&gt;Referee: Buckers, Trevor Rogers&lt;/p&gt;</v>
      </c>
      <c r="AI59" s="8" t="str">
        <f t="shared" ref="AI59" si="75">"&lt;br/&gt;Referee: "&amp;AJ182&amp;"&lt;/p&gt;"</f>
        <v>&lt;br/&gt;Referee: &lt;/p&gt;</v>
      </c>
      <c r="AM59" s="8" t="str">
        <f t="shared" ref="AM59" si="76">"&lt;br/&gt;Referee: "&amp;AN182&amp;"&lt;/p&gt;"</f>
        <v>&lt;br/&gt;Referee: &lt;/p&gt;</v>
      </c>
      <c r="AQ59" s="8" t="str">
        <f t="shared" ref="AQ59" si="77">"&lt;br/&gt;Referee: "&amp;AR182&amp;"&lt;/p&gt;"</f>
        <v>&lt;br/&gt;Referee: &lt;/p&gt;</v>
      </c>
      <c r="AU59" s="8" t="str">
        <f t="shared" ref="AU59" si="78">"&lt;br/&gt;Referee: "&amp;AV182&amp;"&lt;/p&gt;"</f>
        <v>&lt;br/&gt;Referee: Miles Whittle&lt;/p&gt;</v>
      </c>
      <c r="AY59" s="8" t="str">
        <f t="shared" ref="AY59" si="79">"&lt;br/&gt;Referee: "&amp;AZ182&amp;"&lt;/p&gt;"</f>
        <v>&lt;br/&gt;Referee: Dave Slaughter&lt;/p&gt;</v>
      </c>
      <c r="BC59" s="8" t="str">
        <f t="shared" ref="BC59" si="80">"&lt;br/&gt;Referee: "&amp;BD182&amp;"&lt;/p&gt;"</f>
        <v>&lt;br/&gt;Referee: &lt;/p&gt;</v>
      </c>
      <c r="BG59" s="8" t="str">
        <f t="shared" ref="BG59" si="81">"&lt;br/&gt;Referee: "&amp;BH182&amp;"&lt;/p&gt;"</f>
        <v>&lt;br/&gt;Referee: &lt;/p&gt;</v>
      </c>
      <c r="BK59" s="8" t="str">
        <f t="shared" ref="BK59" si="82">"&lt;br/&gt;Referee: "&amp;BL182&amp;"&lt;/p&gt;"</f>
        <v>&lt;br/&gt;Referee: &lt;/p&gt;</v>
      </c>
      <c r="BO59" s="8" t="str">
        <f t="shared" ref="BO59" si="83">"&lt;br/&gt;Referee: "&amp;BP182&amp;"&lt;/p&gt;"</f>
        <v>&lt;br/&gt;Referee: Debbie Field&lt;/p&gt;</v>
      </c>
      <c r="BS59" s="8" t="str">
        <f t="shared" ref="BS59" si="84">"&lt;br/&gt;Referee: "&amp;BT182&amp;"&lt;/p&gt;"</f>
        <v>&lt;br/&gt;Referee: ??Hillcroft Guy&lt;/p&gt;</v>
      </c>
      <c r="BW59" s="8" t="str">
        <f t="shared" ref="BW59" si="85">"&lt;br/&gt;Referee: "&amp;BX182&amp;"&lt;/p&gt;"</f>
        <v>&lt;br/&gt;Referee: Gregg Urwin+Spencer&lt;/p&gt;</v>
      </c>
      <c r="CA59" s="8" t="str">
        <f t="shared" ref="CA59" si="86">"&lt;br/&gt;Referee: "&amp;CB182&amp;"&lt;/p&gt;"</f>
        <v>&lt;br/&gt;Referee: Ray Harry&lt;/p&gt;</v>
      </c>
      <c r="CE59" s="8" t="str">
        <f t="shared" ref="CE59" si="87">"&lt;br/&gt;Referee: "&amp;CF182&amp;"&lt;/p&gt;"</f>
        <v>&lt;br/&gt;Referee: James Kellam+EG&lt;/p&gt;</v>
      </c>
      <c r="CI59" s="8" t="str">
        <f t="shared" ref="CI59" si="88">"&lt;br/&gt;Referee: "&amp;CJ182&amp;"&lt;/p&gt;"</f>
        <v>&lt;br/&gt;Referee: &lt;/p&gt;</v>
      </c>
    </row>
    <row r="61" spans="1:90" x14ac:dyDescent="0.2">
      <c r="B61" s="8" t="s">
        <v>51</v>
      </c>
      <c r="E61" s="8">
        <v>1</v>
      </c>
      <c r="G61" s="8" t="str">
        <f>IF(G10="G", CONCATENATE($B10, IF(H10+I10&gt;0,CONCATENATE(" (",H10,IF(I10&gt;0,CONCATENATE(IF(H10&gt;0,",",""),I10,"A"),""),")"),"")),"")</f>
        <v/>
      </c>
      <c r="H61" s="8" t="str">
        <f t="shared" ref="H61:H100" si="89">IF(G10="D", CONCATENATE($B10, IF(H10+I10&gt;0,CONCATENATE(" (",H10,IF(I10&gt;0,CONCATENATE(IF(H10&gt;0,",",""),I10,"A"),""),")"),"")),"")</f>
        <v/>
      </c>
      <c r="I61" s="8" t="str">
        <f>IF(G10="M", CONCATENATE($B10, IF(H10+I10&gt;0,CONCATENATE(" (",H10,IF(I10&gt;0,CONCATENATE(IF(H10&gt;0,",",""),I10,"A"),""),")"),"")),"")</f>
        <v>Dave Baldwin (2)</v>
      </c>
      <c r="J61" s="8" t="str">
        <f>IF(G10="A", CONCATENATE($B10, IF(H10+I10&gt;0,CONCATENATE(" (",H10,IF(I10&gt;0,CONCATENATE(IF(H10&gt;0,",",""),I10,"A"),""),")"),"")),"")</f>
        <v/>
      </c>
      <c r="K61" s="8" t="str">
        <f t="shared" ref="K61:K100" si="90">IF(K10="G", CONCATENATE($B10, IF(L10+M10&gt;0,CONCATENATE(" (",L10,IF(M10&gt;0,CONCATENATE(IF(L10&gt;0,",",""),M10,"A"),""),")"),"")),"")</f>
        <v/>
      </c>
      <c r="L61" s="8" t="str">
        <f t="shared" ref="L61:L100" si="91">IF(K10="D", CONCATENATE($B10, IF(L10+M10&gt;0,CONCATENATE(" (",L10,IF(M10&gt;0,CONCATENATE(IF(L10&gt;0,",",""),M10,"A"),""),")"),"")),"")</f>
        <v/>
      </c>
      <c r="M61" s="8" t="str">
        <f t="shared" ref="M61:M100" si="92">IF(K10="M", CONCATENATE($B10, IF(L10+M10&gt;0,CONCATENATE(" (",L10,IF(M10&gt;0,CONCATENATE(IF(L10&gt;0,",",""),M10,"A"),""),")"),"")),"")</f>
        <v>Dave Baldwin (1)</v>
      </c>
      <c r="N61" s="8" t="str">
        <f t="shared" ref="N61:N100" si="93">IF(K10="A", CONCATENATE($B10, IF(L10+M10&gt;0,CONCATENATE(" (",L10,IF(M10&gt;0,CONCATENATE(IF(L10&gt;0,",",""),M10,"A"),""),")"),"")),"")</f>
        <v/>
      </c>
      <c r="O61" s="8" t="str">
        <f t="shared" ref="O61:O100" si="94">IF(O10="G", CONCATENATE($B10, IF(P10+Q10&gt;0,CONCATENATE(" (",P10,IF(Q10&gt;0,CONCATENATE(IF(P10&gt;0,",",""),Q10,"A"),""),")"),"")),"")</f>
        <v/>
      </c>
      <c r="P61" s="8" t="str">
        <f t="shared" ref="P61" si="95">IF(O10="D", CONCATENATE($B10, IF(P10+Q10&gt;0,CONCATENATE(" (",P10,IF(Q10&gt;0,CONCATENATE(IF(P10&gt;0,",",""),Q10,"A"),""),")"),"")),"")</f>
        <v/>
      </c>
      <c r="Q61" s="8" t="str">
        <f t="shared" ref="Q61:Q100" si="96">IF(O10="M", CONCATENATE($B10, IF(P10+Q10&gt;0,CONCATENATE(" (",P10,IF(Q10&gt;0,CONCATENATE(IF(P10&gt;0,",",""),Q10,"A"),""),")"),"")),"")</f>
        <v>Dave Baldwin</v>
      </c>
      <c r="R61" s="8" t="str">
        <f t="shared" ref="R61:R100" si="97">IF(O10="A", CONCATENATE($B10, IF(P10+Q10&gt;0,CONCATENATE(" (",P10,IF(Q10&gt;0,CONCATENATE(IF(P10&gt;0,",",""),Q10,"A"),""),")"),"")),"")</f>
        <v/>
      </c>
      <c r="S61" s="8" t="str">
        <f t="shared" ref="S61:S100" si="98">IF(S10="G", CONCATENATE($B10, IF(T10+U10&gt;0,CONCATENATE(" (",T10,IF(U10&gt;0,CONCATENATE(IF(T10&gt;0,",",""),U10,"A"),""),")"),"")),"")</f>
        <v/>
      </c>
      <c r="T61" s="8" t="str">
        <f t="shared" ref="T61" si="99">IF(S10="D", CONCATENATE($B10, IF(T10+U10&gt;0,CONCATENATE(" (",T10,IF(U10&gt;0,CONCATENATE(IF(T10&gt;0,",",""),U10,"A"),""),")"),"")),"")</f>
        <v/>
      </c>
      <c r="U61" s="8" t="str">
        <f t="shared" ref="U61:U100" si="100">IF(S10="M", CONCATENATE($B10, IF(T10+U10&gt;0,CONCATENATE(" (",T10,IF(U10&gt;0,CONCATENATE(IF(T10&gt;0,",",""),U10,"A"),""),")"),"")),"")</f>
        <v>Dave Baldwin (1)</v>
      </c>
      <c r="V61" s="8" t="str">
        <f t="shared" ref="V61:V100" si="101">IF(S10="A", CONCATENATE($B10, IF(T10+U10&gt;0,CONCATENATE(" (",T10,IF(U10&gt;0,CONCATENATE(IF(T10&gt;0,",",""),U10,"A"),""),")"),"")),"")</f>
        <v/>
      </c>
      <c r="W61" s="8" t="str">
        <f t="shared" ref="W61:W100" si="102">IF(W10="G", CONCATENATE($B10, IF(X10+Y10&gt;0,CONCATENATE(" (",X10,IF(Y10&gt;0,CONCATENATE(IF(X10&gt;0,",",""),Y10,"A"),""),")"),"")),"")</f>
        <v/>
      </c>
      <c r="X61" s="8" t="str">
        <f t="shared" ref="X61" si="103">IF(W10="D", CONCATENATE($B10, IF(X10+Y10&gt;0,CONCATENATE(" (",X10,IF(Y10&gt;0,CONCATENATE(IF(X10&gt;0,",",""),Y10,"A"),""),")"),"")),"")</f>
        <v/>
      </c>
      <c r="Y61" s="8" t="str">
        <f t="shared" ref="Y61:Y100" si="104">IF(W10="M", CONCATENATE($B10, IF(X10+Y10&gt;0,CONCATENATE(" (",X10,IF(Y10&gt;0,CONCATENATE(IF(X10&gt;0,",",""),Y10,"A"),""),")"),"")),"")</f>
        <v/>
      </c>
      <c r="Z61" s="8" t="str">
        <f t="shared" ref="Z61:Z100" si="105">IF(W10="A", CONCATENATE($B10, IF(X10+Y10&gt;0,CONCATENATE(" (",X10,IF(Y10&gt;0,CONCATENATE(IF(X10&gt;0,",",""),Y10,"A"),""),")"),"")),"")</f>
        <v/>
      </c>
      <c r="AA61" s="8" t="str">
        <f t="shared" ref="AA61:AA100" si="106">IF(AA10="G", CONCATENATE($B10, IF(AB10+AC10&gt;0,CONCATENATE(" (",AB10,IF(AC10&gt;0,CONCATENATE(IF(AB10&gt;0,",",""),AC10,"A"),""),")"),"")),"")</f>
        <v/>
      </c>
      <c r="AB61" s="8" t="str">
        <f t="shared" ref="AB61" si="107">IF(AA10="D", CONCATENATE($B10, IF(AB10+AC10&gt;0,CONCATENATE(" (",AB10,IF(AC10&gt;0,CONCATENATE(IF(AB10&gt;0,",",""),AC10,"A"),""),")"),"")),"")</f>
        <v/>
      </c>
      <c r="AC61" s="8" t="str">
        <f t="shared" ref="AC61:AC100" si="108">IF(AA10="M", CONCATENATE($B10, IF(AB10+AC10&gt;0,CONCATENATE(" (",AB10,IF(AC10&gt;0,CONCATENATE(IF(AB10&gt;0,",",""),AC10,"A"),""),")"),"")),"")</f>
        <v>Dave Baldwin (1)</v>
      </c>
      <c r="AD61" s="8" t="str">
        <f t="shared" ref="AD61:AD100" si="109">IF(AA10="A", CONCATENATE($B10, IF(AB10+AC10&gt;0,CONCATENATE(" (",AB10,IF(AC10&gt;0,CONCATENATE(IF(AB10&gt;0,",",""),AC10,"A"),""),")"),"")),"")</f>
        <v/>
      </c>
      <c r="AE61" s="8" t="str">
        <f t="shared" ref="AE61:AE100" si="110">IF(AE10="G", CONCATENATE($B10, IF(AF10+AG10&gt;0,CONCATENATE(" (",AF10,IF(AG10&gt;0,CONCATENATE(IF(AF10&gt;0,",",""),AG10,"A"),""),")"),"")),"")</f>
        <v/>
      </c>
      <c r="AF61" s="8" t="str">
        <f t="shared" ref="AF61" si="111">IF(AE10="D", CONCATENATE($B10, IF(AF10+AG10&gt;0,CONCATENATE(" (",AF10,IF(AG10&gt;0,CONCATENATE(IF(AF10&gt;0,",",""),AG10,"A"),""),")"),"")),"")</f>
        <v/>
      </c>
      <c r="AG61" s="8" t="str">
        <f t="shared" ref="AG61:AG100" si="112">IF(AE10="M", CONCATENATE($B10, IF(AF10+AG10&gt;0,CONCATENATE(" (",AF10,IF(AG10&gt;0,CONCATENATE(IF(AF10&gt;0,",",""),AG10,"A"),""),")"),"")),"")</f>
        <v>Dave Baldwin (1)</v>
      </c>
      <c r="AH61" s="8" t="str">
        <f t="shared" ref="AH61:AH100" si="113">IF(AE10="A", CONCATENATE($B10, IF(AF10+AG10&gt;0,CONCATENATE(" (",AF10,IF(AG10&gt;0,CONCATENATE(IF(AF10&gt;0,",",""),AG10,"A"),""),")"),"")),"")</f>
        <v/>
      </c>
      <c r="AI61" s="8" t="str">
        <f t="shared" ref="AI61:AI100" si="114">IF(AI10="G", CONCATENATE($B10, IF(AJ10+AK10&gt;0,CONCATENATE(" (",AJ10,IF(AK10&gt;0,CONCATENATE(IF(AJ10&gt;0,",",""),AK10,"A"),""),")"),"")),"")</f>
        <v/>
      </c>
      <c r="AJ61" s="8" t="str">
        <f t="shared" ref="AJ61:AJ100" si="115">IF(AI10="D", CONCATENATE($B10, IF(AJ10+AK10&gt;0,CONCATENATE(" (",AJ10,IF(AK10&gt;0,CONCATENATE(IF(AJ10&gt;0,",",""),AK10,"A"),""),")"),"")),"")</f>
        <v/>
      </c>
      <c r="AK61" s="8" t="str">
        <f t="shared" ref="AK61:AK100" si="116">IF(AI10="M", CONCATENATE($B10, IF(AJ10+AK10&gt;0,CONCATENATE(" (",AJ10,IF(AK10&gt;0,CONCATENATE(IF(AJ10&gt;0,",",""),AK10,"A"),""),")"),"")),"")</f>
        <v/>
      </c>
      <c r="AL61" s="8" t="str">
        <f t="shared" ref="AL61:AL100" si="117">IF(AI10="A", CONCATENATE($B10, IF(AJ10+AK10&gt;0,CONCATENATE(" (",AJ10,IF(AK10&gt;0,CONCATENATE(IF(AJ10&gt;0,",",""),AK10,"A"),""),")"),"")),"")</f>
        <v/>
      </c>
      <c r="AM61" s="8" t="str">
        <f t="shared" ref="AM61:AM100" si="118">IF(AM10="G", CONCATENATE($B10, IF(AN10+AO10&gt;0,CONCATENATE(" (",AN10,IF(AO10&gt;0,CONCATENATE(IF(AN10&gt;0,",",""),AO10,"A"),""),")"),"")),"")</f>
        <v/>
      </c>
      <c r="AN61" s="8" t="str">
        <f t="shared" ref="AN61" si="119">IF(AM10="D", CONCATENATE($B10, IF(AN10+AO10&gt;0,CONCATENATE(" (",AN10,IF(AO10&gt;0,CONCATENATE(IF(AN10&gt;0,",",""),AO10,"A"),""),")"),"")),"")</f>
        <v/>
      </c>
      <c r="AO61" s="8" t="str">
        <f t="shared" ref="AO61:AO100" si="120">IF(AM10="M", CONCATENATE($B10, IF(AN10+AO10&gt;0,CONCATENATE(" (",AN10,IF(AO10&gt;0,CONCATENATE(IF(AN10&gt;0,",",""),AO10,"A"),""),")"),"")),"")</f>
        <v/>
      </c>
      <c r="AP61" s="8" t="str">
        <f t="shared" ref="AP61:AP100" si="121">IF(AM10="A", CONCATENATE($B10, IF(AN10+AO10&gt;0,CONCATENATE(" (",AN10,IF(AO10&gt;0,CONCATENATE(IF(AN10&gt;0,",",""),AO10,"A"),""),")"),"")),"")</f>
        <v/>
      </c>
      <c r="AQ61" s="8" t="str">
        <f t="shared" ref="AQ61:AQ100" si="122">IF(AQ10="G", CONCATENATE($B10, IF(AR10+AS10&gt;0,CONCATENATE(" (",AR10,IF(AS10&gt;0,CONCATENATE(IF(AR10&gt;0,",",""),AS10,"A"),""),")"),"")),"")</f>
        <v/>
      </c>
      <c r="AR61" s="8" t="str">
        <f t="shared" ref="AR61" si="123">IF(AQ10="D", CONCATENATE($B10, IF(AR10+AS10&gt;0,CONCATENATE(" (",AR10,IF(AS10&gt;0,CONCATENATE(IF(AR10&gt;0,",",""),AS10,"A"),""),")"),"")),"")</f>
        <v/>
      </c>
      <c r="AS61" s="8" t="str">
        <f t="shared" ref="AS61:AS100" si="124">IF(AQ10="M", CONCATENATE($B10, IF(AR10+AS10&gt;0,CONCATENATE(" (",AR10,IF(AS10&gt;0,CONCATENATE(IF(AR10&gt;0,",",""),AS10,"A"),""),")"),"")),"")</f>
        <v/>
      </c>
      <c r="AT61" s="8" t="str">
        <f t="shared" ref="AT61:AT100" si="125">IF(AQ10="A", CONCATENATE($B10, IF(AR10+AS10&gt;0,CONCATENATE(" (",AR10,IF(AS10&gt;0,CONCATENATE(IF(AR10&gt;0,",",""),AS10,"A"),""),")"),"")),"")</f>
        <v/>
      </c>
      <c r="AU61" s="8" t="str">
        <f t="shared" ref="AU61:AU100" si="126">IF(AU10="G", CONCATENATE($B10, IF(AV10+AW10&gt;0,CONCATENATE(" (",AV10,IF(AW10&gt;0,CONCATENATE(IF(AV10&gt;0,",",""),AW10,"A"),""),")"),"")),"")</f>
        <v/>
      </c>
      <c r="AV61" s="8" t="str">
        <f t="shared" ref="AV61" si="127">IF(AU10="D", CONCATENATE($B10, IF(AV10+AW10&gt;0,CONCATENATE(" (",AV10,IF(AW10&gt;0,CONCATENATE(IF(AV10&gt;0,",",""),AW10,"A"),""),")"),"")),"")</f>
        <v/>
      </c>
      <c r="AW61" s="8" t="str">
        <f t="shared" ref="AW61:AW100" si="128">IF(AU10="M", CONCATENATE($B10, IF(AV10+AW10&gt;0,CONCATENATE(" (",AV10,IF(AW10&gt;0,CONCATENATE(IF(AV10&gt;0,",",""),AW10,"A"),""),")"),"")),"")</f>
        <v>Dave Baldwin</v>
      </c>
      <c r="AX61" s="8" t="str">
        <f t="shared" ref="AX61:AX100" si="129">IF(AU10="A", CONCATENATE($B10, IF(AV10+AW10&gt;0,CONCATENATE(" (",AV10,IF(AW10&gt;0,CONCATENATE(IF(AV10&gt;0,",",""),AW10,"A"),""),")"),"")),"")</f>
        <v/>
      </c>
      <c r="AY61" s="8" t="str">
        <f t="shared" ref="AY61:AY100" si="130">IF(AY10="G", CONCATENATE($B10, IF(AZ10+BA10&gt;0,CONCATENATE(" (",AZ10,IF(BA10&gt;0,CONCATENATE(IF(AZ10&gt;0,",",""),BA10,"A"),""),")"),"")),"")</f>
        <v/>
      </c>
      <c r="AZ61" s="8" t="str">
        <f t="shared" ref="AZ61" si="131">IF(AY10="D", CONCATENATE($B10, IF(AZ10+BA10&gt;0,CONCATENATE(" (",AZ10,IF(BA10&gt;0,CONCATENATE(IF(AZ10&gt;0,",",""),BA10,"A"),""),")"),"")),"")</f>
        <v/>
      </c>
      <c r="BA61" s="8" t="str">
        <f t="shared" ref="BA61:BA100" si="132">IF(AY10="M", CONCATENATE($B10, IF(AZ10+BA10&gt;0,CONCATENATE(" (",AZ10,IF(BA10&gt;0,CONCATENATE(IF(AZ10&gt;0,",",""),BA10,"A"),""),")"),"")),"")</f>
        <v>Dave Baldwin</v>
      </c>
      <c r="BB61" s="8" t="str">
        <f t="shared" ref="BB61:BB100" si="133">IF(AY10="A", CONCATENATE($B10, IF(AZ10+BA10&gt;0,CONCATENATE(" (",AZ10,IF(BA10&gt;0,CONCATENATE(IF(AZ10&gt;0,",",""),BA10,"A"),""),")"),"")),"")</f>
        <v/>
      </c>
      <c r="BC61" s="8" t="str">
        <f t="shared" ref="BC61:BC100" si="134">IF(BC10="G", CONCATENATE($B10, IF(BD10+BE10&gt;0,CONCATENATE(" (",BD10,IF(BE10&gt;0,CONCATENATE(IF(BD10&gt;0,",",""),BE10,"A"),""),")"),"")),"")</f>
        <v/>
      </c>
      <c r="BD61" s="8" t="str">
        <f t="shared" ref="BD61" si="135">IF(BC10="D", CONCATENATE($B10, IF(BD10+BE10&gt;0,CONCATENATE(" (",BD10,IF(BE10&gt;0,CONCATENATE(IF(BD10&gt;0,",",""),BE10,"A"),""),")"),"")),"")</f>
        <v/>
      </c>
      <c r="BE61" s="8" t="str">
        <f t="shared" ref="BE61:BE100" si="136">IF(BC10="M", CONCATENATE($B10, IF(BD10+BE10&gt;0,CONCATENATE(" (",BD10,IF(BE10&gt;0,CONCATENATE(IF(BD10&gt;0,",",""),BE10,"A"),""),")"),"")),"")</f>
        <v/>
      </c>
      <c r="BF61" s="8" t="str">
        <f t="shared" ref="BF61:BF100" si="137">IF(BC10="A", CONCATENATE($B10, IF(BD10+BE10&gt;0,CONCATENATE(" (",BD10,IF(BE10&gt;0,CONCATENATE(IF(BD10&gt;0,",",""),BE10,"A"),""),")"),"")),"")</f>
        <v/>
      </c>
      <c r="BG61" s="8" t="str">
        <f t="shared" ref="BG61:BG100" si="138">IF(BG10="G", CONCATENATE($B10, IF(BH10+BI10&gt;0,CONCATENATE(" (",BH10,IF(BI10&gt;0,CONCATENATE(IF(BH10&gt;0,",",""),BI10,"A"),""),")"),"")),"")</f>
        <v/>
      </c>
      <c r="BH61" s="8" t="str">
        <f t="shared" ref="BH61" si="139">IF(BG10="D", CONCATENATE($B10, IF(BH10+BI10&gt;0,CONCATENATE(" (",BH10,IF(BI10&gt;0,CONCATENATE(IF(BH10&gt;0,",",""),BI10,"A"),""),")"),"")),"")</f>
        <v/>
      </c>
      <c r="BI61" s="8" t="str">
        <f t="shared" ref="BI61:BI100" si="140">IF(BG10="M", CONCATENATE($B10, IF(BH10+BI10&gt;0,CONCATENATE(" (",BH10,IF(BI10&gt;0,CONCATENATE(IF(BH10&gt;0,",",""),BI10,"A"),""),")"),"")),"")</f>
        <v/>
      </c>
      <c r="BJ61" s="8" t="str">
        <f t="shared" ref="BJ61:BJ100" si="141">IF(BG10="A", CONCATENATE($B10, IF(BH10+BI10&gt;0,CONCATENATE(" (",BH10,IF(BI10&gt;0,CONCATENATE(IF(BH10&gt;0,",",""),BI10,"A"),""),")"),"")),"")</f>
        <v/>
      </c>
      <c r="BK61" s="8" t="str">
        <f t="shared" ref="BK61:BK100" si="142">IF(BK10="G", CONCATENATE($B10, IF(BL10+BM10&gt;0,CONCATENATE(" (",BL10,IF(BM10&gt;0,CONCATENATE(IF(BL10&gt;0,",",""),BM10,"A"),""),")"),"")),"")</f>
        <v/>
      </c>
      <c r="BL61" s="8" t="str">
        <f t="shared" ref="BL61" si="143">IF(BK10="D", CONCATENATE($B10, IF(BL10+BM10&gt;0,CONCATENATE(" (",BL10,IF(BM10&gt;0,CONCATENATE(IF(BL10&gt;0,",",""),BM10,"A"),""),")"),"")),"")</f>
        <v/>
      </c>
      <c r="BM61" s="8" t="str">
        <f t="shared" ref="BM61:BM100" si="144">IF(BK10="M", CONCATENATE($B10, IF(BL10+BM10&gt;0,CONCATENATE(" (",BL10,IF(BM10&gt;0,CONCATENATE(IF(BL10&gt;0,",",""),BM10,"A"),""),")"),"")),"")</f>
        <v/>
      </c>
      <c r="BN61" s="8" t="str">
        <f t="shared" ref="BN61:BN100" si="145">IF(BK10="A", CONCATENATE($B10, IF(BL10+BM10&gt;0,CONCATENATE(" (",BL10,IF(BM10&gt;0,CONCATENATE(IF(BL10&gt;0,",",""),BM10,"A"),""),")"),"")),"")</f>
        <v/>
      </c>
      <c r="BO61" s="8" t="str">
        <f t="shared" ref="BO61:BO100" si="146">IF(BO10="G", CONCATENATE($B10, IF(BP10+BQ10&gt;0,CONCATENATE(" (",BP10,IF(BQ10&gt;0,CONCATENATE(IF(BP10&gt;0,",",""),BQ10,"A"),""),")"),"")),"")</f>
        <v/>
      </c>
      <c r="BP61" s="8" t="str">
        <f t="shared" ref="BP61:BP100" si="147">IF(BO10="D", CONCATENATE($B10, IF(BP10+BQ10&gt;0,CONCATENATE(" (",BP10,IF(BQ10&gt;0,CONCATENATE(IF(BP10&gt;0,",",""),BQ10,"A"),""),")"),"")),"")</f>
        <v/>
      </c>
      <c r="BQ61" s="8" t="str">
        <f t="shared" ref="BQ61:BQ100" si="148">IF(BO10="M", CONCATENATE($B10, IF(BP10+BQ10&gt;0,CONCATENATE(" (",BP10,IF(BQ10&gt;0,CONCATENATE(IF(BP10&gt;0,",",""),BQ10,"A"),""),")"),"")),"")</f>
        <v/>
      </c>
      <c r="BR61" s="8" t="str">
        <f t="shared" ref="BR61:BR100" si="149">IF(BO10="A", CONCATENATE($B10, IF(BP10+BQ10&gt;0,CONCATENATE(" (",BP10,IF(BQ10&gt;0,CONCATENATE(IF(BP10&gt;0,",",""),BQ10,"A"),""),")"),"")),"")</f>
        <v/>
      </c>
      <c r="BS61" s="8" t="str">
        <f t="shared" ref="BS61:BS100" si="150">IF(BS10="G", CONCATENATE($B10, IF(BT10+BU10&gt;0,CONCATENATE(" (",BT10,IF(BU10&gt;0,CONCATENATE(IF(BT10&gt;0,",",""),BU10,"A"),""),")"),"")),"")</f>
        <v/>
      </c>
      <c r="BT61" s="8" t="str">
        <f t="shared" ref="BT61" si="151">IF(BS10="D", CONCATENATE($B10, IF(BT10+BU10&gt;0,CONCATENATE(" (",BT10,IF(BU10&gt;0,CONCATENATE(IF(BT10&gt;0,",",""),BU10,"A"),""),")"),"")),"")</f>
        <v/>
      </c>
      <c r="BU61" s="8" t="str">
        <f t="shared" ref="BU61:BU100" si="152">IF(BS10="M", CONCATENATE($B10, IF(BT10+BU10&gt;0,CONCATENATE(" (",BT10,IF(BU10&gt;0,CONCATENATE(IF(BT10&gt;0,",",""),BU10,"A"),""),")"),"")),"")</f>
        <v/>
      </c>
      <c r="BV61" s="8" t="str">
        <f t="shared" ref="BV61:BV100" si="153">IF(BS10="A", CONCATENATE($B10, IF(BT10+BU10&gt;0,CONCATENATE(" (",BT10,IF(BU10&gt;0,CONCATENATE(IF(BT10&gt;0,",",""),BU10,"A"),""),")"),"")),"")</f>
        <v/>
      </c>
      <c r="BW61" s="8" t="str">
        <f t="shared" ref="BW61:BW100" si="154">IF(BW10="G", CONCATENATE($B10, IF(BX10+BY10&gt;0,CONCATENATE(" (",BX10,IF(BY10&gt;0,CONCATENATE(IF(BX10&gt;0,",",""),BY10,"A"),""),")"),"")),"")</f>
        <v/>
      </c>
      <c r="BX61" s="8" t="str">
        <f t="shared" ref="BX61" si="155">IF(BW10="D", CONCATENATE($B10, IF(BX10+BY10&gt;0,CONCATENATE(" (",BX10,IF(BY10&gt;0,CONCATENATE(IF(BX10&gt;0,",",""),BY10,"A"),""),")"),"")),"")</f>
        <v/>
      </c>
      <c r="BY61" s="8" t="str">
        <f t="shared" ref="BY61:BY100" si="156">IF(BW10="M", CONCATENATE($B10, IF(BX10+BY10&gt;0,CONCATENATE(" (",BX10,IF(BY10&gt;0,CONCATENATE(IF(BX10&gt;0,",",""),BY10,"A"),""),")"),"")),"")</f>
        <v/>
      </c>
      <c r="BZ61" s="8" t="str">
        <f t="shared" ref="BZ61:BZ100" si="157">IF(BW10="A", CONCATENATE($B10, IF(BX10+BY10&gt;0,CONCATENATE(" (",BX10,IF(BY10&gt;0,CONCATENATE(IF(BX10&gt;0,",",""),BY10,"A"),""),")"),"")),"")</f>
        <v/>
      </c>
      <c r="CA61" s="8" t="str">
        <f t="shared" ref="CA61:CA100" si="158">IF(CA10="G", CONCATENATE($B10, IF(CB10+CC10&gt;0,CONCATENATE(" (",CB10,IF(CC10&gt;0,CONCATENATE(IF(CB10&gt;0,",",""),CC10,"A"),""),")"),"")),"")</f>
        <v/>
      </c>
      <c r="CB61" s="8" t="str">
        <f t="shared" ref="CB61" si="159">IF(CA10="D", CONCATENATE($B10, IF(CB10+CC10&gt;0,CONCATENATE(" (",CB10,IF(CC10&gt;0,CONCATENATE(IF(CB10&gt;0,",",""),CC10,"A"),""),")"),"")),"")</f>
        <v/>
      </c>
      <c r="CC61" s="8" t="str">
        <f t="shared" ref="CC61:CC100" si="160">IF(CA10="M", CONCATENATE($B10, IF(CB10+CC10&gt;0,CONCATENATE(" (",CB10,IF(CC10&gt;0,CONCATENATE(IF(CB10&gt;0,",",""),CC10,"A"),""),")"),"")),"")</f>
        <v/>
      </c>
      <c r="CD61" s="8" t="str">
        <f t="shared" ref="CD61:CD100" si="161">IF(CA10="A", CONCATENATE($B10, IF(CB10+CC10&gt;0,CONCATENATE(" (",CB10,IF(CC10&gt;0,CONCATENATE(IF(CB10&gt;0,",",""),CC10,"A"),""),")"),"")),"")</f>
        <v/>
      </c>
      <c r="CE61" s="8" t="str">
        <f t="shared" ref="CE61:CE100" si="162">IF(CE10="G", CONCATENATE($B10, IF(CF10+CG10&gt;0,CONCATENATE(" (",CF10,IF(CG10&gt;0,CONCATENATE(IF(CF10&gt;0,",",""),CG10,"A"),""),")"),"")),"")</f>
        <v/>
      </c>
      <c r="CF61" s="8" t="str">
        <f t="shared" ref="CF61" si="163">IF(CE10="D", CONCATENATE($B10, IF(CF10+CG10&gt;0,CONCATENATE(" (",CF10,IF(CG10&gt;0,CONCATENATE(IF(CF10&gt;0,",",""),CG10,"A"),""),")"),"")),"")</f>
        <v/>
      </c>
      <c r="CG61" s="8" t="str">
        <f t="shared" ref="CG61:CG100" si="164">IF(CE10="M", CONCATENATE($B10, IF(CF10+CG10&gt;0,CONCATENATE(" (",CF10,IF(CG10&gt;0,CONCATENATE(IF(CF10&gt;0,",",""),CG10,"A"),""),")"),"")),"")</f>
        <v/>
      </c>
      <c r="CH61" s="8" t="str">
        <f t="shared" ref="CH61:CH100" si="165">IF(CE10="A", CONCATENATE($B10, IF(CF10+CG10&gt;0,CONCATENATE(" (",CF10,IF(CG10&gt;0,CONCATENATE(IF(CF10&gt;0,",",""),CG10,"A"),""),")"),"")),"")</f>
        <v/>
      </c>
      <c r="CI61" s="8" t="str">
        <f t="shared" ref="CI61:CI100" si="166">IF(CI10="G", CONCATENATE($B10, IF(CJ10+CK10&gt;0,CONCATENATE(" (",CJ10,IF(CK10&gt;0,CONCATENATE(IF(CJ10&gt;0,",",""),CK10,"A"),""),")"),"")),"")</f>
        <v/>
      </c>
      <c r="CJ61" s="8" t="str">
        <f t="shared" ref="CJ61" si="167">IF(CI10="D", CONCATENATE($B10, IF(CJ10+CK10&gt;0,CONCATENATE(" (",CJ10,IF(CK10&gt;0,CONCATENATE(IF(CJ10&gt;0,",",""),CK10,"A"),""),")"),"")),"")</f>
        <v/>
      </c>
      <c r="CK61" s="8" t="str">
        <f t="shared" ref="CK61:CK100" si="168">IF(CI10="M", CONCATENATE($B10, IF(CJ10+CK10&gt;0,CONCATENATE(" (",CJ10,IF(CK10&gt;0,CONCATENATE(IF(CJ10&gt;0,",",""),CK10,"A"),""),")"),"")),"")</f>
        <v/>
      </c>
      <c r="CL61" s="8" t="str">
        <f t="shared" ref="CL61:CL100" si="169">IF(CI10="A", CONCATENATE($B10, IF(CJ10+CK10&gt;0,CONCATENATE(" (",CJ10,IF(CK10&gt;0,CONCATENATE(IF(CJ10&gt;0,",",""),CK10,"A"),""),")"),"")),"")</f>
        <v/>
      </c>
    </row>
    <row r="62" spans="1:90" x14ac:dyDescent="0.2">
      <c r="D62" s="37"/>
      <c r="E62" s="8">
        <f>E61+1</f>
        <v>2</v>
      </c>
      <c r="G62" s="8" t="str">
        <f t="shared" ref="G62" si="170">IF(G11="G", CONCATENATE($B11, IF(H11+I11&gt;0,CONCATENATE(" (",H11,IF(I11&gt;0,CONCATENATE(IF(H11&gt;0,",",""),I11,"A"),""),")"),"")),"")</f>
        <v/>
      </c>
      <c r="H62" s="8" t="str">
        <f t="shared" si="89"/>
        <v/>
      </c>
      <c r="I62" s="8" t="str">
        <f t="shared" ref="I62" si="171">IF(G11="M", CONCATENATE($B11, IF(H11+I11&gt;0,CONCATENATE(" (",H11,IF(I11&gt;0,CONCATENATE(IF(H11&gt;0,",",""),I11,"A"),""),")"),"")),"")</f>
        <v/>
      </c>
      <c r="J62" s="8" t="str">
        <f t="shared" ref="J62" si="172">IF(G11="A", CONCATENATE($B11, IF(H11+I11&gt;0,CONCATENATE(" (",H11,IF(I11&gt;0,CONCATENATE(IF(H11&gt;0,",",""),I11,"A"),""),")"),"")),"")</f>
        <v>Justin Baranowski</v>
      </c>
      <c r="K62" s="8" t="str">
        <f t="shared" si="90"/>
        <v/>
      </c>
      <c r="L62" s="8" t="str">
        <f t="shared" si="91"/>
        <v/>
      </c>
      <c r="M62" s="8" t="str">
        <f t="shared" si="92"/>
        <v/>
      </c>
      <c r="N62" s="8" t="str">
        <f t="shared" si="93"/>
        <v/>
      </c>
      <c r="O62" s="8" t="str">
        <f t="shared" si="94"/>
        <v/>
      </c>
      <c r="P62" s="8" t="str">
        <f t="shared" ref="P62:P100" si="173">IF(O11="D", CONCATENATE($B11, IF(P11+Q11&gt;0,CONCATENATE(" (",P11,IF(Q11&gt;0,CONCATENATE(IF(P11&gt;0,",",""),Q11,"A"),""),")"),"")),"")</f>
        <v/>
      </c>
      <c r="Q62" s="8" t="str">
        <f t="shared" si="96"/>
        <v/>
      </c>
      <c r="R62" s="8" t="str">
        <f t="shared" si="97"/>
        <v>Justin Baranowski</v>
      </c>
      <c r="S62" s="8" t="str">
        <f t="shared" si="98"/>
        <v/>
      </c>
      <c r="T62" s="8" t="str">
        <f t="shared" ref="T62:T100" si="174">IF(S11="D", CONCATENATE($B11, IF(T11+U11&gt;0,CONCATENATE(" (",T11,IF(U11&gt;0,CONCATENATE(IF(T11&gt;0,",",""),U11,"A"),""),")"),"")),"")</f>
        <v/>
      </c>
      <c r="U62" s="8" t="str">
        <f t="shared" si="100"/>
        <v/>
      </c>
      <c r="V62" s="8" t="str">
        <f t="shared" si="101"/>
        <v>Justin Baranowski (2)</v>
      </c>
      <c r="W62" s="8" t="str">
        <f t="shared" si="102"/>
        <v/>
      </c>
      <c r="X62" s="8" t="str">
        <f t="shared" ref="X62:X100" si="175">IF(W11="D", CONCATENATE($B11, IF(X11+Y11&gt;0,CONCATENATE(" (",X11,IF(Y11&gt;0,CONCATENATE(IF(X11&gt;0,",",""),Y11,"A"),""),")"),"")),"")</f>
        <v/>
      </c>
      <c r="Y62" s="8" t="str">
        <f t="shared" si="104"/>
        <v/>
      </c>
      <c r="Z62" s="8" t="str">
        <f t="shared" si="105"/>
        <v/>
      </c>
      <c r="AA62" s="8" t="str">
        <f t="shared" si="106"/>
        <v/>
      </c>
      <c r="AB62" s="8" t="str">
        <f t="shared" ref="AB62:AB100" si="176">IF(AA11="D", CONCATENATE($B11, IF(AB11+AC11&gt;0,CONCATENATE(" (",AB11,IF(AC11&gt;0,CONCATENATE(IF(AB11&gt;0,",",""),AC11,"A"),""),")"),"")),"")</f>
        <v/>
      </c>
      <c r="AC62" s="8" t="str">
        <f t="shared" si="108"/>
        <v/>
      </c>
      <c r="AD62" s="8" t="str">
        <f t="shared" si="109"/>
        <v>Justin Baranowski</v>
      </c>
      <c r="AE62" s="8" t="str">
        <f t="shared" si="110"/>
        <v/>
      </c>
      <c r="AF62" s="8" t="str">
        <f t="shared" ref="AF62:AF100" si="177">IF(AE11="D", CONCATENATE($B11, IF(AF11+AG11&gt;0,CONCATENATE(" (",AF11,IF(AG11&gt;0,CONCATENATE(IF(AF11&gt;0,",",""),AG11,"A"),""),")"),"")),"")</f>
        <v/>
      </c>
      <c r="AG62" s="8" t="str">
        <f t="shared" si="112"/>
        <v/>
      </c>
      <c r="AH62" s="8" t="str">
        <f t="shared" si="113"/>
        <v>Justin Baranowski (1)</v>
      </c>
      <c r="AI62" s="8" t="str">
        <f t="shared" si="114"/>
        <v/>
      </c>
      <c r="AJ62" s="8" t="str">
        <f t="shared" si="115"/>
        <v/>
      </c>
      <c r="AK62" s="8" t="str">
        <f t="shared" si="116"/>
        <v/>
      </c>
      <c r="AL62" s="8" t="str">
        <f t="shared" si="117"/>
        <v/>
      </c>
      <c r="AM62" s="8" t="str">
        <f t="shared" si="118"/>
        <v/>
      </c>
      <c r="AN62" s="8" t="str">
        <f t="shared" ref="AN62:AN100" si="178">IF(AM11="D", CONCATENATE($B11, IF(AN11+AO11&gt;0,CONCATENATE(" (",AN11,IF(AO11&gt;0,CONCATENATE(IF(AN11&gt;0,",",""),AO11,"A"),""),")"),"")),"")</f>
        <v/>
      </c>
      <c r="AO62" s="8" t="str">
        <f t="shared" si="120"/>
        <v/>
      </c>
      <c r="AP62" s="8" t="str">
        <f t="shared" si="121"/>
        <v/>
      </c>
      <c r="AQ62" s="8" t="str">
        <f t="shared" si="122"/>
        <v/>
      </c>
      <c r="AR62" s="8" t="str">
        <f t="shared" ref="AR62:AR100" si="179">IF(AQ11="D", CONCATENATE($B11, IF(AR11+AS11&gt;0,CONCATENATE(" (",AR11,IF(AS11&gt;0,CONCATENATE(IF(AR11&gt;0,",",""),AS11,"A"),""),")"),"")),"")</f>
        <v/>
      </c>
      <c r="AS62" s="8" t="str">
        <f t="shared" si="124"/>
        <v/>
      </c>
      <c r="AT62" s="8" t="str">
        <f t="shared" si="125"/>
        <v/>
      </c>
      <c r="AU62" s="8" t="str">
        <f t="shared" si="126"/>
        <v/>
      </c>
      <c r="AV62" s="8" t="str">
        <f t="shared" ref="AV62:AV100" si="180">IF(AU11="D", CONCATENATE($B11, IF(AV11+AW11&gt;0,CONCATENATE(" (",AV11,IF(AW11&gt;0,CONCATENATE(IF(AV11&gt;0,",",""),AW11,"A"),""),")"),"")),"")</f>
        <v/>
      </c>
      <c r="AW62" s="8" t="str">
        <f t="shared" si="128"/>
        <v/>
      </c>
      <c r="AX62" s="8" t="str">
        <f t="shared" si="129"/>
        <v/>
      </c>
      <c r="AY62" s="8" t="str">
        <f t="shared" si="130"/>
        <v/>
      </c>
      <c r="AZ62" s="8" t="str">
        <f t="shared" ref="AZ62:AZ100" si="181">IF(AY11="D", CONCATENATE($B11, IF(AZ11+BA11&gt;0,CONCATENATE(" (",AZ11,IF(BA11&gt;0,CONCATENATE(IF(AZ11&gt;0,",",""),BA11,"A"),""),")"),"")),"")</f>
        <v/>
      </c>
      <c r="BA62" s="8" t="str">
        <f t="shared" si="132"/>
        <v/>
      </c>
      <c r="BB62" s="8" t="str">
        <f t="shared" si="133"/>
        <v/>
      </c>
      <c r="BC62" s="8" t="str">
        <f t="shared" si="134"/>
        <v/>
      </c>
      <c r="BD62" s="8" t="str">
        <f t="shared" ref="BD62:BD100" si="182">IF(BC11="D", CONCATENATE($B11, IF(BD11+BE11&gt;0,CONCATENATE(" (",BD11,IF(BE11&gt;0,CONCATENATE(IF(BD11&gt;0,",",""),BE11,"A"),""),")"),"")),"")</f>
        <v/>
      </c>
      <c r="BE62" s="8" t="str">
        <f t="shared" si="136"/>
        <v/>
      </c>
      <c r="BF62" s="8" t="str">
        <f t="shared" si="137"/>
        <v/>
      </c>
      <c r="BG62" s="8" t="str">
        <f t="shared" si="138"/>
        <v/>
      </c>
      <c r="BH62" s="8" t="str">
        <f t="shared" ref="BH62:BH100" si="183">IF(BG11="D", CONCATENATE($B11, IF(BH11+BI11&gt;0,CONCATENATE(" (",BH11,IF(BI11&gt;0,CONCATENATE(IF(BH11&gt;0,",",""),BI11,"A"),""),")"),"")),"")</f>
        <v/>
      </c>
      <c r="BI62" s="8" t="str">
        <f t="shared" si="140"/>
        <v/>
      </c>
      <c r="BJ62" s="8" t="str">
        <f t="shared" si="141"/>
        <v/>
      </c>
      <c r="BK62" s="8" t="str">
        <f t="shared" si="142"/>
        <v/>
      </c>
      <c r="BL62" s="8" t="str">
        <f t="shared" ref="BL62:BL100" si="184">IF(BK11="D", CONCATENATE($B11, IF(BL11+BM11&gt;0,CONCATENATE(" (",BL11,IF(BM11&gt;0,CONCATENATE(IF(BL11&gt;0,",",""),BM11,"A"),""),")"),"")),"")</f>
        <v/>
      </c>
      <c r="BM62" s="8" t="str">
        <f t="shared" si="144"/>
        <v/>
      </c>
      <c r="BN62" s="8" t="str">
        <f t="shared" si="145"/>
        <v/>
      </c>
      <c r="BO62" s="8" t="str">
        <f t="shared" si="146"/>
        <v/>
      </c>
      <c r="BP62" s="8" t="str">
        <f t="shared" si="147"/>
        <v/>
      </c>
      <c r="BQ62" s="8" t="str">
        <f t="shared" si="148"/>
        <v/>
      </c>
      <c r="BR62" s="8" t="str">
        <f t="shared" si="149"/>
        <v/>
      </c>
      <c r="BS62" s="8" t="str">
        <f t="shared" si="150"/>
        <v/>
      </c>
      <c r="BT62" s="8" t="str">
        <f t="shared" ref="BT62:BT100" si="185">IF(BS11="D", CONCATENATE($B11, IF(BT11+BU11&gt;0,CONCATENATE(" (",BT11,IF(BU11&gt;0,CONCATENATE(IF(BT11&gt;0,",",""),BU11,"A"),""),")"),"")),"")</f>
        <v/>
      </c>
      <c r="BU62" s="8" t="str">
        <f t="shared" si="152"/>
        <v/>
      </c>
      <c r="BV62" s="8" t="str">
        <f t="shared" si="153"/>
        <v/>
      </c>
      <c r="BW62" s="8" t="str">
        <f t="shared" si="154"/>
        <v/>
      </c>
      <c r="BX62" s="8" t="str">
        <f t="shared" ref="BX62:BX100" si="186">IF(BW11="D", CONCATENATE($B11, IF(BX11+BY11&gt;0,CONCATENATE(" (",BX11,IF(BY11&gt;0,CONCATENATE(IF(BX11&gt;0,",",""),BY11,"A"),""),")"),"")),"")</f>
        <v/>
      </c>
      <c r="BY62" s="8" t="str">
        <f t="shared" si="156"/>
        <v/>
      </c>
      <c r="BZ62" s="8" t="str">
        <f t="shared" si="157"/>
        <v/>
      </c>
      <c r="CA62" s="8" t="str">
        <f t="shared" si="158"/>
        <v/>
      </c>
      <c r="CB62" s="8" t="str">
        <f t="shared" ref="CB62:CB100" si="187">IF(CA11="D", CONCATENATE($B11, IF(CB11+CC11&gt;0,CONCATENATE(" (",CB11,IF(CC11&gt;0,CONCATENATE(IF(CB11&gt;0,",",""),CC11,"A"),""),")"),"")),"")</f>
        <v/>
      </c>
      <c r="CC62" s="8" t="str">
        <f t="shared" si="160"/>
        <v/>
      </c>
      <c r="CD62" s="8" t="str">
        <f t="shared" si="161"/>
        <v/>
      </c>
      <c r="CE62" s="8" t="str">
        <f t="shared" si="162"/>
        <v/>
      </c>
      <c r="CF62" s="8" t="str">
        <f t="shared" ref="CF62:CF100" si="188">IF(CE11="D", CONCATENATE($B11, IF(CF11+CG11&gt;0,CONCATENATE(" (",CF11,IF(CG11&gt;0,CONCATENATE(IF(CF11&gt;0,",",""),CG11,"A"),""),")"),"")),"")</f>
        <v/>
      </c>
      <c r="CG62" s="8" t="str">
        <f t="shared" si="164"/>
        <v/>
      </c>
      <c r="CH62" s="8" t="str">
        <f t="shared" si="165"/>
        <v/>
      </c>
      <c r="CI62" s="8" t="str">
        <f t="shared" si="166"/>
        <v/>
      </c>
      <c r="CJ62" s="8" t="str">
        <f t="shared" ref="CJ62:CJ100" si="189">IF(CI11="D", CONCATENATE($B11, IF(CJ11+CK11&gt;0,CONCATENATE(" (",CJ11,IF(CK11&gt;0,CONCATENATE(IF(CJ11&gt;0,",",""),CK11,"A"),""),")"),"")),"")</f>
        <v/>
      </c>
      <c r="CK62" s="8" t="str">
        <f t="shared" si="168"/>
        <v/>
      </c>
      <c r="CL62" s="8" t="str">
        <f t="shared" si="169"/>
        <v/>
      </c>
    </row>
    <row r="63" spans="1:90" x14ac:dyDescent="0.2">
      <c r="D63" s="37"/>
      <c r="E63" s="8">
        <f t="shared" ref="E63:E100" si="190">E62+1</f>
        <v>3</v>
      </c>
      <c r="G63" s="8" t="str">
        <f t="shared" ref="G63:G100" si="191">IF(G12="G", CONCATENATE($B12, IF(H12+I12&gt;0,CONCATENATE(" (",H12,IF(I12&gt;0,CONCATENATE(IF(H12&gt;0,",",""),I12,"A"),""),")"),"")),"")</f>
        <v/>
      </c>
      <c r="H63" s="8" t="str">
        <f t="shared" si="89"/>
        <v/>
      </c>
      <c r="I63" s="8" t="str">
        <f t="shared" ref="I63:I100" si="192">IF(G12="M", CONCATENATE($B12, IF(H12+I12&gt;0,CONCATENATE(" (",H12,IF(I12&gt;0,CONCATENATE(IF(H12&gt;0,",",""),I12,"A"),""),")"),"")),"")</f>
        <v/>
      </c>
      <c r="J63" s="8" t="str">
        <f t="shared" ref="J63:J100" si="193">IF(G12="A", CONCATENATE($B12, IF(H12+I12&gt;0,CONCATENATE(" (",H12,IF(I12&gt;0,CONCATENATE(IF(H12&gt;0,",",""),I12,"A"),""),")"),"")),"")</f>
        <v/>
      </c>
      <c r="K63" s="8" t="str">
        <f t="shared" si="90"/>
        <v/>
      </c>
      <c r="L63" s="8" t="str">
        <f t="shared" si="91"/>
        <v/>
      </c>
      <c r="M63" s="8" t="str">
        <f t="shared" si="92"/>
        <v/>
      </c>
      <c r="N63" s="8" t="str">
        <f t="shared" si="93"/>
        <v/>
      </c>
      <c r="O63" s="8" t="str">
        <f t="shared" si="94"/>
        <v/>
      </c>
      <c r="P63" s="8" t="str">
        <f t="shared" si="173"/>
        <v/>
      </c>
      <c r="Q63" s="8" t="str">
        <f t="shared" si="96"/>
        <v/>
      </c>
      <c r="R63" s="8" t="str">
        <f t="shared" si="97"/>
        <v/>
      </c>
      <c r="S63" s="8" t="str">
        <f t="shared" si="98"/>
        <v/>
      </c>
      <c r="T63" s="8" t="str">
        <f t="shared" si="174"/>
        <v/>
      </c>
      <c r="U63" s="8" t="str">
        <f t="shared" si="100"/>
        <v/>
      </c>
      <c r="V63" s="8" t="str">
        <f t="shared" si="101"/>
        <v/>
      </c>
      <c r="W63" s="8" t="str">
        <f t="shared" si="102"/>
        <v/>
      </c>
      <c r="X63" s="8" t="str">
        <f t="shared" si="175"/>
        <v/>
      </c>
      <c r="Y63" s="8" t="str">
        <f t="shared" si="104"/>
        <v/>
      </c>
      <c r="Z63" s="8" t="str">
        <f t="shared" si="105"/>
        <v/>
      </c>
      <c r="AA63" s="8" t="str">
        <f t="shared" si="106"/>
        <v/>
      </c>
      <c r="AB63" s="8" t="str">
        <f t="shared" si="176"/>
        <v/>
      </c>
      <c r="AC63" s="8" t="str">
        <f t="shared" si="108"/>
        <v/>
      </c>
      <c r="AD63" s="8" t="str">
        <f t="shared" si="109"/>
        <v/>
      </c>
      <c r="AE63" s="8" t="str">
        <f t="shared" si="110"/>
        <v/>
      </c>
      <c r="AF63" s="8" t="str">
        <f t="shared" si="177"/>
        <v/>
      </c>
      <c r="AG63" s="8" t="str">
        <f t="shared" si="112"/>
        <v/>
      </c>
      <c r="AH63" s="8" t="str">
        <f t="shared" si="113"/>
        <v/>
      </c>
      <c r="AI63" s="8" t="str">
        <f t="shared" si="114"/>
        <v/>
      </c>
      <c r="AJ63" s="8" t="str">
        <f t="shared" si="115"/>
        <v/>
      </c>
      <c r="AK63" s="8" t="str">
        <f t="shared" si="116"/>
        <v/>
      </c>
      <c r="AL63" s="8" t="str">
        <f t="shared" si="117"/>
        <v/>
      </c>
      <c r="AM63" s="8" t="str">
        <f t="shared" si="118"/>
        <v/>
      </c>
      <c r="AN63" s="8" t="str">
        <f t="shared" si="178"/>
        <v/>
      </c>
      <c r="AO63" s="8" t="str">
        <f t="shared" si="120"/>
        <v/>
      </c>
      <c r="AP63" s="8" t="str">
        <f t="shared" si="121"/>
        <v/>
      </c>
      <c r="AQ63" s="8" t="str">
        <f t="shared" si="122"/>
        <v/>
      </c>
      <c r="AR63" s="8" t="str">
        <f t="shared" si="179"/>
        <v/>
      </c>
      <c r="AS63" s="8" t="str">
        <f t="shared" si="124"/>
        <v/>
      </c>
      <c r="AT63" s="8" t="str">
        <f t="shared" si="125"/>
        <v/>
      </c>
      <c r="AU63" s="8" t="str">
        <f t="shared" si="126"/>
        <v/>
      </c>
      <c r="AV63" s="8" t="str">
        <f t="shared" si="180"/>
        <v/>
      </c>
      <c r="AW63" s="8" t="str">
        <f t="shared" si="128"/>
        <v/>
      </c>
      <c r="AX63" s="8" t="str">
        <f t="shared" si="129"/>
        <v/>
      </c>
      <c r="AY63" s="8" t="str">
        <f t="shared" si="130"/>
        <v/>
      </c>
      <c r="AZ63" s="8" t="str">
        <f t="shared" si="181"/>
        <v/>
      </c>
      <c r="BA63" s="8" t="str">
        <f t="shared" si="132"/>
        <v/>
      </c>
      <c r="BB63" s="8" t="str">
        <f t="shared" si="133"/>
        <v/>
      </c>
      <c r="BC63" s="8" t="str">
        <f t="shared" si="134"/>
        <v/>
      </c>
      <c r="BD63" s="8" t="str">
        <f t="shared" si="182"/>
        <v/>
      </c>
      <c r="BE63" s="8" t="str">
        <f t="shared" si="136"/>
        <v/>
      </c>
      <c r="BF63" s="8" t="str">
        <f t="shared" si="137"/>
        <v/>
      </c>
      <c r="BG63" s="8" t="str">
        <f t="shared" si="138"/>
        <v/>
      </c>
      <c r="BH63" s="8" t="str">
        <f t="shared" si="183"/>
        <v/>
      </c>
      <c r="BI63" s="8" t="str">
        <f t="shared" si="140"/>
        <v/>
      </c>
      <c r="BJ63" s="8" t="str">
        <f t="shared" si="141"/>
        <v/>
      </c>
      <c r="BK63" s="8" t="str">
        <f t="shared" si="142"/>
        <v/>
      </c>
      <c r="BL63" s="8" t="str">
        <f t="shared" si="184"/>
        <v/>
      </c>
      <c r="BM63" s="8" t="str">
        <f t="shared" si="144"/>
        <v/>
      </c>
      <c r="BN63" s="8" t="str">
        <f t="shared" si="145"/>
        <v/>
      </c>
      <c r="BO63" s="8" t="str">
        <f t="shared" si="146"/>
        <v/>
      </c>
      <c r="BP63" s="8" t="str">
        <f t="shared" si="147"/>
        <v/>
      </c>
      <c r="BQ63" s="8" t="str">
        <f t="shared" si="148"/>
        <v/>
      </c>
      <c r="BR63" s="8" t="str">
        <f t="shared" si="149"/>
        <v/>
      </c>
      <c r="BS63" s="8" t="str">
        <f t="shared" si="150"/>
        <v/>
      </c>
      <c r="BT63" s="8" t="str">
        <f t="shared" si="185"/>
        <v/>
      </c>
      <c r="BU63" s="8" t="str">
        <f t="shared" si="152"/>
        <v/>
      </c>
      <c r="BV63" s="8" t="str">
        <f t="shared" si="153"/>
        <v/>
      </c>
      <c r="BW63" s="8" t="str">
        <f t="shared" si="154"/>
        <v/>
      </c>
      <c r="BX63" s="8" t="str">
        <f t="shared" si="186"/>
        <v/>
      </c>
      <c r="BY63" s="8" t="str">
        <f t="shared" si="156"/>
        <v/>
      </c>
      <c r="BZ63" s="8" t="str">
        <f t="shared" si="157"/>
        <v/>
      </c>
      <c r="CA63" s="8" t="str">
        <f t="shared" si="158"/>
        <v/>
      </c>
      <c r="CB63" s="8" t="str">
        <f t="shared" si="187"/>
        <v/>
      </c>
      <c r="CC63" s="8" t="str">
        <f t="shared" si="160"/>
        <v/>
      </c>
      <c r="CD63" s="8" t="str">
        <f t="shared" si="161"/>
        <v/>
      </c>
      <c r="CE63" s="8" t="str">
        <f t="shared" si="162"/>
        <v/>
      </c>
      <c r="CF63" s="8" t="str">
        <f t="shared" si="188"/>
        <v/>
      </c>
      <c r="CG63" s="8" t="str">
        <f t="shared" si="164"/>
        <v/>
      </c>
      <c r="CH63" s="8" t="str">
        <f t="shared" si="165"/>
        <v/>
      </c>
      <c r="CI63" s="8" t="str">
        <f t="shared" si="166"/>
        <v/>
      </c>
      <c r="CJ63" s="8" t="str">
        <f t="shared" si="189"/>
        <v/>
      </c>
      <c r="CK63" s="8" t="str">
        <f t="shared" si="168"/>
        <v/>
      </c>
      <c r="CL63" s="8" t="str">
        <f t="shared" si="169"/>
        <v/>
      </c>
    </row>
    <row r="64" spans="1:90" x14ac:dyDescent="0.2">
      <c r="D64" s="37"/>
      <c r="E64" s="8">
        <f t="shared" si="190"/>
        <v>4</v>
      </c>
      <c r="G64" s="8" t="str">
        <f t="shared" si="191"/>
        <v/>
      </c>
      <c r="H64" s="8" t="str">
        <f t="shared" si="89"/>
        <v/>
      </c>
      <c r="I64" s="8" t="str">
        <f t="shared" si="192"/>
        <v/>
      </c>
      <c r="J64" s="8" t="str">
        <f t="shared" si="193"/>
        <v/>
      </c>
      <c r="K64" s="8" t="str">
        <f t="shared" si="90"/>
        <v/>
      </c>
      <c r="L64" s="8" t="str">
        <f t="shared" si="91"/>
        <v/>
      </c>
      <c r="M64" s="8" t="str">
        <f t="shared" si="92"/>
        <v/>
      </c>
      <c r="N64" s="8" t="str">
        <f t="shared" si="93"/>
        <v/>
      </c>
      <c r="O64" s="8" t="str">
        <f t="shared" si="94"/>
        <v/>
      </c>
      <c r="P64" s="8" t="str">
        <f t="shared" si="173"/>
        <v/>
      </c>
      <c r="Q64" s="8" t="str">
        <f t="shared" si="96"/>
        <v/>
      </c>
      <c r="R64" s="8" t="str">
        <f t="shared" si="97"/>
        <v/>
      </c>
      <c r="S64" s="8" t="str">
        <f t="shared" si="98"/>
        <v/>
      </c>
      <c r="T64" s="8" t="str">
        <f t="shared" si="174"/>
        <v/>
      </c>
      <c r="U64" s="8" t="str">
        <f t="shared" si="100"/>
        <v/>
      </c>
      <c r="V64" s="8" t="str">
        <f t="shared" si="101"/>
        <v/>
      </c>
      <c r="W64" s="8" t="str">
        <f t="shared" si="102"/>
        <v/>
      </c>
      <c r="X64" s="8" t="str">
        <f t="shared" si="175"/>
        <v/>
      </c>
      <c r="Y64" s="8" t="str">
        <f t="shared" si="104"/>
        <v/>
      </c>
      <c r="Z64" s="8" t="str">
        <f t="shared" si="105"/>
        <v/>
      </c>
      <c r="AA64" s="8" t="str">
        <f t="shared" si="106"/>
        <v/>
      </c>
      <c r="AB64" s="8" t="str">
        <f t="shared" si="176"/>
        <v/>
      </c>
      <c r="AC64" s="8" t="str">
        <f t="shared" si="108"/>
        <v/>
      </c>
      <c r="AD64" s="8" t="str">
        <f t="shared" si="109"/>
        <v/>
      </c>
      <c r="AE64" s="8" t="str">
        <f t="shared" si="110"/>
        <v/>
      </c>
      <c r="AF64" s="8" t="str">
        <f t="shared" si="177"/>
        <v/>
      </c>
      <c r="AG64" s="8" t="str">
        <f t="shared" si="112"/>
        <v/>
      </c>
      <c r="AH64" s="8" t="str">
        <f t="shared" si="113"/>
        <v/>
      </c>
      <c r="AI64" s="8" t="str">
        <f t="shared" si="114"/>
        <v/>
      </c>
      <c r="AJ64" s="8" t="str">
        <f t="shared" si="115"/>
        <v/>
      </c>
      <c r="AK64" s="8" t="str">
        <f t="shared" si="116"/>
        <v/>
      </c>
      <c r="AL64" s="8" t="str">
        <f t="shared" si="117"/>
        <v/>
      </c>
      <c r="AM64" s="8" t="str">
        <f t="shared" si="118"/>
        <v/>
      </c>
      <c r="AN64" s="8" t="str">
        <f t="shared" si="178"/>
        <v/>
      </c>
      <c r="AO64" s="8" t="str">
        <f t="shared" si="120"/>
        <v/>
      </c>
      <c r="AP64" s="8" t="str">
        <f t="shared" si="121"/>
        <v/>
      </c>
      <c r="AQ64" s="8" t="str">
        <f t="shared" si="122"/>
        <v/>
      </c>
      <c r="AR64" s="8" t="str">
        <f t="shared" si="179"/>
        <v/>
      </c>
      <c r="AS64" s="8" t="str">
        <f t="shared" si="124"/>
        <v/>
      </c>
      <c r="AT64" s="8" t="str">
        <f t="shared" si="125"/>
        <v/>
      </c>
      <c r="AU64" s="8" t="str">
        <f t="shared" si="126"/>
        <v/>
      </c>
      <c r="AV64" s="8" t="str">
        <f t="shared" si="180"/>
        <v/>
      </c>
      <c r="AW64" s="8" t="str">
        <f t="shared" si="128"/>
        <v/>
      </c>
      <c r="AX64" s="8" t="str">
        <f t="shared" si="129"/>
        <v/>
      </c>
      <c r="AY64" s="8" t="str">
        <f t="shared" si="130"/>
        <v/>
      </c>
      <c r="AZ64" s="8" t="str">
        <f t="shared" si="181"/>
        <v/>
      </c>
      <c r="BA64" s="8" t="str">
        <f t="shared" si="132"/>
        <v/>
      </c>
      <c r="BB64" s="8" t="str">
        <f t="shared" si="133"/>
        <v/>
      </c>
      <c r="BC64" s="8" t="str">
        <f t="shared" si="134"/>
        <v/>
      </c>
      <c r="BD64" s="8" t="str">
        <f t="shared" si="182"/>
        <v/>
      </c>
      <c r="BE64" s="8" t="str">
        <f t="shared" si="136"/>
        <v/>
      </c>
      <c r="BF64" s="8" t="str">
        <f t="shared" si="137"/>
        <v/>
      </c>
      <c r="BG64" s="8" t="str">
        <f t="shared" si="138"/>
        <v/>
      </c>
      <c r="BH64" s="8" t="str">
        <f t="shared" si="183"/>
        <v/>
      </c>
      <c r="BI64" s="8" t="str">
        <f t="shared" si="140"/>
        <v/>
      </c>
      <c r="BJ64" s="8" t="str">
        <f t="shared" si="141"/>
        <v/>
      </c>
      <c r="BK64" s="8" t="str">
        <f t="shared" si="142"/>
        <v/>
      </c>
      <c r="BL64" s="8" t="str">
        <f t="shared" si="184"/>
        <v/>
      </c>
      <c r="BM64" s="8" t="str">
        <f t="shared" si="144"/>
        <v/>
      </c>
      <c r="BN64" s="8" t="str">
        <f t="shared" si="145"/>
        <v/>
      </c>
      <c r="BO64" s="8" t="str">
        <f t="shared" si="146"/>
        <v/>
      </c>
      <c r="BP64" s="8" t="str">
        <f t="shared" si="147"/>
        <v/>
      </c>
      <c r="BQ64" s="8" t="str">
        <f t="shared" si="148"/>
        <v/>
      </c>
      <c r="BR64" s="8" t="str">
        <f t="shared" si="149"/>
        <v/>
      </c>
      <c r="BS64" s="8" t="str">
        <f t="shared" si="150"/>
        <v/>
      </c>
      <c r="BT64" s="8" t="str">
        <f t="shared" si="185"/>
        <v/>
      </c>
      <c r="BU64" s="8" t="str">
        <f t="shared" si="152"/>
        <v/>
      </c>
      <c r="BV64" s="8" t="str">
        <f t="shared" si="153"/>
        <v/>
      </c>
      <c r="BW64" s="8" t="str">
        <f t="shared" si="154"/>
        <v/>
      </c>
      <c r="BX64" s="8" t="str">
        <f t="shared" si="186"/>
        <v/>
      </c>
      <c r="BY64" s="8" t="str">
        <f t="shared" si="156"/>
        <v/>
      </c>
      <c r="BZ64" s="8" t="str">
        <f t="shared" si="157"/>
        <v/>
      </c>
      <c r="CA64" s="8" t="str">
        <f t="shared" si="158"/>
        <v/>
      </c>
      <c r="CB64" s="8" t="str">
        <f t="shared" si="187"/>
        <v/>
      </c>
      <c r="CC64" s="8" t="str">
        <f t="shared" si="160"/>
        <v/>
      </c>
      <c r="CD64" s="8" t="str">
        <f t="shared" si="161"/>
        <v/>
      </c>
      <c r="CE64" s="8" t="str">
        <f t="shared" si="162"/>
        <v/>
      </c>
      <c r="CF64" s="8" t="str">
        <f t="shared" si="188"/>
        <v/>
      </c>
      <c r="CG64" s="8" t="str">
        <f t="shared" si="164"/>
        <v/>
      </c>
      <c r="CH64" s="8" t="str">
        <f t="shared" si="165"/>
        <v/>
      </c>
      <c r="CI64" s="8" t="str">
        <f t="shared" si="166"/>
        <v/>
      </c>
      <c r="CJ64" s="8" t="str">
        <f t="shared" si="189"/>
        <v/>
      </c>
      <c r="CK64" s="8" t="str">
        <f t="shared" si="168"/>
        <v/>
      </c>
      <c r="CL64" s="8" t="str">
        <f t="shared" si="169"/>
        <v/>
      </c>
    </row>
    <row r="65" spans="4:90" x14ac:dyDescent="0.2">
      <c r="D65" s="37"/>
      <c r="E65" s="8">
        <f t="shared" si="190"/>
        <v>5</v>
      </c>
      <c r="G65" s="8" t="str">
        <f t="shared" si="191"/>
        <v/>
      </c>
      <c r="H65" s="8" t="str">
        <f t="shared" si="89"/>
        <v>Andy Booth</v>
      </c>
      <c r="I65" s="8" t="str">
        <f t="shared" si="192"/>
        <v/>
      </c>
      <c r="J65" s="8" t="str">
        <f t="shared" si="193"/>
        <v/>
      </c>
      <c r="K65" s="8" t="str">
        <f t="shared" si="90"/>
        <v/>
      </c>
      <c r="L65" s="8" t="str">
        <f t="shared" si="91"/>
        <v/>
      </c>
      <c r="M65" s="8" t="str">
        <f t="shared" si="92"/>
        <v/>
      </c>
      <c r="N65" s="8" t="str">
        <f t="shared" si="93"/>
        <v>Andy Booth</v>
      </c>
      <c r="O65" s="8" t="str">
        <f t="shared" si="94"/>
        <v/>
      </c>
      <c r="P65" s="8" t="str">
        <f t="shared" si="173"/>
        <v>Andy Booth</v>
      </c>
      <c r="Q65" s="8" t="str">
        <f t="shared" si="96"/>
        <v/>
      </c>
      <c r="R65" s="8" t="str">
        <f t="shared" si="97"/>
        <v/>
      </c>
      <c r="S65" s="8" t="str">
        <f t="shared" si="98"/>
        <v/>
      </c>
      <c r="T65" s="8" t="str">
        <f t="shared" si="174"/>
        <v>Andy Booth</v>
      </c>
      <c r="U65" s="8" t="str">
        <f t="shared" si="100"/>
        <v/>
      </c>
      <c r="V65" s="8" t="str">
        <f t="shared" si="101"/>
        <v/>
      </c>
      <c r="W65" s="8" t="str">
        <f t="shared" si="102"/>
        <v/>
      </c>
      <c r="X65" s="8" t="str">
        <f t="shared" si="175"/>
        <v/>
      </c>
      <c r="Y65" s="8" t="str">
        <f t="shared" si="104"/>
        <v/>
      </c>
      <c r="Z65" s="8" t="str">
        <f t="shared" si="105"/>
        <v/>
      </c>
      <c r="AA65" s="8" t="str">
        <f t="shared" si="106"/>
        <v/>
      </c>
      <c r="AB65" s="8" t="str">
        <f t="shared" si="176"/>
        <v/>
      </c>
      <c r="AC65" s="8" t="str">
        <f t="shared" si="108"/>
        <v/>
      </c>
      <c r="AD65" s="8" t="str">
        <f t="shared" si="109"/>
        <v/>
      </c>
      <c r="AE65" s="8" t="str">
        <f t="shared" si="110"/>
        <v/>
      </c>
      <c r="AF65" s="8" t="str">
        <f t="shared" si="177"/>
        <v/>
      </c>
      <c r="AG65" s="8" t="str">
        <f t="shared" si="112"/>
        <v/>
      </c>
      <c r="AH65" s="8" t="str">
        <f t="shared" si="113"/>
        <v/>
      </c>
      <c r="AI65" s="8" t="str">
        <f t="shared" si="114"/>
        <v/>
      </c>
      <c r="AJ65" s="8" t="str">
        <f t="shared" si="115"/>
        <v/>
      </c>
      <c r="AK65" s="8" t="str">
        <f t="shared" si="116"/>
        <v/>
      </c>
      <c r="AL65" s="8" t="str">
        <f t="shared" si="117"/>
        <v>Andy Booth</v>
      </c>
      <c r="AM65" s="8" t="str">
        <f t="shared" si="118"/>
        <v/>
      </c>
      <c r="AN65" s="8" t="str">
        <f t="shared" si="178"/>
        <v/>
      </c>
      <c r="AO65" s="8" t="str">
        <f t="shared" si="120"/>
        <v/>
      </c>
      <c r="AP65" s="8" t="str">
        <f t="shared" si="121"/>
        <v/>
      </c>
      <c r="AQ65" s="8" t="str">
        <f t="shared" si="122"/>
        <v/>
      </c>
      <c r="AR65" s="8" t="str">
        <f t="shared" si="179"/>
        <v/>
      </c>
      <c r="AS65" s="8" t="str">
        <f t="shared" si="124"/>
        <v/>
      </c>
      <c r="AT65" s="8" t="str">
        <f t="shared" si="125"/>
        <v>Andy Booth</v>
      </c>
      <c r="AU65" s="8" t="str">
        <f t="shared" si="126"/>
        <v/>
      </c>
      <c r="AV65" s="8" t="str">
        <f t="shared" si="180"/>
        <v/>
      </c>
      <c r="AW65" s="8" t="str">
        <f t="shared" si="128"/>
        <v/>
      </c>
      <c r="AX65" s="8" t="str">
        <f t="shared" si="129"/>
        <v/>
      </c>
      <c r="AY65" s="8" t="str">
        <f t="shared" si="130"/>
        <v/>
      </c>
      <c r="AZ65" s="8" t="str">
        <f t="shared" si="181"/>
        <v/>
      </c>
      <c r="BA65" s="8" t="str">
        <f t="shared" si="132"/>
        <v/>
      </c>
      <c r="BB65" s="8" t="str">
        <f t="shared" si="133"/>
        <v>Andy Booth</v>
      </c>
      <c r="BC65" s="8" t="str">
        <f t="shared" si="134"/>
        <v/>
      </c>
      <c r="BD65" s="8" t="str">
        <f t="shared" si="182"/>
        <v/>
      </c>
      <c r="BE65" s="8" t="str">
        <f t="shared" si="136"/>
        <v/>
      </c>
      <c r="BF65" s="8" t="str">
        <f t="shared" si="137"/>
        <v/>
      </c>
      <c r="BG65" s="8" t="str">
        <f t="shared" si="138"/>
        <v/>
      </c>
      <c r="BH65" s="8" t="str">
        <f t="shared" si="183"/>
        <v/>
      </c>
      <c r="BI65" s="8" t="str">
        <f t="shared" si="140"/>
        <v/>
      </c>
      <c r="BJ65" s="8" t="str">
        <f t="shared" si="141"/>
        <v/>
      </c>
      <c r="BK65" s="8" t="str">
        <f t="shared" si="142"/>
        <v/>
      </c>
      <c r="BL65" s="8" t="str">
        <f t="shared" si="184"/>
        <v/>
      </c>
      <c r="BM65" s="8" t="str">
        <f t="shared" si="144"/>
        <v/>
      </c>
      <c r="BN65" s="8" t="str">
        <f t="shared" si="145"/>
        <v/>
      </c>
      <c r="BO65" s="8" t="str">
        <f t="shared" si="146"/>
        <v/>
      </c>
      <c r="BP65" s="8" t="str">
        <f t="shared" si="147"/>
        <v/>
      </c>
      <c r="BQ65" s="8" t="str">
        <f t="shared" si="148"/>
        <v/>
      </c>
      <c r="BR65" s="8" t="str">
        <f t="shared" si="149"/>
        <v/>
      </c>
      <c r="BS65" s="8" t="str">
        <f t="shared" si="150"/>
        <v/>
      </c>
      <c r="BT65" s="8" t="str">
        <f t="shared" si="185"/>
        <v/>
      </c>
      <c r="BU65" s="8" t="str">
        <f t="shared" si="152"/>
        <v/>
      </c>
      <c r="BV65" s="8" t="str">
        <f t="shared" si="153"/>
        <v/>
      </c>
      <c r="BW65" s="8" t="str">
        <f t="shared" si="154"/>
        <v/>
      </c>
      <c r="BX65" s="8" t="str">
        <f t="shared" si="186"/>
        <v/>
      </c>
      <c r="BY65" s="8" t="str">
        <f t="shared" si="156"/>
        <v/>
      </c>
      <c r="BZ65" s="8" t="str">
        <f t="shared" si="157"/>
        <v/>
      </c>
      <c r="CA65" s="8" t="str">
        <f t="shared" si="158"/>
        <v/>
      </c>
      <c r="CB65" s="8" t="str">
        <f t="shared" si="187"/>
        <v/>
      </c>
      <c r="CC65" s="8" t="str">
        <f t="shared" si="160"/>
        <v/>
      </c>
      <c r="CD65" s="8" t="str">
        <f t="shared" si="161"/>
        <v/>
      </c>
      <c r="CE65" s="8" t="str">
        <f t="shared" si="162"/>
        <v/>
      </c>
      <c r="CF65" s="8" t="str">
        <f t="shared" si="188"/>
        <v>Andy Booth</v>
      </c>
      <c r="CG65" s="8" t="str">
        <f t="shared" si="164"/>
        <v/>
      </c>
      <c r="CH65" s="8" t="str">
        <f t="shared" si="165"/>
        <v/>
      </c>
      <c r="CI65" s="8" t="str">
        <f t="shared" si="166"/>
        <v/>
      </c>
      <c r="CJ65" s="8" t="str">
        <f t="shared" si="189"/>
        <v/>
      </c>
      <c r="CK65" s="8" t="str">
        <f t="shared" si="168"/>
        <v/>
      </c>
      <c r="CL65" s="8" t="str">
        <f t="shared" si="169"/>
        <v>Andy Booth</v>
      </c>
    </row>
    <row r="66" spans="4:90" x14ac:dyDescent="0.2">
      <c r="D66" s="37"/>
      <c r="E66" s="8">
        <f t="shared" si="190"/>
        <v>6</v>
      </c>
      <c r="G66" s="8" t="str">
        <f t="shared" si="191"/>
        <v/>
      </c>
      <c r="H66" s="8" t="str">
        <f t="shared" si="89"/>
        <v/>
      </c>
      <c r="I66" s="8" t="str">
        <f t="shared" si="192"/>
        <v/>
      </c>
      <c r="J66" s="8" t="str">
        <f t="shared" si="193"/>
        <v/>
      </c>
      <c r="K66" s="8" t="str">
        <f t="shared" si="90"/>
        <v/>
      </c>
      <c r="L66" s="8" t="str">
        <f t="shared" si="91"/>
        <v/>
      </c>
      <c r="M66" s="8" t="str">
        <f t="shared" si="92"/>
        <v/>
      </c>
      <c r="N66" s="8" t="str">
        <f t="shared" si="93"/>
        <v/>
      </c>
      <c r="O66" s="8" t="str">
        <f t="shared" si="94"/>
        <v/>
      </c>
      <c r="P66" s="8" t="str">
        <f t="shared" si="173"/>
        <v/>
      </c>
      <c r="Q66" s="8" t="str">
        <f t="shared" si="96"/>
        <v/>
      </c>
      <c r="R66" s="8" t="str">
        <f t="shared" si="97"/>
        <v/>
      </c>
      <c r="S66" s="8" t="str">
        <f t="shared" si="98"/>
        <v/>
      </c>
      <c r="T66" s="8" t="str">
        <f t="shared" si="174"/>
        <v/>
      </c>
      <c r="U66" s="8" t="str">
        <f t="shared" si="100"/>
        <v/>
      </c>
      <c r="V66" s="8" t="str">
        <f t="shared" si="101"/>
        <v/>
      </c>
      <c r="W66" s="8" t="str">
        <f t="shared" si="102"/>
        <v/>
      </c>
      <c r="X66" s="8" t="str">
        <f t="shared" si="175"/>
        <v/>
      </c>
      <c r="Y66" s="8" t="str">
        <f t="shared" si="104"/>
        <v/>
      </c>
      <c r="Z66" s="8" t="str">
        <f t="shared" si="105"/>
        <v/>
      </c>
      <c r="AA66" s="8" t="str">
        <f t="shared" si="106"/>
        <v/>
      </c>
      <c r="AB66" s="8" t="str">
        <f t="shared" si="176"/>
        <v/>
      </c>
      <c r="AC66" s="8" t="str">
        <f t="shared" si="108"/>
        <v/>
      </c>
      <c r="AD66" s="8" t="str">
        <f t="shared" si="109"/>
        <v/>
      </c>
      <c r="AE66" s="8" t="str">
        <f t="shared" si="110"/>
        <v/>
      </c>
      <c r="AF66" s="8" t="str">
        <f t="shared" si="177"/>
        <v/>
      </c>
      <c r="AG66" s="8" t="str">
        <f t="shared" si="112"/>
        <v/>
      </c>
      <c r="AH66" s="8" t="str">
        <f t="shared" si="113"/>
        <v/>
      </c>
      <c r="AI66" s="8" t="str">
        <f t="shared" si="114"/>
        <v/>
      </c>
      <c r="AJ66" s="8" t="str">
        <f t="shared" si="115"/>
        <v/>
      </c>
      <c r="AK66" s="8" t="str">
        <f t="shared" si="116"/>
        <v/>
      </c>
      <c r="AL66" s="8" t="str">
        <f t="shared" si="117"/>
        <v/>
      </c>
      <c r="AM66" s="8" t="str">
        <f t="shared" si="118"/>
        <v/>
      </c>
      <c r="AN66" s="8" t="str">
        <f t="shared" si="178"/>
        <v/>
      </c>
      <c r="AO66" s="8" t="str">
        <f t="shared" si="120"/>
        <v/>
      </c>
      <c r="AP66" s="8" t="str">
        <f t="shared" si="121"/>
        <v/>
      </c>
      <c r="AQ66" s="8" t="str">
        <f t="shared" si="122"/>
        <v/>
      </c>
      <c r="AR66" s="8" t="str">
        <f t="shared" si="179"/>
        <v/>
      </c>
      <c r="AS66" s="8" t="str">
        <f t="shared" si="124"/>
        <v/>
      </c>
      <c r="AT66" s="8" t="str">
        <f t="shared" si="125"/>
        <v/>
      </c>
      <c r="AU66" s="8" t="str">
        <f t="shared" si="126"/>
        <v/>
      </c>
      <c r="AV66" s="8" t="str">
        <f t="shared" si="180"/>
        <v/>
      </c>
      <c r="AW66" s="8" t="str">
        <f t="shared" si="128"/>
        <v/>
      </c>
      <c r="AX66" s="8" t="str">
        <f t="shared" si="129"/>
        <v/>
      </c>
      <c r="AY66" s="8" t="str">
        <f t="shared" si="130"/>
        <v/>
      </c>
      <c r="AZ66" s="8" t="str">
        <f t="shared" si="181"/>
        <v/>
      </c>
      <c r="BA66" s="8" t="str">
        <f t="shared" si="132"/>
        <v/>
      </c>
      <c r="BB66" s="8" t="str">
        <f t="shared" si="133"/>
        <v/>
      </c>
      <c r="BC66" s="8" t="str">
        <f t="shared" si="134"/>
        <v/>
      </c>
      <c r="BD66" s="8" t="str">
        <f t="shared" si="182"/>
        <v/>
      </c>
      <c r="BE66" s="8" t="str">
        <f t="shared" si="136"/>
        <v/>
      </c>
      <c r="BF66" s="8" t="str">
        <f t="shared" si="137"/>
        <v/>
      </c>
      <c r="BG66" s="8" t="str">
        <f t="shared" si="138"/>
        <v/>
      </c>
      <c r="BH66" s="8" t="str">
        <f t="shared" si="183"/>
        <v/>
      </c>
      <c r="BI66" s="8" t="str">
        <f t="shared" si="140"/>
        <v/>
      </c>
      <c r="BJ66" s="8" t="str">
        <f t="shared" si="141"/>
        <v/>
      </c>
      <c r="BK66" s="8" t="str">
        <f t="shared" si="142"/>
        <v/>
      </c>
      <c r="BL66" s="8" t="str">
        <f t="shared" si="184"/>
        <v/>
      </c>
      <c r="BM66" s="8" t="str">
        <f t="shared" si="144"/>
        <v/>
      </c>
      <c r="BN66" s="8" t="str">
        <f t="shared" si="145"/>
        <v/>
      </c>
      <c r="BO66" s="8" t="str">
        <f t="shared" si="146"/>
        <v/>
      </c>
      <c r="BP66" s="8" t="str">
        <f t="shared" si="147"/>
        <v/>
      </c>
      <c r="BQ66" s="8" t="str">
        <f t="shared" si="148"/>
        <v/>
      </c>
      <c r="BR66" s="8" t="str">
        <f t="shared" si="149"/>
        <v/>
      </c>
      <c r="BS66" s="8" t="str">
        <f t="shared" si="150"/>
        <v/>
      </c>
      <c r="BT66" s="8" t="str">
        <f t="shared" si="185"/>
        <v/>
      </c>
      <c r="BU66" s="8" t="str">
        <f t="shared" si="152"/>
        <v/>
      </c>
      <c r="BV66" s="8" t="str">
        <f t="shared" si="153"/>
        <v/>
      </c>
      <c r="BW66" s="8" t="str">
        <f t="shared" si="154"/>
        <v/>
      </c>
      <c r="BX66" s="8" t="str">
        <f t="shared" si="186"/>
        <v/>
      </c>
      <c r="BY66" s="8" t="str">
        <f t="shared" si="156"/>
        <v/>
      </c>
      <c r="BZ66" s="8" t="str">
        <f t="shared" si="157"/>
        <v/>
      </c>
      <c r="CA66" s="8" t="str">
        <f t="shared" si="158"/>
        <v/>
      </c>
      <c r="CB66" s="8" t="str">
        <f t="shared" si="187"/>
        <v/>
      </c>
      <c r="CC66" s="8" t="str">
        <f t="shared" si="160"/>
        <v/>
      </c>
      <c r="CD66" s="8" t="str">
        <f t="shared" si="161"/>
        <v/>
      </c>
      <c r="CE66" s="8" t="str">
        <f t="shared" si="162"/>
        <v/>
      </c>
      <c r="CF66" s="8" t="str">
        <f t="shared" si="188"/>
        <v/>
      </c>
      <c r="CG66" s="8" t="str">
        <f t="shared" si="164"/>
        <v/>
      </c>
      <c r="CH66" s="8" t="str">
        <f t="shared" si="165"/>
        <v/>
      </c>
      <c r="CI66" s="8" t="str">
        <f t="shared" si="166"/>
        <v/>
      </c>
      <c r="CJ66" s="8" t="str">
        <f t="shared" si="189"/>
        <v/>
      </c>
      <c r="CK66" s="8" t="str">
        <f t="shared" si="168"/>
        <v/>
      </c>
      <c r="CL66" s="8" t="str">
        <f t="shared" si="169"/>
        <v/>
      </c>
    </row>
    <row r="67" spans="4:90" x14ac:dyDescent="0.2">
      <c r="D67" s="37"/>
      <c r="E67" s="8">
        <f t="shared" si="190"/>
        <v>7</v>
      </c>
      <c r="G67" s="8" t="str">
        <f t="shared" si="191"/>
        <v/>
      </c>
      <c r="H67" s="8" t="str">
        <f t="shared" si="89"/>
        <v>Felix Bull</v>
      </c>
      <c r="I67" s="8" t="str">
        <f t="shared" si="192"/>
        <v/>
      </c>
      <c r="J67" s="8" t="str">
        <f t="shared" si="193"/>
        <v/>
      </c>
      <c r="K67" s="8" t="str">
        <f t="shared" si="90"/>
        <v/>
      </c>
      <c r="L67" s="8" t="str">
        <f t="shared" si="91"/>
        <v>Felix Bull</v>
      </c>
      <c r="M67" s="8" t="str">
        <f t="shared" si="92"/>
        <v/>
      </c>
      <c r="N67" s="8" t="str">
        <f t="shared" si="93"/>
        <v/>
      </c>
      <c r="O67" s="8" t="str">
        <f t="shared" si="94"/>
        <v/>
      </c>
      <c r="P67" s="8" t="str">
        <f t="shared" si="173"/>
        <v>Felix Bull</v>
      </c>
      <c r="Q67" s="8" t="str">
        <f t="shared" si="96"/>
        <v/>
      </c>
      <c r="R67" s="8" t="str">
        <f t="shared" si="97"/>
        <v/>
      </c>
      <c r="S67" s="8" t="str">
        <f t="shared" si="98"/>
        <v/>
      </c>
      <c r="T67" s="8" t="str">
        <f t="shared" si="174"/>
        <v>Felix Bull</v>
      </c>
      <c r="U67" s="8" t="str">
        <f t="shared" si="100"/>
        <v/>
      </c>
      <c r="V67" s="8" t="str">
        <f t="shared" si="101"/>
        <v/>
      </c>
      <c r="W67" s="8" t="str">
        <f t="shared" si="102"/>
        <v/>
      </c>
      <c r="X67" s="8" t="str">
        <f t="shared" si="175"/>
        <v/>
      </c>
      <c r="Y67" s="8" t="str">
        <f t="shared" si="104"/>
        <v/>
      </c>
      <c r="Z67" s="8" t="str">
        <f t="shared" si="105"/>
        <v/>
      </c>
      <c r="AA67" s="8" t="str">
        <f t="shared" si="106"/>
        <v/>
      </c>
      <c r="AB67" s="8" t="str">
        <f t="shared" si="176"/>
        <v>Felix Bull</v>
      </c>
      <c r="AC67" s="8" t="str">
        <f t="shared" si="108"/>
        <v/>
      </c>
      <c r="AD67" s="8" t="str">
        <f t="shared" si="109"/>
        <v/>
      </c>
      <c r="AE67" s="8" t="str">
        <f t="shared" si="110"/>
        <v/>
      </c>
      <c r="AF67" s="8" t="str">
        <f t="shared" si="177"/>
        <v/>
      </c>
      <c r="AG67" s="8" t="str">
        <f t="shared" si="112"/>
        <v/>
      </c>
      <c r="AH67" s="8" t="str">
        <f t="shared" si="113"/>
        <v/>
      </c>
      <c r="AI67" s="8" t="str">
        <f t="shared" si="114"/>
        <v/>
      </c>
      <c r="AJ67" s="8" t="str">
        <f t="shared" si="115"/>
        <v>Felix Bull</v>
      </c>
      <c r="AK67" s="8" t="str">
        <f t="shared" si="116"/>
        <v/>
      </c>
      <c r="AL67" s="8" t="str">
        <f t="shared" si="117"/>
        <v/>
      </c>
      <c r="AM67" s="8" t="str">
        <f t="shared" si="118"/>
        <v/>
      </c>
      <c r="AN67" s="8" t="str">
        <f t="shared" si="178"/>
        <v/>
      </c>
      <c r="AO67" s="8" t="str">
        <f t="shared" si="120"/>
        <v/>
      </c>
      <c r="AP67" s="8" t="str">
        <f t="shared" si="121"/>
        <v/>
      </c>
      <c r="AQ67" s="8" t="str">
        <f t="shared" si="122"/>
        <v/>
      </c>
      <c r="AR67" s="8" t="str">
        <f t="shared" si="179"/>
        <v>Felix Bull</v>
      </c>
      <c r="AS67" s="8" t="str">
        <f t="shared" si="124"/>
        <v/>
      </c>
      <c r="AT67" s="8" t="str">
        <f t="shared" si="125"/>
        <v/>
      </c>
      <c r="AU67" s="8" t="str">
        <f t="shared" si="126"/>
        <v/>
      </c>
      <c r="AV67" s="8" t="str">
        <f t="shared" si="180"/>
        <v/>
      </c>
      <c r="AW67" s="8" t="str">
        <f t="shared" si="128"/>
        <v/>
      </c>
      <c r="AX67" s="8" t="str">
        <f t="shared" si="129"/>
        <v/>
      </c>
      <c r="AY67" s="8" t="str">
        <f t="shared" si="130"/>
        <v/>
      </c>
      <c r="AZ67" s="8" t="str">
        <f t="shared" si="181"/>
        <v>Felix Bull</v>
      </c>
      <c r="BA67" s="8" t="str">
        <f t="shared" si="132"/>
        <v/>
      </c>
      <c r="BB67" s="8" t="str">
        <f t="shared" si="133"/>
        <v/>
      </c>
      <c r="BC67" s="8" t="str">
        <f t="shared" si="134"/>
        <v/>
      </c>
      <c r="BD67" s="8" t="str">
        <f t="shared" si="182"/>
        <v/>
      </c>
      <c r="BE67" s="8" t="str">
        <f t="shared" si="136"/>
        <v/>
      </c>
      <c r="BF67" s="8" t="str">
        <f t="shared" si="137"/>
        <v/>
      </c>
      <c r="BG67" s="8" t="str">
        <f t="shared" si="138"/>
        <v/>
      </c>
      <c r="BH67" s="8" t="str">
        <f t="shared" si="183"/>
        <v/>
      </c>
      <c r="BI67" s="8" t="str">
        <f t="shared" si="140"/>
        <v/>
      </c>
      <c r="BJ67" s="8" t="str">
        <f t="shared" si="141"/>
        <v/>
      </c>
      <c r="BK67" s="8" t="str">
        <f t="shared" si="142"/>
        <v/>
      </c>
      <c r="BL67" s="8" t="str">
        <f t="shared" si="184"/>
        <v/>
      </c>
      <c r="BM67" s="8" t="str">
        <f t="shared" si="144"/>
        <v/>
      </c>
      <c r="BN67" s="8" t="str">
        <f t="shared" si="145"/>
        <v/>
      </c>
      <c r="BO67" s="8" t="str">
        <f t="shared" si="146"/>
        <v/>
      </c>
      <c r="BP67" s="8" t="str">
        <f t="shared" si="147"/>
        <v>Felix Bull (1)</v>
      </c>
      <c r="BQ67" s="8" t="str">
        <f t="shared" si="148"/>
        <v/>
      </c>
      <c r="BR67" s="8" t="str">
        <f t="shared" si="149"/>
        <v/>
      </c>
      <c r="BS67" s="8" t="str">
        <f t="shared" si="150"/>
        <v/>
      </c>
      <c r="BT67" s="8" t="str">
        <f t="shared" si="185"/>
        <v>Felix Bull</v>
      </c>
      <c r="BU67" s="8" t="str">
        <f t="shared" si="152"/>
        <v/>
      </c>
      <c r="BV67" s="8" t="str">
        <f t="shared" si="153"/>
        <v/>
      </c>
      <c r="BW67" s="8" t="str">
        <f t="shared" si="154"/>
        <v/>
      </c>
      <c r="BX67" s="8" t="str">
        <f t="shared" si="186"/>
        <v>Felix Bull</v>
      </c>
      <c r="BY67" s="8" t="str">
        <f t="shared" si="156"/>
        <v/>
      </c>
      <c r="BZ67" s="8" t="str">
        <f t="shared" si="157"/>
        <v/>
      </c>
      <c r="CA67" s="8" t="str">
        <f t="shared" si="158"/>
        <v/>
      </c>
      <c r="CB67" s="8" t="str">
        <f t="shared" si="187"/>
        <v>Felix Bull (1)</v>
      </c>
      <c r="CC67" s="8" t="str">
        <f t="shared" si="160"/>
        <v/>
      </c>
      <c r="CD67" s="8" t="str">
        <f t="shared" si="161"/>
        <v/>
      </c>
      <c r="CE67" s="8" t="str">
        <f t="shared" si="162"/>
        <v/>
      </c>
      <c r="CF67" s="8" t="str">
        <f t="shared" si="188"/>
        <v/>
      </c>
      <c r="CG67" s="8" t="str">
        <f t="shared" si="164"/>
        <v/>
      </c>
      <c r="CH67" s="8" t="str">
        <f t="shared" si="165"/>
        <v/>
      </c>
      <c r="CI67" s="8" t="str">
        <f t="shared" si="166"/>
        <v/>
      </c>
      <c r="CJ67" s="8" t="str">
        <f t="shared" si="189"/>
        <v>Felix Bull</v>
      </c>
      <c r="CK67" s="8" t="str">
        <f t="shared" si="168"/>
        <v/>
      </c>
      <c r="CL67" s="8" t="str">
        <f t="shared" si="169"/>
        <v/>
      </c>
    </row>
    <row r="68" spans="4:90" x14ac:dyDescent="0.2">
      <c r="D68" s="37"/>
      <c r="E68" s="8">
        <f t="shared" si="190"/>
        <v>8</v>
      </c>
      <c r="G68" s="8" t="str">
        <f t="shared" si="191"/>
        <v/>
      </c>
      <c r="H68" s="8" t="str">
        <f t="shared" si="89"/>
        <v/>
      </c>
      <c r="I68" s="8" t="str">
        <f t="shared" si="192"/>
        <v/>
      </c>
      <c r="J68" s="8" t="str">
        <f t="shared" si="193"/>
        <v/>
      </c>
      <c r="K68" s="8" t="str">
        <f t="shared" si="90"/>
        <v/>
      </c>
      <c r="L68" s="8" t="str">
        <f t="shared" si="91"/>
        <v/>
      </c>
      <c r="M68" s="8" t="str">
        <f t="shared" si="92"/>
        <v/>
      </c>
      <c r="N68" s="8" t="str">
        <f t="shared" si="93"/>
        <v/>
      </c>
      <c r="O68" s="8" t="str">
        <f t="shared" si="94"/>
        <v/>
      </c>
      <c r="P68" s="8" t="str">
        <f t="shared" si="173"/>
        <v/>
      </c>
      <c r="Q68" s="8" t="str">
        <f t="shared" si="96"/>
        <v>Rob Clark</v>
      </c>
      <c r="R68" s="8" t="str">
        <f t="shared" si="97"/>
        <v/>
      </c>
      <c r="S68" s="8" t="str">
        <f t="shared" si="98"/>
        <v/>
      </c>
      <c r="T68" s="8" t="str">
        <f t="shared" si="174"/>
        <v/>
      </c>
      <c r="U68" s="8" t="str">
        <f t="shared" si="100"/>
        <v>Rob Clark</v>
      </c>
      <c r="V68" s="8" t="str">
        <f t="shared" si="101"/>
        <v/>
      </c>
      <c r="W68" s="8" t="str">
        <f t="shared" si="102"/>
        <v/>
      </c>
      <c r="X68" s="8" t="str">
        <f t="shared" si="175"/>
        <v/>
      </c>
      <c r="Y68" s="8" t="str">
        <f t="shared" si="104"/>
        <v/>
      </c>
      <c r="Z68" s="8" t="str">
        <f t="shared" si="105"/>
        <v/>
      </c>
      <c r="AA68" s="8" t="str">
        <f t="shared" si="106"/>
        <v/>
      </c>
      <c r="AB68" s="8" t="str">
        <f t="shared" si="176"/>
        <v/>
      </c>
      <c r="AC68" s="8" t="str">
        <f t="shared" si="108"/>
        <v>Rob Clark</v>
      </c>
      <c r="AD68" s="8" t="str">
        <f t="shared" si="109"/>
        <v/>
      </c>
      <c r="AE68" s="8" t="str">
        <f t="shared" si="110"/>
        <v/>
      </c>
      <c r="AF68" s="8" t="str">
        <f t="shared" si="177"/>
        <v/>
      </c>
      <c r="AG68" s="8" t="str">
        <f t="shared" si="112"/>
        <v/>
      </c>
      <c r="AH68" s="8" t="str">
        <f t="shared" si="113"/>
        <v/>
      </c>
      <c r="AI68" s="8" t="str">
        <f t="shared" si="114"/>
        <v/>
      </c>
      <c r="AJ68" s="8" t="str">
        <f t="shared" si="115"/>
        <v/>
      </c>
      <c r="AK68" s="8" t="str">
        <f t="shared" si="116"/>
        <v/>
      </c>
      <c r="AL68" s="8" t="str">
        <f t="shared" si="117"/>
        <v/>
      </c>
      <c r="AM68" s="8" t="str">
        <f t="shared" si="118"/>
        <v/>
      </c>
      <c r="AN68" s="8" t="str">
        <f t="shared" si="178"/>
        <v/>
      </c>
      <c r="AO68" s="8" t="str">
        <f t="shared" si="120"/>
        <v/>
      </c>
      <c r="AP68" s="8" t="str">
        <f t="shared" si="121"/>
        <v/>
      </c>
      <c r="AQ68" s="8" t="str">
        <f t="shared" si="122"/>
        <v/>
      </c>
      <c r="AR68" s="8" t="str">
        <f t="shared" si="179"/>
        <v/>
      </c>
      <c r="AS68" s="8" t="str">
        <f t="shared" si="124"/>
        <v/>
      </c>
      <c r="AT68" s="8" t="str">
        <f t="shared" si="125"/>
        <v/>
      </c>
      <c r="AU68" s="8" t="str">
        <f t="shared" si="126"/>
        <v/>
      </c>
      <c r="AV68" s="8" t="str">
        <f t="shared" si="180"/>
        <v/>
      </c>
      <c r="AW68" s="8" t="str">
        <f t="shared" si="128"/>
        <v/>
      </c>
      <c r="AX68" s="8" t="str">
        <f t="shared" si="129"/>
        <v/>
      </c>
      <c r="AY68" s="8" t="str">
        <f t="shared" si="130"/>
        <v/>
      </c>
      <c r="AZ68" s="8" t="str">
        <f t="shared" si="181"/>
        <v/>
      </c>
      <c r="BA68" s="8" t="str">
        <f t="shared" si="132"/>
        <v/>
      </c>
      <c r="BB68" s="8" t="str">
        <f t="shared" si="133"/>
        <v/>
      </c>
      <c r="BC68" s="8" t="str">
        <f t="shared" si="134"/>
        <v/>
      </c>
      <c r="BD68" s="8" t="str">
        <f t="shared" si="182"/>
        <v/>
      </c>
      <c r="BE68" s="8" t="str">
        <f t="shared" si="136"/>
        <v/>
      </c>
      <c r="BF68" s="8" t="str">
        <f t="shared" si="137"/>
        <v/>
      </c>
      <c r="BG68" s="8" t="str">
        <f t="shared" si="138"/>
        <v/>
      </c>
      <c r="BH68" s="8" t="str">
        <f t="shared" si="183"/>
        <v/>
      </c>
      <c r="BI68" s="8" t="str">
        <f t="shared" si="140"/>
        <v/>
      </c>
      <c r="BJ68" s="8" t="str">
        <f t="shared" si="141"/>
        <v/>
      </c>
      <c r="BK68" s="8" t="str">
        <f t="shared" si="142"/>
        <v/>
      </c>
      <c r="BL68" s="8" t="str">
        <f t="shared" si="184"/>
        <v/>
      </c>
      <c r="BM68" s="8" t="str">
        <f t="shared" si="144"/>
        <v/>
      </c>
      <c r="BN68" s="8" t="str">
        <f t="shared" si="145"/>
        <v/>
      </c>
      <c r="BO68" s="8" t="str">
        <f t="shared" si="146"/>
        <v/>
      </c>
      <c r="BP68" s="8" t="str">
        <f t="shared" si="147"/>
        <v/>
      </c>
      <c r="BQ68" s="8" t="str">
        <f t="shared" si="148"/>
        <v/>
      </c>
      <c r="BR68" s="8" t="str">
        <f t="shared" si="149"/>
        <v/>
      </c>
      <c r="BS68" s="8" t="str">
        <f t="shared" si="150"/>
        <v/>
      </c>
      <c r="BT68" s="8" t="str">
        <f t="shared" si="185"/>
        <v/>
      </c>
      <c r="BU68" s="8" t="str">
        <f t="shared" si="152"/>
        <v/>
      </c>
      <c r="BV68" s="8" t="str">
        <f t="shared" si="153"/>
        <v/>
      </c>
      <c r="BW68" s="8" t="str">
        <f t="shared" si="154"/>
        <v/>
      </c>
      <c r="BX68" s="8" t="str">
        <f t="shared" si="186"/>
        <v/>
      </c>
      <c r="BY68" s="8" t="str">
        <f t="shared" si="156"/>
        <v/>
      </c>
      <c r="BZ68" s="8" t="str">
        <f t="shared" si="157"/>
        <v/>
      </c>
      <c r="CA68" s="8" t="str">
        <f t="shared" si="158"/>
        <v/>
      </c>
      <c r="CB68" s="8" t="str">
        <f t="shared" si="187"/>
        <v/>
      </c>
      <c r="CC68" s="8" t="str">
        <f t="shared" si="160"/>
        <v/>
      </c>
      <c r="CD68" s="8" t="str">
        <f t="shared" si="161"/>
        <v/>
      </c>
      <c r="CE68" s="8" t="str">
        <f t="shared" si="162"/>
        <v/>
      </c>
      <c r="CF68" s="8" t="str">
        <f t="shared" si="188"/>
        <v/>
      </c>
      <c r="CG68" s="8" t="str">
        <f t="shared" si="164"/>
        <v/>
      </c>
      <c r="CH68" s="8" t="str">
        <f t="shared" si="165"/>
        <v/>
      </c>
      <c r="CI68" s="8" t="str">
        <f t="shared" si="166"/>
        <v/>
      </c>
      <c r="CJ68" s="8" t="str">
        <f t="shared" si="189"/>
        <v/>
      </c>
      <c r="CK68" s="8" t="str">
        <f t="shared" si="168"/>
        <v/>
      </c>
      <c r="CL68" s="8" t="str">
        <f t="shared" si="169"/>
        <v/>
      </c>
    </row>
    <row r="69" spans="4:90" x14ac:dyDescent="0.2">
      <c r="D69" s="37"/>
      <c r="E69" s="8">
        <f t="shared" si="190"/>
        <v>9</v>
      </c>
      <c r="G69" s="8" t="str">
        <f t="shared" si="191"/>
        <v/>
      </c>
      <c r="H69" s="8" t="str">
        <f t="shared" si="89"/>
        <v/>
      </c>
      <c r="I69" s="8" t="str">
        <f t="shared" si="192"/>
        <v/>
      </c>
      <c r="J69" s="8" t="str">
        <f t="shared" si="193"/>
        <v/>
      </c>
      <c r="K69" s="8" t="str">
        <f t="shared" si="90"/>
        <v/>
      </c>
      <c r="L69" s="8" t="str">
        <f t="shared" si="91"/>
        <v/>
      </c>
      <c r="M69" s="8" t="str">
        <f t="shared" si="92"/>
        <v>Ben Colville (1)</v>
      </c>
      <c r="N69" s="8" t="str">
        <f t="shared" si="93"/>
        <v/>
      </c>
      <c r="O69" s="8" t="str">
        <f t="shared" si="94"/>
        <v/>
      </c>
      <c r="P69" s="8" t="str">
        <f t="shared" si="173"/>
        <v/>
      </c>
      <c r="Q69" s="8" t="str">
        <f t="shared" si="96"/>
        <v/>
      </c>
      <c r="R69" s="8" t="str">
        <f t="shared" si="97"/>
        <v/>
      </c>
      <c r="S69" s="8" t="str">
        <f t="shared" si="98"/>
        <v/>
      </c>
      <c r="T69" s="8" t="str">
        <f t="shared" si="174"/>
        <v/>
      </c>
      <c r="U69" s="8" t="str">
        <f t="shared" si="100"/>
        <v/>
      </c>
      <c r="V69" s="8" t="str">
        <f t="shared" si="101"/>
        <v/>
      </c>
      <c r="W69" s="8" t="str">
        <f t="shared" si="102"/>
        <v/>
      </c>
      <c r="X69" s="8" t="str">
        <f t="shared" si="175"/>
        <v/>
      </c>
      <c r="Y69" s="8" t="str">
        <f t="shared" si="104"/>
        <v/>
      </c>
      <c r="Z69" s="8" t="str">
        <f t="shared" si="105"/>
        <v/>
      </c>
      <c r="AA69" s="8" t="str">
        <f t="shared" si="106"/>
        <v/>
      </c>
      <c r="AB69" s="8" t="str">
        <f t="shared" si="176"/>
        <v/>
      </c>
      <c r="AC69" s="8" t="str">
        <f t="shared" si="108"/>
        <v/>
      </c>
      <c r="AD69" s="8" t="str">
        <f t="shared" si="109"/>
        <v/>
      </c>
      <c r="AE69" s="8" t="str">
        <f t="shared" si="110"/>
        <v/>
      </c>
      <c r="AF69" s="8" t="str">
        <f t="shared" si="177"/>
        <v/>
      </c>
      <c r="AG69" s="8" t="str">
        <f t="shared" si="112"/>
        <v/>
      </c>
      <c r="AH69" s="8" t="str">
        <f t="shared" si="113"/>
        <v/>
      </c>
      <c r="AI69" s="8" t="str">
        <f>IF(AI19="G", CONCATENATE($B18, IF(AJ18+AK18&gt;0,CONCATENATE(" (",AJ18,IF(AK18&gt;0,CONCATENATE(IF(AJ18&gt;0,",",""),AK18,"A"),""),")"),"")),"")</f>
        <v/>
      </c>
      <c r="AJ69" s="8" t="str">
        <f>IF(AI19="D", CONCATENATE($B18, IF(AJ18+AK18&gt;0,CONCATENATE(" (",AJ18,IF(AK18&gt;0,CONCATENATE(IF(AJ18&gt;0,",",""),AK18,"A"),""),")"),"")),"")</f>
        <v>Ben Colville</v>
      </c>
      <c r="AK69" s="8" t="str">
        <f>IF(AI19="M", CONCATENATE($B18, IF(AJ18+AK18&gt;0,CONCATENATE(" (",AJ18,IF(AK18&gt;0,CONCATENATE(IF(AJ18&gt;0,",",""),AK18,"A"),""),")"),"")),"")</f>
        <v/>
      </c>
      <c r="AL69" s="8" t="str">
        <f>IF(AI19="A", CONCATENATE($B18, IF(AJ18+AK18&gt;0,CONCATENATE(" (",AJ18,IF(AK18&gt;0,CONCATENATE(IF(AJ18&gt;0,",",""),AK18,"A"),""),")"),"")),"")</f>
        <v/>
      </c>
      <c r="AM69" s="8" t="str">
        <f t="shared" si="118"/>
        <v/>
      </c>
      <c r="AN69" s="8" t="str">
        <f t="shared" si="178"/>
        <v/>
      </c>
      <c r="AO69" s="8" t="str">
        <f t="shared" si="120"/>
        <v/>
      </c>
      <c r="AP69" s="8" t="str">
        <f t="shared" si="121"/>
        <v/>
      </c>
      <c r="AQ69" s="8" t="str">
        <f t="shared" si="122"/>
        <v/>
      </c>
      <c r="AR69" s="8" t="str">
        <f t="shared" si="179"/>
        <v/>
      </c>
      <c r="AS69" s="8" t="str">
        <f t="shared" si="124"/>
        <v/>
      </c>
      <c r="AT69" s="8" t="str">
        <f t="shared" si="125"/>
        <v/>
      </c>
      <c r="AU69" s="8" t="str">
        <f t="shared" si="126"/>
        <v/>
      </c>
      <c r="AV69" s="8" t="str">
        <f t="shared" si="180"/>
        <v/>
      </c>
      <c r="AW69" s="8" t="str">
        <f t="shared" si="128"/>
        <v/>
      </c>
      <c r="AX69" s="8" t="str">
        <f t="shared" si="129"/>
        <v/>
      </c>
      <c r="AY69" s="8" t="str">
        <f t="shared" si="130"/>
        <v/>
      </c>
      <c r="AZ69" s="8" t="str">
        <f t="shared" si="181"/>
        <v/>
      </c>
      <c r="BA69" s="8" t="str">
        <f t="shared" si="132"/>
        <v/>
      </c>
      <c r="BB69" s="8" t="str">
        <f t="shared" si="133"/>
        <v/>
      </c>
      <c r="BC69" s="8" t="str">
        <f t="shared" si="134"/>
        <v/>
      </c>
      <c r="BD69" s="8" t="str">
        <f t="shared" si="182"/>
        <v/>
      </c>
      <c r="BE69" s="8" t="str">
        <f t="shared" si="136"/>
        <v/>
      </c>
      <c r="BF69" s="8" t="str">
        <f t="shared" si="137"/>
        <v/>
      </c>
      <c r="BG69" s="8" t="str">
        <f t="shared" si="138"/>
        <v/>
      </c>
      <c r="BH69" s="8" t="str">
        <f t="shared" si="183"/>
        <v/>
      </c>
      <c r="BI69" s="8" t="str">
        <f t="shared" si="140"/>
        <v/>
      </c>
      <c r="BJ69" s="8" t="str">
        <f t="shared" si="141"/>
        <v/>
      </c>
      <c r="BK69" s="8" t="str">
        <f t="shared" si="142"/>
        <v/>
      </c>
      <c r="BL69" s="8" t="str">
        <f t="shared" si="184"/>
        <v/>
      </c>
      <c r="BM69" s="8" t="str">
        <f t="shared" si="144"/>
        <v/>
      </c>
      <c r="BN69" s="8" t="str">
        <f t="shared" si="145"/>
        <v/>
      </c>
      <c r="BO69" s="8" t="str">
        <f t="shared" si="146"/>
        <v/>
      </c>
      <c r="BP69" s="8" t="str">
        <f t="shared" si="147"/>
        <v/>
      </c>
      <c r="BQ69" s="8" t="str">
        <f t="shared" si="148"/>
        <v/>
      </c>
      <c r="BR69" s="8" t="str">
        <f t="shared" si="149"/>
        <v/>
      </c>
      <c r="BS69" s="8" t="str">
        <f t="shared" si="150"/>
        <v/>
      </c>
      <c r="BT69" s="8" t="str">
        <f t="shared" si="185"/>
        <v/>
      </c>
      <c r="BU69" s="8" t="str">
        <f t="shared" si="152"/>
        <v/>
      </c>
      <c r="BV69" s="8" t="str">
        <f t="shared" si="153"/>
        <v/>
      </c>
      <c r="BW69" s="8" t="str">
        <f t="shared" si="154"/>
        <v/>
      </c>
      <c r="BX69" s="8" t="str">
        <f t="shared" si="186"/>
        <v/>
      </c>
      <c r="BY69" s="8" t="str">
        <f t="shared" si="156"/>
        <v/>
      </c>
      <c r="BZ69" s="8" t="str">
        <f t="shared" si="157"/>
        <v/>
      </c>
      <c r="CA69" s="8" t="str">
        <f t="shared" si="158"/>
        <v/>
      </c>
      <c r="CB69" s="8" t="str">
        <f t="shared" si="187"/>
        <v/>
      </c>
      <c r="CC69" s="8" t="str">
        <f t="shared" si="160"/>
        <v/>
      </c>
      <c r="CD69" s="8" t="str">
        <f t="shared" si="161"/>
        <v/>
      </c>
      <c r="CE69" s="8" t="str">
        <f t="shared" si="162"/>
        <v/>
      </c>
      <c r="CF69" s="8" t="str">
        <f t="shared" si="188"/>
        <v/>
      </c>
      <c r="CG69" s="8" t="str">
        <f t="shared" si="164"/>
        <v/>
      </c>
      <c r="CH69" s="8" t="str">
        <f t="shared" si="165"/>
        <v/>
      </c>
      <c r="CI69" s="8" t="str">
        <f t="shared" si="166"/>
        <v/>
      </c>
      <c r="CJ69" s="8" t="str">
        <f t="shared" si="189"/>
        <v/>
      </c>
      <c r="CK69" s="8" t="str">
        <f t="shared" si="168"/>
        <v/>
      </c>
      <c r="CL69" s="8" t="str">
        <f t="shared" si="169"/>
        <v/>
      </c>
    </row>
    <row r="70" spans="4:90" x14ac:dyDescent="0.2">
      <c r="D70" s="37"/>
      <c r="E70" s="8">
        <f t="shared" si="190"/>
        <v>10</v>
      </c>
      <c r="G70" s="8" t="str">
        <f t="shared" si="191"/>
        <v/>
      </c>
      <c r="H70" s="8" t="str">
        <f t="shared" si="89"/>
        <v/>
      </c>
      <c r="I70" s="8" t="str">
        <f t="shared" si="192"/>
        <v/>
      </c>
      <c r="J70" s="8" t="str">
        <f t="shared" si="193"/>
        <v/>
      </c>
      <c r="K70" s="8" t="str">
        <f t="shared" si="90"/>
        <v/>
      </c>
      <c r="L70" s="8" t="str">
        <f t="shared" si="91"/>
        <v/>
      </c>
      <c r="M70" s="8" t="str">
        <f t="shared" si="92"/>
        <v/>
      </c>
      <c r="N70" s="8" t="str">
        <f t="shared" si="93"/>
        <v/>
      </c>
      <c r="O70" s="8" t="str">
        <f t="shared" si="94"/>
        <v/>
      </c>
      <c r="P70" s="8" t="str">
        <f t="shared" si="173"/>
        <v/>
      </c>
      <c r="Q70" s="8" t="str">
        <f t="shared" si="96"/>
        <v/>
      </c>
      <c r="R70" s="8" t="str">
        <f t="shared" si="97"/>
        <v/>
      </c>
      <c r="S70" s="8" t="str">
        <f t="shared" si="98"/>
        <v/>
      </c>
      <c r="T70" s="8" t="str">
        <f t="shared" si="174"/>
        <v/>
      </c>
      <c r="U70" s="8" t="str">
        <f t="shared" si="100"/>
        <v/>
      </c>
      <c r="V70" s="8" t="str">
        <f t="shared" si="101"/>
        <v/>
      </c>
      <c r="W70" s="8" t="str">
        <f t="shared" si="102"/>
        <v/>
      </c>
      <c r="X70" s="8" t="str">
        <f t="shared" si="175"/>
        <v/>
      </c>
      <c r="Y70" s="8" t="str">
        <f t="shared" si="104"/>
        <v/>
      </c>
      <c r="Z70" s="8" t="str">
        <f t="shared" si="105"/>
        <v/>
      </c>
      <c r="AA70" s="8" t="str">
        <f t="shared" si="106"/>
        <v/>
      </c>
      <c r="AB70" s="8" t="str">
        <f t="shared" si="176"/>
        <v/>
      </c>
      <c r="AC70" s="8" t="str">
        <f t="shared" si="108"/>
        <v/>
      </c>
      <c r="AD70" s="8" t="str">
        <f t="shared" si="109"/>
        <v/>
      </c>
      <c r="AE70" s="8" t="str">
        <f t="shared" si="110"/>
        <v/>
      </c>
      <c r="AF70" s="8" t="str">
        <f t="shared" si="177"/>
        <v/>
      </c>
      <c r="AG70" s="8" t="str">
        <f t="shared" si="112"/>
        <v/>
      </c>
      <c r="AH70" s="8" t="str">
        <f t="shared" si="113"/>
        <v/>
      </c>
      <c r="AI70" s="8" t="e">
        <f>IF(#REF!="G", CONCATENATE($B19, IF(AJ19+AK19&gt;0,CONCATENATE(" (",AJ19,IF(AK19&gt;0,CONCATENATE(IF(AJ19&gt;0,",",""),AK19,"A"),""),")"),"")),"")</f>
        <v>#REF!</v>
      </c>
      <c r="AJ70" s="8" t="e">
        <f>IF(#REF!="D", CONCATENATE($B19, IF(AJ19+AK19&gt;0,CONCATENATE(" (",AJ19,IF(AK19&gt;0,CONCATENATE(IF(AJ19&gt;0,",",""),AK19,"A"),""),")"),"")),"")</f>
        <v>#REF!</v>
      </c>
      <c r="AK70" s="8" t="e">
        <f>IF(#REF!="M", CONCATENATE($B19, IF(AJ19+AK19&gt;0,CONCATENATE(" (",AJ19,IF(AK19&gt;0,CONCATENATE(IF(AJ19&gt;0,",",""),AK19,"A"),""),")"),"")),"")</f>
        <v>#REF!</v>
      </c>
      <c r="AL70" s="8" t="e">
        <f>IF(#REF!="A", CONCATENATE($B19, IF(AJ19+AK19&gt;0,CONCATENATE(" (",AJ19,IF(AK19&gt;0,CONCATENATE(IF(AJ19&gt;0,",",""),AK19,"A"),""),")"),"")),"")</f>
        <v>#REF!</v>
      </c>
      <c r="AM70" s="8" t="str">
        <f t="shared" si="118"/>
        <v/>
      </c>
      <c r="AN70" s="8" t="str">
        <f t="shared" si="178"/>
        <v/>
      </c>
      <c r="AO70" s="8" t="str">
        <f t="shared" si="120"/>
        <v/>
      </c>
      <c r="AP70" s="8" t="str">
        <f t="shared" si="121"/>
        <v/>
      </c>
      <c r="AQ70" s="8" t="str">
        <f t="shared" si="122"/>
        <v/>
      </c>
      <c r="AR70" s="8" t="str">
        <f t="shared" si="179"/>
        <v/>
      </c>
      <c r="AS70" s="8" t="str">
        <f t="shared" si="124"/>
        <v/>
      </c>
      <c r="AT70" s="8" t="str">
        <f t="shared" si="125"/>
        <v/>
      </c>
      <c r="AU70" s="8" t="str">
        <f t="shared" si="126"/>
        <v/>
      </c>
      <c r="AV70" s="8" t="str">
        <f t="shared" si="180"/>
        <v>Dave Copple</v>
      </c>
      <c r="AW70" s="8" t="str">
        <f t="shared" si="128"/>
        <v/>
      </c>
      <c r="AX70" s="8" t="str">
        <f t="shared" si="129"/>
        <v/>
      </c>
      <c r="AY70" s="8" t="str">
        <f t="shared" si="130"/>
        <v/>
      </c>
      <c r="AZ70" s="8" t="str">
        <f t="shared" si="181"/>
        <v>Dave Copple</v>
      </c>
      <c r="BA70" s="8" t="str">
        <f t="shared" si="132"/>
        <v/>
      </c>
      <c r="BB70" s="8" t="str">
        <f t="shared" si="133"/>
        <v/>
      </c>
      <c r="BC70" s="8" t="str">
        <f t="shared" si="134"/>
        <v/>
      </c>
      <c r="BD70" s="8" t="str">
        <f t="shared" si="182"/>
        <v/>
      </c>
      <c r="BE70" s="8" t="str">
        <f t="shared" si="136"/>
        <v/>
      </c>
      <c r="BF70" s="8" t="str">
        <f t="shared" si="137"/>
        <v/>
      </c>
      <c r="BG70" s="8" t="str">
        <f t="shared" si="138"/>
        <v/>
      </c>
      <c r="BH70" s="8" t="str">
        <f t="shared" si="183"/>
        <v/>
      </c>
      <c r="BI70" s="8" t="str">
        <f t="shared" si="140"/>
        <v/>
      </c>
      <c r="BJ70" s="8" t="str">
        <f t="shared" si="141"/>
        <v/>
      </c>
      <c r="BK70" s="8" t="str">
        <f t="shared" si="142"/>
        <v/>
      </c>
      <c r="BL70" s="8" t="str">
        <f t="shared" si="184"/>
        <v/>
      </c>
      <c r="BM70" s="8" t="str">
        <f t="shared" si="144"/>
        <v/>
      </c>
      <c r="BN70" s="8" t="str">
        <f t="shared" si="145"/>
        <v/>
      </c>
      <c r="BO70" s="8" t="str">
        <f t="shared" si="146"/>
        <v/>
      </c>
      <c r="BP70" s="8" t="str">
        <f t="shared" si="147"/>
        <v>Dave Copple</v>
      </c>
      <c r="BQ70" s="8" t="str">
        <f t="shared" si="148"/>
        <v/>
      </c>
      <c r="BR70" s="8" t="str">
        <f t="shared" si="149"/>
        <v/>
      </c>
      <c r="BS70" s="8" t="str">
        <f t="shared" si="150"/>
        <v/>
      </c>
      <c r="BT70" s="8" t="str">
        <f t="shared" si="185"/>
        <v>Dave Copple</v>
      </c>
      <c r="BU70" s="8" t="str">
        <f t="shared" si="152"/>
        <v/>
      </c>
      <c r="BV70" s="8" t="str">
        <f t="shared" si="153"/>
        <v/>
      </c>
      <c r="BW70" s="8" t="str">
        <f t="shared" si="154"/>
        <v/>
      </c>
      <c r="BX70" s="8" t="str">
        <f t="shared" si="186"/>
        <v/>
      </c>
      <c r="BY70" s="8" t="str">
        <f t="shared" si="156"/>
        <v/>
      </c>
      <c r="BZ70" s="8" t="str">
        <f t="shared" si="157"/>
        <v/>
      </c>
      <c r="CA70" s="8" t="str">
        <f t="shared" si="158"/>
        <v/>
      </c>
      <c r="CB70" s="8" t="str">
        <f t="shared" si="187"/>
        <v/>
      </c>
      <c r="CC70" s="8" t="str">
        <f t="shared" si="160"/>
        <v/>
      </c>
      <c r="CD70" s="8" t="str">
        <f t="shared" si="161"/>
        <v/>
      </c>
      <c r="CE70" s="8" t="str">
        <f t="shared" si="162"/>
        <v/>
      </c>
      <c r="CF70" s="8" t="str">
        <f t="shared" si="188"/>
        <v/>
      </c>
      <c r="CG70" s="8" t="str">
        <f t="shared" si="164"/>
        <v/>
      </c>
      <c r="CH70" s="8" t="str">
        <f t="shared" si="165"/>
        <v/>
      </c>
      <c r="CI70" s="8" t="str">
        <f t="shared" si="166"/>
        <v/>
      </c>
      <c r="CJ70" s="8" t="str">
        <f t="shared" si="189"/>
        <v>Dave Copple</v>
      </c>
      <c r="CK70" s="8" t="str">
        <f t="shared" si="168"/>
        <v/>
      </c>
      <c r="CL70" s="8" t="str">
        <f t="shared" si="169"/>
        <v/>
      </c>
    </row>
    <row r="71" spans="4:90" x14ac:dyDescent="0.2">
      <c r="D71" s="37"/>
      <c r="E71" s="8">
        <f t="shared" si="190"/>
        <v>11</v>
      </c>
      <c r="G71" s="8" t="str">
        <f t="shared" si="191"/>
        <v/>
      </c>
      <c r="H71" s="8" t="str">
        <f t="shared" si="89"/>
        <v/>
      </c>
      <c r="I71" s="8" t="str">
        <f t="shared" si="192"/>
        <v>Andy Fernando</v>
      </c>
      <c r="J71" s="8" t="str">
        <f t="shared" si="193"/>
        <v/>
      </c>
      <c r="K71" s="8" t="str">
        <f t="shared" si="90"/>
        <v/>
      </c>
      <c r="L71" s="8" t="str">
        <f t="shared" si="91"/>
        <v/>
      </c>
      <c r="M71" s="8" t="str">
        <f t="shared" si="92"/>
        <v>Andy Fernando</v>
      </c>
      <c r="N71" s="8" t="str">
        <f t="shared" si="93"/>
        <v/>
      </c>
      <c r="O71" s="8" t="str">
        <f t="shared" si="94"/>
        <v/>
      </c>
      <c r="P71" s="8" t="str">
        <f t="shared" si="173"/>
        <v/>
      </c>
      <c r="Q71" s="8" t="str">
        <f t="shared" si="96"/>
        <v>Andy Fernando</v>
      </c>
      <c r="R71" s="8" t="str">
        <f t="shared" si="97"/>
        <v/>
      </c>
      <c r="S71" s="8" t="str">
        <f t="shared" si="98"/>
        <v/>
      </c>
      <c r="T71" s="8" t="str">
        <f t="shared" si="174"/>
        <v/>
      </c>
      <c r="U71" s="8" t="str">
        <f t="shared" si="100"/>
        <v>Andy Fernando</v>
      </c>
      <c r="V71" s="8" t="str">
        <f t="shared" si="101"/>
        <v/>
      </c>
      <c r="W71" s="8" t="str">
        <f t="shared" si="102"/>
        <v/>
      </c>
      <c r="X71" s="8" t="str">
        <f t="shared" si="175"/>
        <v/>
      </c>
      <c r="Y71" s="8" t="str">
        <f t="shared" si="104"/>
        <v/>
      </c>
      <c r="Z71" s="8" t="str">
        <f t="shared" si="105"/>
        <v/>
      </c>
      <c r="AA71" s="8" t="str">
        <f t="shared" si="106"/>
        <v/>
      </c>
      <c r="AB71" s="8" t="str">
        <f t="shared" si="176"/>
        <v/>
      </c>
      <c r="AC71" s="8" t="str">
        <f t="shared" si="108"/>
        <v>Andy Fernando</v>
      </c>
      <c r="AD71" s="8" t="str">
        <f t="shared" si="109"/>
        <v/>
      </c>
      <c r="AE71" s="8" t="str">
        <f t="shared" si="110"/>
        <v/>
      </c>
      <c r="AF71" s="8" t="str">
        <f t="shared" si="177"/>
        <v/>
      </c>
      <c r="AG71" s="8" t="str">
        <f t="shared" si="112"/>
        <v/>
      </c>
      <c r="AH71" s="8" t="str">
        <f t="shared" si="113"/>
        <v/>
      </c>
      <c r="AI71" s="8" t="str">
        <f t="shared" si="114"/>
        <v/>
      </c>
      <c r="AJ71" s="8" t="str">
        <f t="shared" si="115"/>
        <v/>
      </c>
      <c r="AK71" s="8" t="str">
        <f t="shared" si="116"/>
        <v>Andy Fernando</v>
      </c>
      <c r="AL71" s="8" t="str">
        <f t="shared" si="117"/>
        <v/>
      </c>
      <c r="AM71" s="8" t="str">
        <f t="shared" si="118"/>
        <v/>
      </c>
      <c r="AN71" s="8" t="str">
        <f t="shared" si="178"/>
        <v/>
      </c>
      <c r="AO71" s="8" t="str">
        <f t="shared" si="120"/>
        <v/>
      </c>
      <c r="AP71" s="8" t="str">
        <f t="shared" si="121"/>
        <v/>
      </c>
      <c r="AQ71" s="8" t="str">
        <f t="shared" si="122"/>
        <v/>
      </c>
      <c r="AR71" s="8" t="str">
        <f t="shared" si="179"/>
        <v/>
      </c>
      <c r="AS71" s="8" t="str">
        <f t="shared" si="124"/>
        <v/>
      </c>
      <c r="AT71" s="8" t="str">
        <f t="shared" si="125"/>
        <v/>
      </c>
      <c r="AU71" s="8" t="str">
        <f t="shared" si="126"/>
        <v/>
      </c>
      <c r="AV71" s="8" t="str">
        <f t="shared" si="180"/>
        <v/>
      </c>
      <c r="AW71" s="8" t="str">
        <f t="shared" si="128"/>
        <v>Andy Fernando</v>
      </c>
      <c r="AX71" s="8" t="str">
        <f t="shared" si="129"/>
        <v/>
      </c>
      <c r="AY71" s="8" t="str">
        <f t="shared" si="130"/>
        <v/>
      </c>
      <c r="AZ71" s="8" t="str">
        <f t="shared" si="181"/>
        <v/>
      </c>
      <c r="BA71" s="8" t="str">
        <f t="shared" si="132"/>
        <v>Andy Fernando</v>
      </c>
      <c r="BB71" s="8" t="str">
        <f t="shared" si="133"/>
        <v/>
      </c>
      <c r="BC71" s="8" t="str">
        <f t="shared" si="134"/>
        <v/>
      </c>
      <c r="BD71" s="8" t="str">
        <f t="shared" si="182"/>
        <v/>
      </c>
      <c r="BE71" s="8" t="str">
        <f t="shared" si="136"/>
        <v/>
      </c>
      <c r="BF71" s="8" t="str">
        <f t="shared" si="137"/>
        <v/>
      </c>
      <c r="BG71" s="8" t="str">
        <f t="shared" si="138"/>
        <v/>
      </c>
      <c r="BH71" s="8" t="str">
        <f t="shared" si="183"/>
        <v/>
      </c>
      <c r="BI71" s="8" t="str">
        <f t="shared" si="140"/>
        <v/>
      </c>
      <c r="BJ71" s="8" t="str">
        <f t="shared" si="141"/>
        <v/>
      </c>
      <c r="BK71" s="8" t="str">
        <f t="shared" si="142"/>
        <v/>
      </c>
      <c r="BL71" s="8" t="str">
        <f t="shared" si="184"/>
        <v/>
      </c>
      <c r="BM71" s="8" t="str">
        <f t="shared" si="144"/>
        <v/>
      </c>
      <c r="BN71" s="8" t="str">
        <f t="shared" si="145"/>
        <v/>
      </c>
      <c r="BO71" s="8" t="str">
        <f t="shared" si="146"/>
        <v/>
      </c>
      <c r="BP71" s="8" t="str">
        <f t="shared" si="147"/>
        <v/>
      </c>
      <c r="BQ71" s="8" t="str">
        <f t="shared" si="148"/>
        <v>Andy Fernando</v>
      </c>
      <c r="BR71" s="8" t="str">
        <f t="shared" si="149"/>
        <v/>
      </c>
      <c r="BS71" s="8" t="str">
        <f t="shared" si="150"/>
        <v/>
      </c>
      <c r="BT71" s="8" t="str">
        <f t="shared" si="185"/>
        <v/>
      </c>
      <c r="BU71" s="8" t="str">
        <f t="shared" si="152"/>
        <v/>
      </c>
      <c r="BV71" s="8" t="str">
        <f t="shared" si="153"/>
        <v/>
      </c>
      <c r="BW71" s="8" t="str">
        <f t="shared" si="154"/>
        <v/>
      </c>
      <c r="BX71" s="8" t="str">
        <f t="shared" si="186"/>
        <v/>
      </c>
      <c r="BY71" s="8" t="str">
        <f t="shared" si="156"/>
        <v/>
      </c>
      <c r="BZ71" s="8" t="str">
        <f t="shared" si="157"/>
        <v/>
      </c>
      <c r="CA71" s="8" t="str">
        <f t="shared" si="158"/>
        <v/>
      </c>
      <c r="CB71" s="8" t="str">
        <f t="shared" si="187"/>
        <v/>
      </c>
      <c r="CC71" s="8" t="str">
        <f t="shared" si="160"/>
        <v>Andy Fernando</v>
      </c>
      <c r="CD71" s="8" t="str">
        <f t="shared" si="161"/>
        <v/>
      </c>
      <c r="CE71" s="8" t="str">
        <f t="shared" si="162"/>
        <v/>
      </c>
      <c r="CF71" s="8" t="str">
        <f t="shared" si="188"/>
        <v/>
      </c>
      <c r="CG71" s="8" t="str">
        <f t="shared" si="164"/>
        <v>Andy Fernando</v>
      </c>
      <c r="CH71" s="8" t="str">
        <f t="shared" si="165"/>
        <v/>
      </c>
      <c r="CI71" s="8" t="str">
        <f t="shared" si="166"/>
        <v/>
      </c>
      <c r="CJ71" s="8" t="str">
        <f t="shared" si="189"/>
        <v/>
      </c>
      <c r="CK71" s="8" t="str">
        <f t="shared" si="168"/>
        <v>Andy Fernando</v>
      </c>
      <c r="CL71" s="8" t="str">
        <f t="shared" si="169"/>
        <v/>
      </c>
    </row>
    <row r="72" spans="4:90" x14ac:dyDescent="0.2">
      <c r="D72" s="37"/>
      <c r="E72" s="8">
        <f t="shared" si="190"/>
        <v>12</v>
      </c>
      <c r="G72" s="8" t="str">
        <f t="shared" si="191"/>
        <v/>
      </c>
      <c r="H72" s="8" t="str">
        <f t="shared" si="89"/>
        <v/>
      </c>
      <c r="I72" s="8" t="str">
        <f t="shared" si="192"/>
        <v/>
      </c>
      <c r="J72" s="8" t="str">
        <f t="shared" si="193"/>
        <v/>
      </c>
      <c r="K72" s="8" t="str">
        <f t="shared" si="90"/>
        <v/>
      </c>
      <c r="L72" s="8" t="str">
        <f t="shared" si="91"/>
        <v/>
      </c>
      <c r="M72" s="8" t="str">
        <f t="shared" si="92"/>
        <v/>
      </c>
      <c r="N72" s="8" t="str">
        <f t="shared" si="93"/>
        <v/>
      </c>
      <c r="O72" s="8" t="str">
        <f t="shared" si="94"/>
        <v/>
      </c>
      <c r="P72" s="8" t="str">
        <f t="shared" si="173"/>
        <v>Elliot Fry</v>
      </c>
      <c r="Q72" s="8" t="str">
        <f t="shared" si="96"/>
        <v/>
      </c>
      <c r="R72" s="8" t="str">
        <f t="shared" si="97"/>
        <v/>
      </c>
      <c r="S72" s="8" t="str">
        <f t="shared" si="98"/>
        <v/>
      </c>
      <c r="T72" s="8" t="str">
        <f t="shared" si="174"/>
        <v>Elliot Fry</v>
      </c>
      <c r="U72" s="8" t="str">
        <f t="shared" si="100"/>
        <v/>
      </c>
      <c r="V72" s="8" t="str">
        <f t="shared" si="101"/>
        <v/>
      </c>
      <c r="W72" s="8" t="str">
        <f t="shared" si="102"/>
        <v/>
      </c>
      <c r="X72" s="8" t="str">
        <f t="shared" si="175"/>
        <v/>
      </c>
      <c r="Y72" s="8" t="str">
        <f t="shared" si="104"/>
        <v/>
      </c>
      <c r="Z72" s="8" t="str">
        <f t="shared" si="105"/>
        <v/>
      </c>
      <c r="AA72" s="8" t="str">
        <f t="shared" si="106"/>
        <v/>
      </c>
      <c r="AB72" s="8" t="str">
        <f t="shared" si="176"/>
        <v>Elliot Fry</v>
      </c>
      <c r="AC72" s="8" t="str">
        <f t="shared" si="108"/>
        <v/>
      </c>
      <c r="AD72" s="8" t="str">
        <f t="shared" si="109"/>
        <v/>
      </c>
      <c r="AE72" s="8" t="str">
        <f t="shared" si="110"/>
        <v/>
      </c>
      <c r="AF72" s="8" t="str">
        <f t="shared" si="177"/>
        <v>Elliot Fry</v>
      </c>
      <c r="AG72" s="8" t="str">
        <f t="shared" si="112"/>
        <v/>
      </c>
      <c r="AH72" s="8" t="str">
        <f t="shared" si="113"/>
        <v/>
      </c>
      <c r="AI72" s="8" t="str">
        <f t="shared" si="114"/>
        <v/>
      </c>
      <c r="AJ72" s="8" t="str">
        <f t="shared" si="115"/>
        <v/>
      </c>
      <c r="AK72" s="8" t="str">
        <f t="shared" si="116"/>
        <v/>
      </c>
      <c r="AL72" s="8" t="str">
        <f t="shared" si="117"/>
        <v/>
      </c>
      <c r="AM72" s="8" t="str">
        <f t="shared" si="118"/>
        <v/>
      </c>
      <c r="AN72" s="8" t="str">
        <f t="shared" si="178"/>
        <v/>
      </c>
      <c r="AO72" s="8" t="str">
        <f t="shared" si="120"/>
        <v/>
      </c>
      <c r="AP72" s="8" t="str">
        <f t="shared" si="121"/>
        <v/>
      </c>
      <c r="AQ72" s="8" t="str">
        <f t="shared" si="122"/>
        <v/>
      </c>
      <c r="AR72" s="8" t="str">
        <f t="shared" si="179"/>
        <v>Elliot Fry</v>
      </c>
      <c r="AS72" s="8" t="str">
        <f t="shared" si="124"/>
        <v/>
      </c>
      <c r="AT72" s="8" t="str">
        <f t="shared" si="125"/>
        <v/>
      </c>
      <c r="AU72" s="8" t="str">
        <f t="shared" si="126"/>
        <v/>
      </c>
      <c r="AV72" s="8" t="str">
        <f t="shared" si="180"/>
        <v>Elliot Fry</v>
      </c>
      <c r="AW72" s="8" t="str">
        <f t="shared" si="128"/>
        <v/>
      </c>
      <c r="AX72" s="8" t="str">
        <f t="shared" si="129"/>
        <v/>
      </c>
      <c r="AY72" s="8" t="str">
        <f t="shared" si="130"/>
        <v/>
      </c>
      <c r="AZ72" s="8" t="str">
        <f t="shared" si="181"/>
        <v>Elliot Fry</v>
      </c>
      <c r="BA72" s="8" t="str">
        <f t="shared" si="132"/>
        <v/>
      </c>
      <c r="BB72" s="8" t="str">
        <f t="shared" si="133"/>
        <v/>
      </c>
      <c r="BC72" s="8" t="str">
        <f t="shared" si="134"/>
        <v/>
      </c>
      <c r="BD72" s="8" t="str">
        <f t="shared" si="182"/>
        <v/>
      </c>
      <c r="BE72" s="8" t="str">
        <f t="shared" si="136"/>
        <v/>
      </c>
      <c r="BF72" s="8" t="str">
        <f t="shared" si="137"/>
        <v/>
      </c>
      <c r="BG72" s="8" t="str">
        <f t="shared" si="138"/>
        <v/>
      </c>
      <c r="BH72" s="8" t="str">
        <f t="shared" si="183"/>
        <v/>
      </c>
      <c r="BI72" s="8" t="str">
        <f t="shared" si="140"/>
        <v/>
      </c>
      <c r="BJ72" s="8" t="str">
        <f t="shared" si="141"/>
        <v/>
      </c>
      <c r="BK72" s="8" t="str">
        <f t="shared" si="142"/>
        <v/>
      </c>
      <c r="BL72" s="8" t="str">
        <f t="shared" si="184"/>
        <v/>
      </c>
      <c r="BM72" s="8" t="str">
        <f t="shared" si="144"/>
        <v/>
      </c>
      <c r="BN72" s="8" t="str">
        <f t="shared" si="145"/>
        <v/>
      </c>
      <c r="BO72" s="8" t="str">
        <f t="shared" si="146"/>
        <v/>
      </c>
      <c r="BP72" s="8" t="str">
        <f t="shared" si="147"/>
        <v>Elliot Fry</v>
      </c>
      <c r="BQ72" s="8" t="str">
        <f t="shared" si="148"/>
        <v/>
      </c>
      <c r="BR72" s="8" t="str">
        <f t="shared" si="149"/>
        <v/>
      </c>
      <c r="BS72" s="8" t="str">
        <f t="shared" si="150"/>
        <v/>
      </c>
      <c r="BT72" s="8" t="str">
        <f t="shared" si="185"/>
        <v>Elliot Fry</v>
      </c>
      <c r="BU72" s="8" t="str">
        <f t="shared" si="152"/>
        <v/>
      </c>
      <c r="BV72" s="8" t="str">
        <f t="shared" si="153"/>
        <v/>
      </c>
      <c r="BW72" s="8" t="str">
        <f t="shared" si="154"/>
        <v/>
      </c>
      <c r="BX72" s="8" t="str">
        <f t="shared" si="186"/>
        <v>Elliot Fry</v>
      </c>
      <c r="BY72" s="8" t="str">
        <f t="shared" si="156"/>
        <v/>
      </c>
      <c r="BZ72" s="8" t="str">
        <f t="shared" si="157"/>
        <v/>
      </c>
      <c r="CA72" s="8" t="str">
        <f t="shared" si="158"/>
        <v/>
      </c>
      <c r="CB72" s="8" t="str">
        <f t="shared" si="187"/>
        <v/>
      </c>
      <c r="CC72" s="8" t="str">
        <f t="shared" si="160"/>
        <v/>
      </c>
      <c r="CD72" s="8" t="str">
        <f t="shared" si="161"/>
        <v/>
      </c>
      <c r="CE72" s="8" t="str">
        <f t="shared" si="162"/>
        <v/>
      </c>
      <c r="CF72" s="8" t="str">
        <f t="shared" si="188"/>
        <v/>
      </c>
      <c r="CG72" s="8" t="str">
        <f t="shared" si="164"/>
        <v/>
      </c>
      <c r="CH72" s="8" t="str">
        <f t="shared" si="165"/>
        <v/>
      </c>
      <c r="CI72" s="8" t="str">
        <f t="shared" si="166"/>
        <v/>
      </c>
      <c r="CJ72" s="8" t="str">
        <f t="shared" si="189"/>
        <v>Elliot Fry</v>
      </c>
      <c r="CK72" s="8" t="str">
        <f t="shared" si="168"/>
        <v/>
      </c>
      <c r="CL72" s="8" t="str">
        <f t="shared" si="169"/>
        <v/>
      </c>
    </row>
    <row r="73" spans="4:90" x14ac:dyDescent="0.2">
      <c r="D73" s="37"/>
      <c r="E73" s="8">
        <f t="shared" si="190"/>
        <v>13</v>
      </c>
      <c r="G73" s="8" t="str">
        <f t="shared" si="191"/>
        <v/>
      </c>
      <c r="H73" s="8" t="str">
        <f t="shared" si="89"/>
        <v/>
      </c>
      <c r="I73" s="8" t="str">
        <f t="shared" si="192"/>
        <v>Alex Griffiths</v>
      </c>
      <c r="J73" s="8" t="str">
        <f t="shared" si="193"/>
        <v/>
      </c>
      <c r="K73" s="8" t="str">
        <f t="shared" si="90"/>
        <v/>
      </c>
      <c r="L73" s="8" t="str">
        <f t="shared" si="91"/>
        <v/>
      </c>
      <c r="M73" s="8" t="str">
        <f t="shared" si="92"/>
        <v/>
      </c>
      <c r="N73" s="8" t="str">
        <f t="shared" si="93"/>
        <v/>
      </c>
      <c r="O73" s="8" t="str">
        <f t="shared" si="94"/>
        <v/>
      </c>
      <c r="P73" s="8" t="str">
        <f t="shared" si="173"/>
        <v/>
      </c>
      <c r="Q73" s="8" t="str">
        <f t="shared" si="96"/>
        <v>Alex Griffiths</v>
      </c>
      <c r="R73" s="8" t="str">
        <f t="shared" si="97"/>
        <v/>
      </c>
      <c r="S73" s="8" t="str">
        <f t="shared" si="98"/>
        <v/>
      </c>
      <c r="T73" s="8" t="str">
        <f t="shared" si="174"/>
        <v/>
      </c>
      <c r="U73" s="8" t="str">
        <f t="shared" si="100"/>
        <v>Alex Griffiths</v>
      </c>
      <c r="V73" s="8" t="str">
        <f t="shared" si="101"/>
        <v/>
      </c>
      <c r="W73" s="8" t="str">
        <f t="shared" si="102"/>
        <v/>
      </c>
      <c r="X73" s="8" t="str">
        <f t="shared" si="175"/>
        <v/>
      </c>
      <c r="Y73" s="8" t="str">
        <f t="shared" si="104"/>
        <v/>
      </c>
      <c r="Z73" s="8" t="str">
        <f t="shared" si="105"/>
        <v/>
      </c>
      <c r="AA73" s="8" t="str">
        <f t="shared" si="106"/>
        <v/>
      </c>
      <c r="AB73" s="8" t="str">
        <f t="shared" si="176"/>
        <v/>
      </c>
      <c r="AC73" s="8" t="str">
        <f t="shared" si="108"/>
        <v>Alex Griffiths</v>
      </c>
      <c r="AD73" s="8" t="str">
        <f t="shared" si="109"/>
        <v/>
      </c>
      <c r="AE73" s="8" t="str">
        <f t="shared" si="110"/>
        <v/>
      </c>
      <c r="AF73" s="8" t="str">
        <f t="shared" si="177"/>
        <v/>
      </c>
      <c r="AG73" s="8" t="str">
        <f t="shared" si="112"/>
        <v>Alex Griffiths</v>
      </c>
      <c r="AH73" s="8" t="str">
        <f t="shared" si="113"/>
        <v/>
      </c>
      <c r="AI73" s="8" t="str">
        <f t="shared" si="114"/>
        <v/>
      </c>
      <c r="AJ73" s="8" t="str">
        <f t="shared" si="115"/>
        <v/>
      </c>
      <c r="AK73" s="8" t="str">
        <f t="shared" si="116"/>
        <v>Alex Griffiths</v>
      </c>
      <c r="AL73" s="8" t="str">
        <f t="shared" si="117"/>
        <v/>
      </c>
      <c r="AM73" s="8" t="str">
        <f t="shared" si="118"/>
        <v/>
      </c>
      <c r="AN73" s="8" t="str">
        <f t="shared" si="178"/>
        <v/>
      </c>
      <c r="AO73" s="8" t="str">
        <f t="shared" si="120"/>
        <v/>
      </c>
      <c r="AP73" s="8" t="str">
        <f t="shared" si="121"/>
        <v/>
      </c>
      <c r="AQ73" s="8" t="str">
        <f t="shared" si="122"/>
        <v/>
      </c>
      <c r="AR73" s="8" t="str">
        <f t="shared" si="179"/>
        <v/>
      </c>
      <c r="AS73" s="8" t="str">
        <f t="shared" si="124"/>
        <v>Alex Griffiths (1)</v>
      </c>
      <c r="AT73" s="8" t="str">
        <f t="shared" si="125"/>
        <v/>
      </c>
      <c r="AU73" s="8" t="str">
        <f t="shared" si="126"/>
        <v/>
      </c>
      <c r="AV73" s="8" t="str">
        <f t="shared" si="180"/>
        <v/>
      </c>
      <c r="AW73" s="8" t="str">
        <f t="shared" si="128"/>
        <v>Alex Griffiths</v>
      </c>
      <c r="AX73" s="8" t="str">
        <f t="shared" si="129"/>
        <v/>
      </c>
      <c r="AY73" s="8" t="str">
        <f t="shared" si="130"/>
        <v/>
      </c>
      <c r="AZ73" s="8" t="str">
        <f t="shared" si="181"/>
        <v/>
      </c>
      <c r="BA73" s="8" t="str">
        <f t="shared" si="132"/>
        <v/>
      </c>
      <c r="BB73" s="8" t="str">
        <f t="shared" si="133"/>
        <v>Alex Griffiths</v>
      </c>
      <c r="BC73" s="8" t="str">
        <f t="shared" si="134"/>
        <v/>
      </c>
      <c r="BD73" s="8" t="str">
        <f t="shared" si="182"/>
        <v/>
      </c>
      <c r="BE73" s="8" t="str">
        <f t="shared" si="136"/>
        <v/>
      </c>
      <c r="BF73" s="8" t="str">
        <f t="shared" si="137"/>
        <v/>
      </c>
      <c r="BG73" s="8" t="str">
        <f t="shared" si="138"/>
        <v/>
      </c>
      <c r="BH73" s="8" t="str">
        <f t="shared" si="183"/>
        <v/>
      </c>
      <c r="BI73" s="8" t="str">
        <f t="shared" si="140"/>
        <v/>
      </c>
      <c r="BJ73" s="8" t="str">
        <f t="shared" si="141"/>
        <v/>
      </c>
      <c r="BK73" s="8" t="str">
        <f t="shared" si="142"/>
        <v/>
      </c>
      <c r="BL73" s="8" t="str">
        <f t="shared" si="184"/>
        <v/>
      </c>
      <c r="BM73" s="8" t="str">
        <f t="shared" si="144"/>
        <v/>
      </c>
      <c r="BN73" s="8" t="str">
        <f t="shared" si="145"/>
        <v/>
      </c>
      <c r="BO73" s="8" t="str">
        <f t="shared" si="146"/>
        <v/>
      </c>
      <c r="BP73" s="8" t="str">
        <f t="shared" si="147"/>
        <v/>
      </c>
      <c r="BQ73" s="8" t="str">
        <f t="shared" si="148"/>
        <v>Alex Griffiths</v>
      </c>
      <c r="BR73" s="8" t="str">
        <f t="shared" si="149"/>
        <v/>
      </c>
      <c r="BS73" s="8" t="str">
        <f t="shared" si="150"/>
        <v/>
      </c>
      <c r="BT73" s="8" t="str">
        <f t="shared" si="185"/>
        <v/>
      </c>
      <c r="BU73" s="8" t="str">
        <f t="shared" si="152"/>
        <v>Alex Griffiths</v>
      </c>
      <c r="BV73" s="8" t="str">
        <f t="shared" si="153"/>
        <v/>
      </c>
      <c r="BW73" s="8" t="str">
        <f t="shared" si="154"/>
        <v/>
      </c>
      <c r="BX73" s="8" t="str">
        <f t="shared" si="186"/>
        <v/>
      </c>
      <c r="BY73" s="8" t="str">
        <f t="shared" si="156"/>
        <v/>
      </c>
      <c r="BZ73" s="8" t="str">
        <f t="shared" si="157"/>
        <v/>
      </c>
      <c r="CA73" s="8" t="str">
        <f t="shared" si="158"/>
        <v/>
      </c>
      <c r="CB73" s="8" t="str">
        <f t="shared" si="187"/>
        <v/>
      </c>
      <c r="CC73" s="8" t="str">
        <f t="shared" si="160"/>
        <v/>
      </c>
      <c r="CD73" s="8" t="str">
        <f t="shared" si="161"/>
        <v/>
      </c>
      <c r="CE73" s="8" t="str">
        <f t="shared" si="162"/>
        <v/>
      </c>
      <c r="CF73" s="8" t="str">
        <f t="shared" si="188"/>
        <v/>
      </c>
      <c r="CG73" s="8" t="str">
        <f t="shared" si="164"/>
        <v/>
      </c>
      <c r="CH73" s="8" t="str">
        <f t="shared" si="165"/>
        <v>Alex Griffiths</v>
      </c>
      <c r="CI73" s="8" t="str">
        <f t="shared" si="166"/>
        <v/>
      </c>
      <c r="CJ73" s="8" t="str">
        <f t="shared" si="189"/>
        <v/>
      </c>
      <c r="CK73" s="8" t="str">
        <f t="shared" si="168"/>
        <v/>
      </c>
      <c r="CL73" s="8" t="str">
        <f t="shared" si="169"/>
        <v/>
      </c>
    </row>
    <row r="74" spans="4:90" x14ac:dyDescent="0.2">
      <c r="D74" s="37"/>
      <c r="E74" s="8">
        <f t="shared" si="190"/>
        <v>14</v>
      </c>
      <c r="G74" s="8" t="str">
        <f t="shared" si="191"/>
        <v/>
      </c>
      <c r="H74" s="8" t="str">
        <f t="shared" si="89"/>
        <v/>
      </c>
      <c r="I74" s="8" t="str">
        <f t="shared" si="192"/>
        <v/>
      </c>
      <c r="J74" s="8" t="str">
        <f t="shared" si="193"/>
        <v/>
      </c>
      <c r="K74" s="8" t="str">
        <f t="shared" si="90"/>
        <v/>
      </c>
      <c r="L74" s="8" t="str">
        <f t="shared" si="91"/>
        <v/>
      </c>
      <c r="M74" s="8" t="str">
        <f t="shared" si="92"/>
        <v/>
      </c>
      <c r="N74" s="8" t="str">
        <f t="shared" si="93"/>
        <v/>
      </c>
      <c r="O74" s="8" t="str">
        <f t="shared" si="94"/>
        <v/>
      </c>
      <c r="P74" s="8" t="str">
        <f t="shared" si="173"/>
        <v/>
      </c>
      <c r="Q74" s="8" t="str">
        <f t="shared" si="96"/>
        <v/>
      </c>
      <c r="R74" s="8" t="str">
        <f t="shared" si="97"/>
        <v/>
      </c>
      <c r="S74" s="8" t="str">
        <f t="shared" si="98"/>
        <v/>
      </c>
      <c r="T74" s="8" t="str">
        <f t="shared" si="174"/>
        <v>Jussi Grut</v>
      </c>
      <c r="U74" s="8" t="str">
        <f t="shared" si="100"/>
        <v/>
      </c>
      <c r="V74" s="8" t="str">
        <f t="shared" si="101"/>
        <v/>
      </c>
      <c r="W74" s="8" t="str">
        <f t="shared" si="102"/>
        <v/>
      </c>
      <c r="X74" s="8" t="str">
        <f t="shared" si="175"/>
        <v/>
      </c>
      <c r="Y74" s="8" t="str">
        <f t="shared" si="104"/>
        <v/>
      </c>
      <c r="Z74" s="8" t="str">
        <f t="shared" si="105"/>
        <v/>
      </c>
      <c r="AA74" s="8" t="str">
        <f t="shared" si="106"/>
        <v/>
      </c>
      <c r="AB74" s="8" t="str">
        <f t="shared" si="176"/>
        <v/>
      </c>
      <c r="AC74" s="8" t="str">
        <f t="shared" si="108"/>
        <v/>
      </c>
      <c r="AD74" s="8" t="str">
        <f t="shared" si="109"/>
        <v/>
      </c>
      <c r="AE74" s="8" t="str">
        <f t="shared" si="110"/>
        <v/>
      </c>
      <c r="AF74" s="8" t="str">
        <f t="shared" si="177"/>
        <v/>
      </c>
      <c r="AG74" s="8" t="str">
        <f t="shared" si="112"/>
        <v>Jussi Grut</v>
      </c>
      <c r="AH74" s="8" t="str">
        <f t="shared" si="113"/>
        <v/>
      </c>
      <c r="AI74" s="8" t="str">
        <f t="shared" si="114"/>
        <v/>
      </c>
      <c r="AJ74" s="8" t="str">
        <f t="shared" si="115"/>
        <v/>
      </c>
      <c r="AK74" s="8" t="str">
        <f t="shared" si="116"/>
        <v>Jussi Grut</v>
      </c>
      <c r="AL74" s="8" t="str">
        <f t="shared" si="117"/>
        <v/>
      </c>
      <c r="AM74" s="8" t="str">
        <f t="shared" si="118"/>
        <v/>
      </c>
      <c r="AN74" s="8" t="str">
        <f t="shared" si="178"/>
        <v/>
      </c>
      <c r="AO74" s="8" t="str">
        <f t="shared" si="120"/>
        <v/>
      </c>
      <c r="AP74" s="8" t="str">
        <f t="shared" si="121"/>
        <v/>
      </c>
      <c r="AQ74" s="8" t="str">
        <f t="shared" si="122"/>
        <v/>
      </c>
      <c r="AR74" s="8" t="str">
        <f t="shared" si="179"/>
        <v/>
      </c>
      <c r="AS74" s="8" t="str">
        <f t="shared" si="124"/>
        <v/>
      </c>
      <c r="AT74" s="8" t="str">
        <f t="shared" si="125"/>
        <v>Jussi Grut</v>
      </c>
      <c r="AU74" s="8" t="str">
        <f t="shared" si="126"/>
        <v/>
      </c>
      <c r="AV74" s="8" t="str">
        <f t="shared" si="180"/>
        <v/>
      </c>
      <c r="AW74" s="8" t="str">
        <f t="shared" si="128"/>
        <v/>
      </c>
      <c r="AX74" s="8" t="str">
        <f t="shared" si="129"/>
        <v/>
      </c>
      <c r="AY74" s="8" t="str">
        <f t="shared" si="130"/>
        <v/>
      </c>
      <c r="AZ74" s="8" t="str">
        <f t="shared" si="181"/>
        <v/>
      </c>
      <c r="BA74" s="8" t="str">
        <f t="shared" si="132"/>
        <v/>
      </c>
      <c r="BB74" s="8" t="str">
        <f t="shared" si="133"/>
        <v/>
      </c>
      <c r="BC74" s="8" t="str">
        <f t="shared" si="134"/>
        <v/>
      </c>
      <c r="BD74" s="8" t="str">
        <f t="shared" si="182"/>
        <v/>
      </c>
      <c r="BE74" s="8" t="str">
        <f t="shared" si="136"/>
        <v/>
      </c>
      <c r="BF74" s="8" t="str">
        <f t="shared" si="137"/>
        <v/>
      </c>
      <c r="BG74" s="8" t="str">
        <f t="shared" si="138"/>
        <v/>
      </c>
      <c r="BH74" s="8" t="str">
        <f t="shared" si="183"/>
        <v/>
      </c>
      <c r="BI74" s="8" t="str">
        <f t="shared" si="140"/>
        <v/>
      </c>
      <c r="BJ74" s="8" t="str">
        <f t="shared" si="141"/>
        <v/>
      </c>
      <c r="BK74" s="8" t="str">
        <f t="shared" si="142"/>
        <v/>
      </c>
      <c r="BL74" s="8" t="str">
        <f t="shared" si="184"/>
        <v/>
      </c>
      <c r="BM74" s="8" t="str">
        <f t="shared" si="144"/>
        <v/>
      </c>
      <c r="BN74" s="8" t="str">
        <f t="shared" si="145"/>
        <v/>
      </c>
      <c r="BO74" s="8" t="str">
        <f t="shared" si="146"/>
        <v/>
      </c>
      <c r="BP74" s="8" t="str">
        <f t="shared" si="147"/>
        <v/>
      </c>
      <c r="BQ74" s="8" t="str">
        <f t="shared" si="148"/>
        <v/>
      </c>
      <c r="BR74" s="8" t="str">
        <f t="shared" si="149"/>
        <v/>
      </c>
      <c r="BS74" s="8" t="str">
        <f t="shared" si="150"/>
        <v/>
      </c>
      <c r="BT74" s="8" t="str">
        <f t="shared" si="185"/>
        <v/>
      </c>
      <c r="BU74" s="8" t="str">
        <f t="shared" si="152"/>
        <v/>
      </c>
      <c r="BV74" s="8" t="str">
        <f t="shared" si="153"/>
        <v/>
      </c>
      <c r="BW74" s="8" t="str">
        <f t="shared" si="154"/>
        <v/>
      </c>
      <c r="BX74" s="8" t="str">
        <f t="shared" si="186"/>
        <v/>
      </c>
      <c r="BY74" s="8" t="str">
        <f t="shared" si="156"/>
        <v/>
      </c>
      <c r="BZ74" s="8" t="str">
        <f t="shared" si="157"/>
        <v/>
      </c>
      <c r="CA74" s="8" t="str">
        <f t="shared" si="158"/>
        <v/>
      </c>
      <c r="CB74" s="8" t="str">
        <f t="shared" si="187"/>
        <v/>
      </c>
      <c r="CC74" s="8" t="str">
        <f t="shared" si="160"/>
        <v/>
      </c>
      <c r="CD74" s="8" t="str">
        <f t="shared" si="161"/>
        <v/>
      </c>
      <c r="CE74" s="8" t="str">
        <f t="shared" si="162"/>
        <v/>
      </c>
      <c r="CF74" s="8" t="str">
        <f t="shared" si="188"/>
        <v/>
      </c>
      <c r="CG74" s="8" t="str">
        <f t="shared" si="164"/>
        <v/>
      </c>
      <c r="CH74" s="8" t="str">
        <f t="shared" si="165"/>
        <v/>
      </c>
      <c r="CI74" s="8" t="str">
        <f t="shared" si="166"/>
        <v/>
      </c>
      <c r="CJ74" s="8" t="str">
        <f t="shared" si="189"/>
        <v/>
      </c>
      <c r="CK74" s="8" t="str">
        <f t="shared" si="168"/>
        <v/>
      </c>
      <c r="CL74" s="8" t="str">
        <f t="shared" si="169"/>
        <v/>
      </c>
    </row>
    <row r="75" spans="4:90" x14ac:dyDescent="0.2">
      <c r="D75" s="37"/>
      <c r="E75" s="8">
        <f t="shared" si="190"/>
        <v>15</v>
      </c>
      <c r="G75" s="8" t="str">
        <f t="shared" si="191"/>
        <v/>
      </c>
      <c r="H75" s="8" t="str">
        <f t="shared" si="89"/>
        <v/>
      </c>
      <c r="I75" s="8" t="str">
        <f t="shared" si="192"/>
        <v>Tom Hatton (5)</v>
      </c>
      <c r="J75" s="8" t="str">
        <f t="shared" si="193"/>
        <v/>
      </c>
      <c r="K75" s="8" t="str">
        <f t="shared" si="90"/>
        <v/>
      </c>
      <c r="L75" s="8" t="str">
        <f t="shared" si="91"/>
        <v/>
      </c>
      <c r="M75" s="8" t="str">
        <f t="shared" si="92"/>
        <v>Tom Hatton</v>
      </c>
      <c r="N75" s="8" t="str">
        <f t="shared" si="93"/>
        <v/>
      </c>
      <c r="O75" s="8" t="str">
        <f t="shared" si="94"/>
        <v/>
      </c>
      <c r="P75" s="8" t="str">
        <f t="shared" si="173"/>
        <v/>
      </c>
      <c r="Q75" s="8" t="str">
        <f t="shared" si="96"/>
        <v>Tom Hatton</v>
      </c>
      <c r="R75" s="8" t="str">
        <f t="shared" si="97"/>
        <v/>
      </c>
      <c r="S75" s="8" t="str">
        <f t="shared" si="98"/>
        <v/>
      </c>
      <c r="T75" s="8" t="str">
        <f t="shared" si="174"/>
        <v/>
      </c>
      <c r="U75" s="8" t="str">
        <f t="shared" si="100"/>
        <v>Tom Hatton</v>
      </c>
      <c r="V75" s="8" t="str">
        <f t="shared" si="101"/>
        <v/>
      </c>
      <c r="W75" s="8" t="str">
        <f t="shared" si="102"/>
        <v/>
      </c>
      <c r="X75" s="8" t="str">
        <f t="shared" si="175"/>
        <v/>
      </c>
      <c r="Y75" s="8" t="str">
        <f t="shared" si="104"/>
        <v/>
      </c>
      <c r="Z75" s="8" t="str">
        <f t="shared" si="105"/>
        <v/>
      </c>
      <c r="AA75" s="8" t="str">
        <f t="shared" si="106"/>
        <v/>
      </c>
      <c r="AB75" s="8" t="str">
        <f t="shared" si="176"/>
        <v/>
      </c>
      <c r="AC75" s="8" t="str">
        <f t="shared" si="108"/>
        <v/>
      </c>
      <c r="AD75" s="8" t="str">
        <f t="shared" si="109"/>
        <v>Tom Hatton (1)</v>
      </c>
      <c r="AE75" s="8" t="str">
        <f t="shared" si="110"/>
        <v/>
      </c>
      <c r="AF75" s="8" t="str">
        <f t="shared" si="177"/>
        <v/>
      </c>
      <c r="AG75" s="8" t="str">
        <f t="shared" si="112"/>
        <v/>
      </c>
      <c r="AH75" s="8" t="str">
        <f t="shared" si="113"/>
        <v>Tom Hatton</v>
      </c>
      <c r="AI75" s="8" t="str">
        <f t="shared" si="114"/>
        <v/>
      </c>
      <c r="AJ75" s="8" t="str">
        <f t="shared" si="115"/>
        <v/>
      </c>
      <c r="AK75" s="8" t="str">
        <f t="shared" si="116"/>
        <v/>
      </c>
      <c r="AL75" s="8" t="str">
        <f t="shared" si="117"/>
        <v>Tom Hatton</v>
      </c>
      <c r="AM75" s="8" t="str">
        <f t="shared" si="118"/>
        <v/>
      </c>
      <c r="AN75" s="8" t="str">
        <f t="shared" si="178"/>
        <v/>
      </c>
      <c r="AO75" s="8" t="str">
        <f t="shared" si="120"/>
        <v/>
      </c>
      <c r="AP75" s="8" t="str">
        <f t="shared" si="121"/>
        <v/>
      </c>
      <c r="AQ75" s="8" t="str">
        <f t="shared" si="122"/>
        <v/>
      </c>
      <c r="AR75" s="8" t="str">
        <f t="shared" si="179"/>
        <v/>
      </c>
      <c r="AS75" s="8" t="str">
        <f t="shared" si="124"/>
        <v/>
      </c>
      <c r="AT75" s="8" t="str">
        <f t="shared" si="125"/>
        <v/>
      </c>
      <c r="AU75" s="8" t="str">
        <f t="shared" si="126"/>
        <v/>
      </c>
      <c r="AV75" s="8" t="str">
        <f t="shared" si="180"/>
        <v/>
      </c>
      <c r="AW75" s="8" t="str">
        <f t="shared" si="128"/>
        <v/>
      </c>
      <c r="AX75" s="8" t="str">
        <f t="shared" si="129"/>
        <v>Tom Hatton (1,4A)</v>
      </c>
      <c r="AY75" s="8" t="str">
        <f t="shared" si="130"/>
        <v/>
      </c>
      <c r="AZ75" s="8" t="str">
        <f t="shared" si="181"/>
        <v/>
      </c>
      <c r="BA75" s="8" t="str">
        <f t="shared" si="132"/>
        <v/>
      </c>
      <c r="BB75" s="8" t="str">
        <f t="shared" si="133"/>
        <v/>
      </c>
      <c r="BC75" s="8" t="str">
        <f t="shared" si="134"/>
        <v/>
      </c>
      <c r="BD75" s="8" t="str">
        <f t="shared" si="182"/>
        <v/>
      </c>
      <c r="BE75" s="8" t="str">
        <f t="shared" si="136"/>
        <v/>
      </c>
      <c r="BF75" s="8" t="str">
        <f t="shared" si="137"/>
        <v/>
      </c>
      <c r="BG75" s="8" t="str">
        <f t="shared" si="138"/>
        <v/>
      </c>
      <c r="BH75" s="8" t="str">
        <f t="shared" si="183"/>
        <v/>
      </c>
      <c r="BI75" s="8" t="str">
        <f t="shared" si="140"/>
        <v/>
      </c>
      <c r="BJ75" s="8" t="str">
        <f t="shared" si="141"/>
        <v/>
      </c>
      <c r="BK75" s="8" t="str">
        <f t="shared" si="142"/>
        <v/>
      </c>
      <c r="BL75" s="8" t="str">
        <f t="shared" si="184"/>
        <v/>
      </c>
      <c r="BM75" s="8" t="str">
        <f t="shared" si="144"/>
        <v/>
      </c>
      <c r="BN75" s="8" t="str">
        <f t="shared" si="145"/>
        <v/>
      </c>
      <c r="BO75" s="8" t="str">
        <f t="shared" si="146"/>
        <v/>
      </c>
      <c r="BP75" s="8" t="str">
        <f t="shared" si="147"/>
        <v/>
      </c>
      <c r="BQ75" s="8" t="str">
        <f t="shared" si="148"/>
        <v/>
      </c>
      <c r="BR75" s="8" t="str">
        <f t="shared" si="149"/>
        <v>Tom Hatton</v>
      </c>
      <c r="BS75" s="8" t="str">
        <f t="shared" si="150"/>
        <v/>
      </c>
      <c r="BT75" s="8" t="str">
        <f t="shared" si="185"/>
        <v/>
      </c>
      <c r="BU75" s="8" t="str">
        <f t="shared" si="152"/>
        <v/>
      </c>
      <c r="BV75" s="8" t="str">
        <f t="shared" si="153"/>
        <v>Tom Hatton (1)</v>
      </c>
      <c r="BW75" s="8" t="str">
        <f t="shared" si="154"/>
        <v/>
      </c>
      <c r="BX75" s="8" t="str">
        <f t="shared" si="186"/>
        <v/>
      </c>
      <c r="BY75" s="8" t="str">
        <f t="shared" si="156"/>
        <v/>
      </c>
      <c r="BZ75" s="8" t="str">
        <f t="shared" si="157"/>
        <v/>
      </c>
      <c r="CA75" s="8" t="str">
        <f t="shared" si="158"/>
        <v/>
      </c>
      <c r="CB75" s="8" t="str">
        <f t="shared" si="187"/>
        <v/>
      </c>
      <c r="CC75" s="8" t="str">
        <f t="shared" si="160"/>
        <v/>
      </c>
      <c r="CD75" s="8" t="str">
        <f t="shared" si="161"/>
        <v>Tom Hatton</v>
      </c>
      <c r="CE75" s="8" t="str">
        <f t="shared" si="162"/>
        <v/>
      </c>
      <c r="CF75" s="8" t="str">
        <f t="shared" si="188"/>
        <v/>
      </c>
      <c r="CG75" s="8" t="str">
        <f t="shared" si="164"/>
        <v/>
      </c>
      <c r="CH75" s="8" t="str">
        <f t="shared" si="165"/>
        <v>Tom Hatton</v>
      </c>
      <c r="CI75" s="8" t="str">
        <f t="shared" si="166"/>
        <v/>
      </c>
      <c r="CJ75" s="8" t="str">
        <f t="shared" si="189"/>
        <v/>
      </c>
      <c r="CK75" s="8" t="str">
        <f t="shared" si="168"/>
        <v/>
      </c>
      <c r="CL75" s="8" t="str">
        <f t="shared" si="169"/>
        <v/>
      </c>
    </row>
    <row r="76" spans="4:90" x14ac:dyDescent="0.2">
      <c r="D76" s="37"/>
      <c r="E76" s="8">
        <f t="shared" si="190"/>
        <v>16</v>
      </c>
      <c r="G76" s="8" t="str">
        <f t="shared" si="191"/>
        <v/>
      </c>
      <c r="H76" s="8" t="str">
        <f t="shared" si="89"/>
        <v/>
      </c>
      <c r="I76" s="8" t="str">
        <f t="shared" si="192"/>
        <v/>
      </c>
      <c r="J76" s="8" t="str">
        <f t="shared" si="193"/>
        <v/>
      </c>
      <c r="K76" s="8" t="str">
        <f t="shared" si="90"/>
        <v/>
      </c>
      <c r="L76" s="8" t="str">
        <f t="shared" si="91"/>
        <v/>
      </c>
      <c r="M76" s="8" t="str">
        <f t="shared" si="92"/>
        <v/>
      </c>
      <c r="N76" s="8" t="str">
        <f t="shared" si="93"/>
        <v/>
      </c>
      <c r="O76" s="8" t="str">
        <f t="shared" si="94"/>
        <v/>
      </c>
      <c r="P76" s="8" t="str">
        <f t="shared" si="173"/>
        <v/>
      </c>
      <c r="Q76" s="8" t="str">
        <f t="shared" si="96"/>
        <v/>
      </c>
      <c r="R76" s="8" t="str">
        <f t="shared" si="97"/>
        <v/>
      </c>
      <c r="S76" s="8" t="str">
        <f t="shared" si="98"/>
        <v/>
      </c>
      <c r="T76" s="8" t="str">
        <f t="shared" si="174"/>
        <v/>
      </c>
      <c r="U76" s="8" t="str">
        <f t="shared" si="100"/>
        <v/>
      </c>
      <c r="V76" s="8" t="str">
        <f t="shared" si="101"/>
        <v/>
      </c>
      <c r="W76" s="8" t="str">
        <f t="shared" si="102"/>
        <v/>
      </c>
      <c r="X76" s="8" t="str">
        <f t="shared" si="175"/>
        <v/>
      </c>
      <c r="Y76" s="8" t="str">
        <f t="shared" si="104"/>
        <v/>
      </c>
      <c r="Z76" s="8" t="str">
        <f t="shared" si="105"/>
        <v/>
      </c>
      <c r="AA76" s="8" t="str">
        <f t="shared" si="106"/>
        <v/>
      </c>
      <c r="AB76" s="8" t="str">
        <f t="shared" si="176"/>
        <v/>
      </c>
      <c r="AC76" s="8" t="str">
        <f t="shared" si="108"/>
        <v/>
      </c>
      <c r="AD76" s="8" t="str">
        <f t="shared" si="109"/>
        <v/>
      </c>
      <c r="AE76" s="8" t="str">
        <f t="shared" si="110"/>
        <v/>
      </c>
      <c r="AF76" s="8" t="str">
        <f t="shared" si="177"/>
        <v/>
      </c>
      <c r="AG76" s="8" t="str">
        <f t="shared" si="112"/>
        <v/>
      </c>
      <c r="AH76" s="8" t="str">
        <f t="shared" si="113"/>
        <v/>
      </c>
      <c r="AI76" s="8" t="str">
        <f t="shared" si="114"/>
        <v/>
      </c>
      <c r="AJ76" s="8" t="str">
        <f t="shared" si="115"/>
        <v/>
      </c>
      <c r="AK76" s="8" t="str">
        <f t="shared" si="116"/>
        <v/>
      </c>
      <c r="AL76" s="8" t="str">
        <f t="shared" si="117"/>
        <v/>
      </c>
      <c r="AM76" s="8" t="str">
        <f t="shared" si="118"/>
        <v/>
      </c>
      <c r="AN76" s="8" t="str">
        <f t="shared" si="178"/>
        <v/>
      </c>
      <c r="AO76" s="8" t="str">
        <f t="shared" si="120"/>
        <v/>
      </c>
      <c r="AP76" s="8" t="str">
        <f t="shared" si="121"/>
        <v/>
      </c>
      <c r="AQ76" s="8" t="str">
        <f t="shared" si="122"/>
        <v/>
      </c>
      <c r="AR76" s="8" t="str">
        <f t="shared" si="179"/>
        <v/>
      </c>
      <c r="AS76" s="8" t="str">
        <f t="shared" si="124"/>
        <v/>
      </c>
      <c r="AT76" s="8" t="str">
        <f t="shared" si="125"/>
        <v/>
      </c>
      <c r="AU76" s="8" t="str">
        <f t="shared" si="126"/>
        <v/>
      </c>
      <c r="AV76" s="8" t="str">
        <f t="shared" si="180"/>
        <v/>
      </c>
      <c r="AW76" s="8" t="str">
        <f t="shared" si="128"/>
        <v/>
      </c>
      <c r="AX76" s="8" t="str">
        <f t="shared" si="129"/>
        <v/>
      </c>
      <c r="AY76" s="8" t="str">
        <f t="shared" si="130"/>
        <v/>
      </c>
      <c r="AZ76" s="8" t="str">
        <f t="shared" si="181"/>
        <v/>
      </c>
      <c r="BA76" s="8" t="str">
        <f t="shared" si="132"/>
        <v/>
      </c>
      <c r="BB76" s="8" t="str">
        <f t="shared" si="133"/>
        <v/>
      </c>
      <c r="BC76" s="8" t="str">
        <f t="shared" si="134"/>
        <v/>
      </c>
      <c r="BD76" s="8" t="str">
        <f t="shared" si="182"/>
        <v/>
      </c>
      <c r="BE76" s="8" t="str">
        <f t="shared" si="136"/>
        <v/>
      </c>
      <c r="BF76" s="8" t="str">
        <f t="shared" si="137"/>
        <v/>
      </c>
      <c r="BG76" s="8" t="str">
        <f t="shared" si="138"/>
        <v/>
      </c>
      <c r="BH76" s="8" t="str">
        <f t="shared" si="183"/>
        <v/>
      </c>
      <c r="BI76" s="8" t="str">
        <f t="shared" si="140"/>
        <v/>
      </c>
      <c r="BJ76" s="8" t="str">
        <f t="shared" si="141"/>
        <v/>
      </c>
      <c r="BK76" s="8" t="str">
        <f t="shared" si="142"/>
        <v/>
      </c>
      <c r="BL76" s="8" t="str">
        <f t="shared" si="184"/>
        <v/>
      </c>
      <c r="BM76" s="8" t="str">
        <f t="shared" si="144"/>
        <v/>
      </c>
      <c r="BN76" s="8" t="str">
        <f t="shared" si="145"/>
        <v/>
      </c>
      <c r="BO76" s="8" t="str">
        <f t="shared" si="146"/>
        <v/>
      </c>
      <c r="BP76" s="8" t="str">
        <f t="shared" si="147"/>
        <v/>
      </c>
      <c r="BQ76" s="8" t="str">
        <f t="shared" si="148"/>
        <v/>
      </c>
      <c r="BR76" s="8" t="str">
        <f t="shared" si="149"/>
        <v/>
      </c>
      <c r="BS76" s="8" t="str">
        <f t="shared" si="150"/>
        <v/>
      </c>
      <c r="BT76" s="8" t="str">
        <f t="shared" si="185"/>
        <v/>
      </c>
      <c r="BU76" s="8" t="str">
        <f t="shared" si="152"/>
        <v/>
      </c>
      <c r="BV76" s="8" t="str">
        <f t="shared" si="153"/>
        <v/>
      </c>
      <c r="BW76" s="8" t="str">
        <f t="shared" si="154"/>
        <v/>
      </c>
      <c r="BX76" s="8" t="str">
        <f t="shared" si="186"/>
        <v/>
      </c>
      <c r="BY76" s="8" t="str">
        <f t="shared" si="156"/>
        <v/>
      </c>
      <c r="BZ76" s="8" t="str">
        <f t="shared" si="157"/>
        <v/>
      </c>
      <c r="CA76" s="8" t="str">
        <f t="shared" si="158"/>
        <v/>
      </c>
      <c r="CB76" s="8" t="str">
        <f t="shared" si="187"/>
        <v/>
      </c>
      <c r="CC76" s="8" t="str">
        <f t="shared" si="160"/>
        <v/>
      </c>
      <c r="CD76" s="8" t="str">
        <f t="shared" si="161"/>
        <v/>
      </c>
      <c r="CE76" s="8" t="str">
        <f t="shared" si="162"/>
        <v/>
      </c>
      <c r="CF76" s="8" t="str">
        <f t="shared" si="188"/>
        <v/>
      </c>
      <c r="CG76" s="8" t="str">
        <f t="shared" si="164"/>
        <v/>
      </c>
      <c r="CH76" s="8" t="str">
        <f t="shared" si="165"/>
        <v/>
      </c>
      <c r="CI76" s="8" t="str">
        <f t="shared" si="166"/>
        <v/>
      </c>
      <c r="CJ76" s="8" t="str">
        <f t="shared" si="189"/>
        <v/>
      </c>
      <c r="CK76" s="8" t="str">
        <f t="shared" si="168"/>
        <v/>
      </c>
      <c r="CL76" s="8" t="str">
        <f t="shared" si="169"/>
        <v/>
      </c>
    </row>
    <row r="77" spans="4:90" x14ac:dyDescent="0.2">
      <c r="D77" s="37"/>
      <c r="E77" s="8">
        <f t="shared" si="190"/>
        <v>17</v>
      </c>
      <c r="G77" s="8" t="str">
        <f t="shared" si="191"/>
        <v/>
      </c>
      <c r="H77" s="8" t="str">
        <f t="shared" si="89"/>
        <v/>
      </c>
      <c r="I77" s="8" t="str">
        <f t="shared" si="192"/>
        <v/>
      </c>
      <c r="J77" s="8" t="str">
        <f t="shared" si="193"/>
        <v/>
      </c>
      <c r="K77" s="8" t="str">
        <f t="shared" si="90"/>
        <v/>
      </c>
      <c r="L77" s="8" t="str">
        <f t="shared" si="91"/>
        <v/>
      </c>
      <c r="M77" s="8" t="str">
        <f t="shared" si="92"/>
        <v/>
      </c>
      <c r="N77" s="8" t="str">
        <f t="shared" si="93"/>
        <v/>
      </c>
      <c r="O77" s="8" t="str">
        <f t="shared" si="94"/>
        <v/>
      </c>
      <c r="P77" s="8" t="str">
        <f t="shared" si="173"/>
        <v/>
      </c>
      <c r="Q77" s="8" t="str">
        <f t="shared" si="96"/>
        <v/>
      </c>
      <c r="R77" s="8" t="str">
        <f t="shared" si="97"/>
        <v/>
      </c>
      <c r="S77" s="8" t="str">
        <f t="shared" si="98"/>
        <v/>
      </c>
      <c r="T77" s="8" t="str">
        <f t="shared" si="174"/>
        <v/>
      </c>
      <c r="U77" s="8" t="str">
        <f t="shared" si="100"/>
        <v/>
      </c>
      <c r="V77" s="8" t="str">
        <f t="shared" si="101"/>
        <v/>
      </c>
      <c r="W77" s="8" t="str">
        <f t="shared" si="102"/>
        <v/>
      </c>
      <c r="X77" s="8" t="str">
        <f t="shared" si="175"/>
        <v/>
      </c>
      <c r="Y77" s="8" t="str">
        <f t="shared" si="104"/>
        <v/>
      </c>
      <c r="Z77" s="8" t="str">
        <f t="shared" si="105"/>
        <v/>
      </c>
      <c r="AA77" s="8" t="str">
        <f t="shared" si="106"/>
        <v/>
      </c>
      <c r="AB77" s="8" t="str">
        <f t="shared" si="176"/>
        <v/>
      </c>
      <c r="AC77" s="8" t="str">
        <f t="shared" si="108"/>
        <v/>
      </c>
      <c r="AD77" s="8" t="str">
        <f t="shared" si="109"/>
        <v/>
      </c>
      <c r="AE77" s="8" t="str">
        <f t="shared" si="110"/>
        <v/>
      </c>
      <c r="AF77" s="8" t="str">
        <f t="shared" si="177"/>
        <v/>
      </c>
      <c r="AG77" s="8" t="str">
        <f t="shared" si="112"/>
        <v/>
      </c>
      <c r="AH77" s="8" t="str">
        <f t="shared" si="113"/>
        <v/>
      </c>
      <c r="AI77" s="8" t="str">
        <f t="shared" si="114"/>
        <v/>
      </c>
      <c r="AJ77" s="8" t="str">
        <f t="shared" si="115"/>
        <v/>
      </c>
      <c r="AK77" s="8" t="str">
        <f t="shared" si="116"/>
        <v/>
      </c>
      <c r="AL77" s="8" t="str">
        <f t="shared" si="117"/>
        <v/>
      </c>
      <c r="AM77" s="8" t="str">
        <f t="shared" si="118"/>
        <v/>
      </c>
      <c r="AN77" s="8" t="str">
        <f t="shared" si="178"/>
        <v/>
      </c>
      <c r="AO77" s="8" t="str">
        <f t="shared" si="120"/>
        <v/>
      </c>
      <c r="AP77" s="8" t="str">
        <f t="shared" si="121"/>
        <v/>
      </c>
      <c r="AQ77" s="8" t="str">
        <f t="shared" si="122"/>
        <v/>
      </c>
      <c r="AR77" s="8" t="str">
        <f t="shared" si="179"/>
        <v/>
      </c>
      <c r="AS77" s="8" t="str">
        <f t="shared" si="124"/>
        <v/>
      </c>
      <c r="AT77" s="8" t="str">
        <f t="shared" si="125"/>
        <v/>
      </c>
      <c r="AU77" s="8" t="str">
        <f t="shared" si="126"/>
        <v/>
      </c>
      <c r="AV77" s="8" t="str">
        <f t="shared" si="180"/>
        <v/>
      </c>
      <c r="AW77" s="8" t="str">
        <f t="shared" si="128"/>
        <v/>
      </c>
      <c r="AX77" s="8" t="str">
        <f t="shared" si="129"/>
        <v/>
      </c>
      <c r="AY77" s="8" t="str">
        <f t="shared" si="130"/>
        <v/>
      </c>
      <c r="AZ77" s="8" t="str">
        <f t="shared" si="181"/>
        <v/>
      </c>
      <c r="BA77" s="8" t="str">
        <f t="shared" si="132"/>
        <v/>
      </c>
      <c r="BB77" s="8" t="str">
        <f t="shared" si="133"/>
        <v/>
      </c>
      <c r="BC77" s="8" t="str">
        <f t="shared" si="134"/>
        <v/>
      </c>
      <c r="BD77" s="8" t="str">
        <f t="shared" si="182"/>
        <v/>
      </c>
      <c r="BE77" s="8" t="str">
        <f t="shared" si="136"/>
        <v/>
      </c>
      <c r="BF77" s="8" t="str">
        <f t="shared" si="137"/>
        <v/>
      </c>
      <c r="BG77" s="8" t="str">
        <f t="shared" si="138"/>
        <v/>
      </c>
      <c r="BH77" s="8" t="str">
        <f t="shared" si="183"/>
        <v/>
      </c>
      <c r="BI77" s="8" t="str">
        <f t="shared" si="140"/>
        <v/>
      </c>
      <c r="BJ77" s="8" t="str">
        <f t="shared" si="141"/>
        <v/>
      </c>
      <c r="BK77" s="8" t="str">
        <f t="shared" si="142"/>
        <v/>
      </c>
      <c r="BL77" s="8" t="str">
        <f t="shared" si="184"/>
        <v/>
      </c>
      <c r="BM77" s="8" t="str">
        <f t="shared" si="144"/>
        <v/>
      </c>
      <c r="BN77" s="8" t="str">
        <f t="shared" si="145"/>
        <v/>
      </c>
      <c r="BO77" s="8" t="str">
        <f t="shared" si="146"/>
        <v/>
      </c>
      <c r="BP77" s="8" t="str">
        <f t="shared" si="147"/>
        <v/>
      </c>
      <c r="BQ77" s="8" t="str">
        <f t="shared" si="148"/>
        <v/>
      </c>
      <c r="BR77" s="8" t="str">
        <f t="shared" si="149"/>
        <v/>
      </c>
      <c r="BS77" s="8" t="str">
        <f t="shared" si="150"/>
        <v/>
      </c>
      <c r="BT77" s="8" t="str">
        <f t="shared" si="185"/>
        <v/>
      </c>
      <c r="BU77" s="8" t="str">
        <f t="shared" si="152"/>
        <v/>
      </c>
      <c r="BV77" s="8" t="str">
        <f t="shared" si="153"/>
        <v/>
      </c>
      <c r="BW77" s="8" t="str">
        <f t="shared" si="154"/>
        <v/>
      </c>
      <c r="BX77" s="8" t="str">
        <f t="shared" si="186"/>
        <v/>
      </c>
      <c r="BY77" s="8" t="str">
        <f t="shared" si="156"/>
        <v/>
      </c>
      <c r="BZ77" s="8" t="str">
        <f t="shared" si="157"/>
        <v/>
      </c>
      <c r="CA77" s="8" t="str">
        <f t="shared" si="158"/>
        <v/>
      </c>
      <c r="CB77" s="8" t="str">
        <f t="shared" si="187"/>
        <v/>
      </c>
      <c r="CC77" s="8" t="str">
        <f t="shared" si="160"/>
        <v/>
      </c>
      <c r="CD77" s="8" t="str">
        <f t="shared" si="161"/>
        <v/>
      </c>
      <c r="CE77" s="8" t="str">
        <f t="shared" si="162"/>
        <v/>
      </c>
      <c r="CF77" s="8" t="str">
        <f t="shared" si="188"/>
        <v/>
      </c>
      <c r="CG77" s="8" t="str">
        <f t="shared" si="164"/>
        <v/>
      </c>
      <c r="CH77" s="8" t="str">
        <f t="shared" si="165"/>
        <v/>
      </c>
      <c r="CI77" s="8" t="str">
        <f t="shared" si="166"/>
        <v/>
      </c>
      <c r="CJ77" s="8" t="str">
        <f t="shared" si="189"/>
        <v/>
      </c>
      <c r="CK77" s="8" t="str">
        <f t="shared" si="168"/>
        <v/>
      </c>
      <c r="CL77" s="8" t="str">
        <f t="shared" si="169"/>
        <v/>
      </c>
    </row>
    <row r="78" spans="4:90" x14ac:dyDescent="0.2">
      <c r="D78" s="37"/>
      <c r="E78" s="8">
        <f t="shared" si="190"/>
        <v>18</v>
      </c>
      <c r="G78" s="8" t="str">
        <f t="shared" si="191"/>
        <v/>
      </c>
      <c r="H78" s="8" t="str">
        <f t="shared" si="89"/>
        <v/>
      </c>
      <c r="I78" s="8" t="str">
        <f t="shared" si="192"/>
        <v/>
      </c>
      <c r="J78" s="8" t="str">
        <f t="shared" si="193"/>
        <v/>
      </c>
      <c r="K78" s="8" t="str">
        <f t="shared" si="90"/>
        <v/>
      </c>
      <c r="L78" s="8" t="str">
        <f t="shared" si="91"/>
        <v/>
      </c>
      <c r="M78" s="8" t="str">
        <f t="shared" si="92"/>
        <v/>
      </c>
      <c r="N78" s="8" t="str">
        <f t="shared" si="93"/>
        <v/>
      </c>
      <c r="O78" s="8" t="str">
        <f t="shared" si="94"/>
        <v/>
      </c>
      <c r="P78" s="8" t="str">
        <f t="shared" si="173"/>
        <v/>
      </c>
      <c r="Q78" s="8" t="str">
        <f t="shared" si="96"/>
        <v/>
      </c>
      <c r="R78" s="8" t="str">
        <f t="shared" si="97"/>
        <v/>
      </c>
      <c r="S78" s="8" t="str">
        <f t="shared" si="98"/>
        <v/>
      </c>
      <c r="T78" s="8" t="str">
        <f t="shared" si="174"/>
        <v/>
      </c>
      <c r="U78" s="8" t="str">
        <f t="shared" si="100"/>
        <v/>
      </c>
      <c r="V78" s="8" t="str">
        <f t="shared" si="101"/>
        <v/>
      </c>
      <c r="W78" s="8" t="str">
        <f t="shared" si="102"/>
        <v/>
      </c>
      <c r="X78" s="8" t="str">
        <f t="shared" si="175"/>
        <v/>
      </c>
      <c r="Y78" s="8" t="str">
        <f t="shared" si="104"/>
        <v/>
      </c>
      <c r="Z78" s="8" t="str">
        <f t="shared" si="105"/>
        <v/>
      </c>
      <c r="AA78" s="8" t="str">
        <f t="shared" si="106"/>
        <v/>
      </c>
      <c r="AB78" s="8" t="str">
        <f t="shared" si="176"/>
        <v/>
      </c>
      <c r="AC78" s="8" t="str">
        <f t="shared" si="108"/>
        <v/>
      </c>
      <c r="AD78" s="8" t="str">
        <f t="shared" si="109"/>
        <v/>
      </c>
      <c r="AE78" s="8" t="str">
        <f t="shared" si="110"/>
        <v/>
      </c>
      <c r="AF78" s="8" t="str">
        <f t="shared" si="177"/>
        <v/>
      </c>
      <c r="AG78" s="8" t="str">
        <f t="shared" si="112"/>
        <v/>
      </c>
      <c r="AH78" s="8" t="str">
        <f t="shared" si="113"/>
        <v/>
      </c>
      <c r="AI78" s="8" t="str">
        <f t="shared" si="114"/>
        <v/>
      </c>
      <c r="AJ78" s="8" t="str">
        <f t="shared" si="115"/>
        <v/>
      </c>
      <c r="AK78" s="8" t="str">
        <f t="shared" si="116"/>
        <v/>
      </c>
      <c r="AL78" s="8" t="str">
        <f t="shared" si="117"/>
        <v/>
      </c>
      <c r="AM78" s="8" t="str">
        <f t="shared" si="118"/>
        <v/>
      </c>
      <c r="AN78" s="8" t="str">
        <f t="shared" si="178"/>
        <v/>
      </c>
      <c r="AO78" s="8" t="str">
        <f t="shared" si="120"/>
        <v/>
      </c>
      <c r="AP78" s="8" t="str">
        <f t="shared" si="121"/>
        <v/>
      </c>
      <c r="AQ78" s="8" t="str">
        <f t="shared" si="122"/>
        <v/>
      </c>
      <c r="AR78" s="8" t="str">
        <f t="shared" si="179"/>
        <v/>
      </c>
      <c r="AS78" s="8" t="str">
        <f t="shared" si="124"/>
        <v/>
      </c>
      <c r="AT78" s="8" t="str">
        <f t="shared" si="125"/>
        <v/>
      </c>
      <c r="AU78" s="8" t="str">
        <f t="shared" si="126"/>
        <v/>
      </c>
      <c r="AV78" s="8" t="str">
        <f t="shared" si="180"/>
        <v/>
      </c>
      <c r="AW78" s="8" t="str">
        <f t="shared" si="128"/>
        <v/>
      </c>
      <c r="AX78" s="8" t="str">
        <f t="shared" si="129"/>
        <v/>
      </c>
      <c r="AY78" s="8" t="str">
        <f t="shared" si="130"/>
        <v/>
      </c>
      <c r="AZ78" s="8" t="str">
        <f t="shared" si="181"/>
        <v/>
      </c>
      <c r="BA78" s="8" t="str">
        <f t="shared" si="132"/>
        <v/>
      </c>
      <c r="BB78" s="8" t="str">
        <f t="shared" si="133"/>
        <v/>
      </c>
      <c r="BC78" s="8" t="str">
        <f t="shared" si="134"/>
        <v/>
      </c>
      <c r="BD78" s="8" t="str">
        <f t="shared" si="182"/>
        <v/>
      </c>
      <c r="BE78" s="8" t="str">
        <f t="shared" si="136"/>
        <v/>
      </c>
      <c r="BF78" s="8" t="str">
        <f t="shared" si="137"/>
        <v/>
      </c>
      <c r="BG78" s="8" t="str">
        <f t="shared" si="138"/>
        <v/>
      </c>
      <c r="BH78" s="8" t="str">
        <f t="shared" si="183"/>
        <v/>
      </c>
      <c r="BI78" s="8" t="str">
        <f t="shared" si="140"/>
        <v/>
      </c>
      <c r="BJ78" s="8" t="str">
        <f t="shared" si="141"/>
        <v/>
      </c>
      <c r="BK78" s="8" t="str">
        <f t="shared" si="142"/>
        <v/>
      </c>
      <c r="BL78" s="8" t="str">
        <f t="shared" si="184"/>
        <v/>
      </c>
      <c r="BM78" s="8" t="str">
        <f t="shared" si="144"/>
        <v/>
      </c>
      <c r="BN78" s="8" t="str">
        <f t="shared" si="145"/>
        <v/>
      </c>
      <c r="BO78" s="8" t="str">
        <f t="shared" si="146"/>
        <v/>
      </c>
      <c r="BP78" s="8" t="str">
        <f t="shared" si="147"/>
        <v/>
      </c>
      <c r="BQ78" s="8" t="str">
        <f t="shared" si="148"/>
        <v/>
      </c>
      <c r="BR78" s="8" t="str">
        <f t="shared" si="149"/>
        <v/>
      </c>
      <c r="BS78" s="8" t="str">
        <f t="shared" si="150"/>
        <v/>
      </c>
      <c r="BT78" s="8" t="str">
        <f t="shared" si="185"/>
        <v/>
      </c>
      <c r="BU78" s="8" t="str">
        <f t="shared" si="152"/>
        <v/>
      </c>
      <c r="BV78" s="8" t="str">
        <f t="shared" si="153"/>
        <v/>
      </c>
      <c r="BW78" s="8" t="str">
        <f t="shared" si="154"/>
        <v/>
      </c>
      <c r="BX78" s="8" t="str">
        <f t="shared" si="186"/>
        <v/>
      </c>
      <c r="BY78" s="8" t="str">
        <f t="shared" si="156"/>
        <v/>
      </c>
      <c r="BZ78" s="8" t="str">
        <f t="shared" si="157"/>
        <v/>
      </c>
      <c r="CA78" s="8" t="str">
        <f t="shared" si="158"/>
        <v/>
      </c>
      <c r="CB78" s="8" t="str">
        <f t="shared" si="187"/>
        <v/>
      </c>
      <c r="CC78" s="8" t="str">
        <f t="shared" si="160"/>
        <v/>
      </c>
      <c r="CD78" s="8" t="str">
        <f t="shared" si="161"/>
        <v/>
      </c>
      <c r="CE78" s="8" t="str">
        <f t="shared" si="162"/>
        <v/>
      </c>
      <c r="CF78" s="8" t="str">
        <f t="shared" si="188"/>
        <v/>
      </c>
      <c r="CG78" s="8" t="str">
        <f t="shared" si="164"/>
        <v/>
      </c>
      <c r="CH78" s="8" t="str">
        <f t="shared" si="165"/>
        <v/>
      </c>
      <c r="CI78" s="8" t="str">
        <f t="shared" si="166"/>
        <v/>
      </c>
      <c r="CJ78" s="8" t="str">
        <f t="shared" si="189"/>
        <v/>
      </c>
      <c r="CK78" s="8" t="str">
        <f t="shared" si="168"/>
        <v/>
      </c>
      <c r="CL78" s="8" t="str">
        <f t="shared" si="169"/>
        <v/>
      </c>
    </row>
    <row r="79" spans="4:90" x14ac:dyDescent="0.2">
      <c r="D79" s="37"/>
      <c r="E79" s="8">
        <f t="shared" si="190"/>
        <v>19</v>
      </c>
      <c r="G79" s="8" t="str">
        <f t="shared" si="191"/>
        <v/>
      </c>
      <c r="H79" s="8" t="str">
        <f t="shared" si="89"/>
        <v/>
      </c>
      <c r="I79" s="8" t="str">
        <f t="shared" si="192"/>
        <v/>
      </c>
      <c r="J79" s="8" t="str">
        <f t="shared" si="193"/>
        <v/>
      </c>
      <c r="K79" s="8" t="str">
        <f t="shared" si="90"/>
        <v/>
      </c>
      <c r="L79" s="8" t="str">
        <f t="shared" si="91"/>
        <v/>
      </c>
      <c r="M79" s="8" t="str">
        <f t="shared" si="92"/>
        <v/>
      </c>
      <c r="N79" s="8" t="str">
        <f t="shared" si="93"/>
        <v/>
      </c>
      <c r="O79" s="8" t="str">
        <f t="shared" si="94"/>
        <v/>
      </c>
      <c r="P79" s="8" t="str">
        <f t="shared" si="173"/>
        <v/>
      </c>
      <c r="Q79" s="8" t="str">
        <f t="shared" si="96"/>
        <v/>
      </c>
      <c r="R79" s="8" t="str">
        <f t="shared" si="97"/>
        <v/>
      </c>
      <c r="S79" s="8" t="str">
        <f t="shared" si="98"/>
        <v/>
      </c>
      <c r="T79" s="8" t="str">
        <f t="shared" si="174"/>
        <v/>
      </c>
      <c r="U79" s="8" t="str">
        <f t="shared" si="100"/>
        <v/>
      </c>
      <c r="V79" s="8" t="str">
        <f t="shared" si="101"/>
        <v/>
      </c>
      <c r="W79" s="8" t="str">
        <f t="shared" si="102"/>
        <v/>
      </c>
      <c r="X79" s="8" t="str">
        <f t="shared" si="175"/>
        <v/>
      </c>
      <c r="Y79" s="8" t="str">
        <f t="shared" si="104"/>
        <v/>
      </c>
      <c r="Z79" s="8" t="str">
        <f t="shared" si="105"/>
        <v/>
      </c>
      <c r="AA79" s="8" t="str">
        <f t="shared" si="106"/>
        <v/>
      </c>
      <c r="AB79" s="8" t="str">
        <f t="shared" si="176"/>
        <v/>
      </c>
      <c r="AC79" s="8" t="str">
        <f t="shared" si="108"/>
        <v/>
      </c>
      <c r="AD79" s="8" t="str">
        <f t="shared" si="109"/>
        <v/>
      </c>
      <c r="AE79" s="8" t="str">
        <f t="shared" si="110"/>
        <v/>
      </c>
      <c r="AF79" s="8" t="str">
        <f t="shared" si="177"/>
        <v/>
      </c>
      <c r="AG79" s="8" t="str">
        <f t="shared" si="112"/>
        <v/>
      </c>
      <c r="AH79" s="8" t="str">
        <f t="shared" si="113"/>
        <v/>
      </c>
      <c r="AI79" s="8" t="str">
        <f t="shared" si="114"/>
        <v/>
      </c>
      <c r="AJ79" s="8" t="str">
        <f t="shared" si="115"/>
        <v/>
      </c>
      <c r="AK79" s="8" t="str">
        <f t="shared" si="116"/>
        <v/>
      </c>
      <c r="AL79" s="8" t="str">
        <f t="shared" si="117"/>
        <v/>
      </c>
      <c r="AM79" s="8" t="str">
        <f t="shared" si="118"/>
        <v/>
      </c>
      <c r="AN79" s="8" t="str">
        <f t="shared" si="178"/>
        <v/>
      </c>
      <c r="AO79" s="8" t="str">
        <f t="shared" si="120"/>
        <v/>
      </c>
      <c r="AP79" s="8" t="str">
        <f t="shared" si="121"/>
        <v/>
      </c>
      <c r="AQ79" s="8" t="str">
        <f t="shared" si="122"/>
        <v/>
      </c>
      <c r="AR79" s="8" t="str">
        <f t="shared" si="179"/>
        <v/>
      </c>
      <c r="AS79" s="8" t="str">
        <f t="shared" si="124"/>
        <v/>
      </c>
      <c r="AT79" s="8" t="str">
        <f t="shared" si="125"/>
        <v/>
      </c>
      <c r="AU79" s="8" t="str">
        <f t="shared" si="126"/>
        <v/>
      </c>
      <c r="AV79" s="8" t="str">
        <f t="shared" si="180"/>
        <v/>
      </c>
      <c r="AW79" s="8" t="str">
        <f t="shared" si="128"/>
        <v/>
      </c>
      <c r="AX79" s="8" t="str">
        <f t="shared" si="129"/>
        <v/>
      </c>
      <c r="AY79" s="8" t="str">
        <f t="shared" si="130"/>
        <v/>
      </c>
      <c r="AZ79" s="8" t="str">
        <f t="shared" si="181"/>
        <v/>
      </c>
      <c r="BA79" s="8" t="str">
        <f t="shared" si="132"/>
        <v/>
      </c>
      <c r="BB79" s="8" t="str">
        <f t="shared" si="133"/>
        <v/>
      </c>
      <c r="BC79" s="8" t="str">
        <f t="shared" si="134"/>
        <v/>
      </c>
      <c r="BD79" s="8" t="str">
        <f t="shared" si="182"/>
        <v/>
      </c>
      <c r="BE79" s="8" t="str">
        <f t="shared" si="136"/>
        <v/>
      </c>
      <c r="BF79" s="8" t="str">
        <f t="shared" si="137"/>
        <v/>
      </c>
      <c r="BG79" s="8" t="str">
        <f t="shared" si="138"/>
        <v/>
      </c>
      <c r="BH79" s="8" t="str">
        <f t="shared" si="183"/>
        <v/>
      </c>
      <c r="BI79" s="8" t="str">
        <f t="shared" si="140"/>
        <v/>
      </c>
      <c r="BJ79" s="8" t="str">
        <f t="shared" si="141"/>
        <v/>
      </c>
      <c r="BK79" s="8" t="str">
        <f t="shared" si="142"/>
        <v/>
      </c>
      <c r="BL79" s="8" t="str">
        <f t="shared" si="184"/>
        <v/>
      </c>
      <c r="BM79" s="8" t="str">
        <f t="shared" si="144"/>
        <v/>
      </c>
      <c r="BN79" s="8" t="str">
        <f t="shared" si="145"/>
        <v/>
      </c>
      <c r="BO79" s="8" t="str">
        <f t="shared" si="146"/>
        <v/>
      </c>
      <c r="BP79" s="8" t="str">
        <f t="shared" si="147"/>
        <v/>
      </c>
      <c r="BQ79" s="8" t="str">
        <f t="shared" si="148"/>
        <v/>
      </c>
      <c r="BR79" s="8" t="str">
        <f t="shared" si="149"/>
        <v/>
      </c>
      <c r="BS79" s="8" t="str">
        <f t="shared" si="150"/>
        <v/>
      </c>
      <c r="BT79" s="8" t="str">
        <f t="shared" si="185"/>
        <v/>
      </c>
      <c r="BU79" s="8" t="str">
        <f t="shared" si="152"/>
        <v/>
      </c>
      <c r="BV79" s="8" t="str">
        <f t="shared" si="153"/>
        <v/>
      </c>
      <c r="BW79" s="8" t="str">
        <f t="shared" si="154"/>
        <v/>
      </c>
      <c r="BX79" s="8" t="str">
        <f t="shared" si="186"/>
        <v/>
      </c>
      <c r="BY79" s="8" t="str">
        <f t="shared" si="156"/>
        <v/>
      </c>
      <c r="BZ79" s="8" t="str">
        <f t="shared" si="157"/>
        <v/>
      </c>
      <c r="CA79" s="8" t="str">
        <f t="shared" si="158"/>
        <v/>
      </c>
      <c r="CB79" s="8" t="str">
        <f t="shared" si="187"/>
        <v/>
      </c>
      <c r="CC79" s="8" t="str">
        <f t="shared" si="160"/>
        <v/>
      </c>
      <c r="CD79" s="8" t="str">
        <f t="shared" si="161"/>
        <v/>
      </c>
      <c r="CE79" s="8" t="str">
        <f t="shared" si="162"/>
        <v/>
      </c>
      <c r="CF79" s="8" t="str">
        <f t="shared" si="188"/>
        <v/>
      </c>
      <c r="CG79" s="8" t="str">
        <f t="shared" si="164"/>
        <v/>
      </c>
      <c r="CH79" s="8" t="str">
        <f t="shared" si="165"/>
        <v/>
      </c>
      <c r="CI79" s="8" t="str">
        <f t="shared" si="166"/>
        <v/>
      </c>
      <c r="CJ79" s="8" t="str">
        <f t="shared" si="189"/>
        <v/>
      </c>
      <c r="CK79" s="8" t="str">
        <f t="shared" si="168"/>
        <v/>
      </c>
      <c r="CL79" s="8" t="str">
        <f t="shared" si="169"/>
        <v/>
      </c>
    </row>
    <row r="80" spans="4:90" x14ac:dyDescent="0.2">
      <c r="D80" s="37"/>
      <c r="E80" s="8">
        <f t="shared" si="190"/>
        <v>20</v>
      </c>
      <c r="G80" s="8" t="str">
        <f t="shared" si="191"/>
        <v/>
      </c>
      <c r="H80" s="8" t="str">
        <f t="shared" si="89"/>
        <v/>
      </c>
      <c r="I80" s="8" t="str">
        <f t="shared" si="192"/>
        <v/>
      </c>
      <c r="J80" s="8" t="str">
        <f t="shared" si="193"/>
        <v/>
      </c>
      <c r="K80" s="8" t="str">
        <f t="shared" si="90"/>
        <v/>
      </c>
      <c r="L80" s="8" t="str">
        <f t="shared" si="91"/>
        <v/>
      </c>
      <c r="M80" s="8" t="str">
        <f t="shared" si="92"/>
        <v>James Keal</v>
      </c>
      <c r="N80" s="8" t="str">
        <f t="shared" si="93"/>
        <v/>
      </c>
      <c r="O80" s="8" t="str">
        <f t="shared" si="94"/>
        <v/>
      </c>
      <c r="P80" s="8" t="str">
        <f t="shared" si="173"/>
        <v/>
      </c>
      <c r="Q80" s="8" t="str">
        <f t="shared" si="96"/>
        <v>James Keal</v>
      </c>
      <c r="R80" s="8" t="str">
        <f t="shared" si="97"/>
        <v/>
      </c>
      <c r="S80" s="8" t="str">
        <f t="shared" si="98"/>
        <v/>
      </c>
      <c r="T80" s="8" t="str">
        <f t="shared" si="174"/>
        <v/>
      </c>
      <c r="U80" s="8" t="str">
        <f t="shared" si="100"/>
        <v>James Keal</v>
      </c>
      <c r="V80" s="8" t="str">
        <f t="shared" si="101"/>
        <v/>
      </c>
      <c r="W80" s="8" t="str">
        <f t="shared" si="102"/>
        <v/>
      </c>
      <c r="X80" s="8" t="str">
        <f t="shared" si="175"/>
        <v/>
      </c>
      <c r="Y80" s="8" t="str">
        <f t="shared" si="104"/>
        <v/>
      </c>
      <c r="Z80" s="8" t="str">
        <f t="shared" si="105"/>
        <v/>
      </c>
      <c r="AA80" s="8" t="str">
        <f t="shared" si="106"/>
        <v/>
      </c>
      <c r="AB80" s="8" t="str">
        <f t="shared" si="176"/>
        <v/>
      </c>
      <c r="AC80" s="8" t="str">
        <f t="shared" si="108"/>
        <v/>
      </c>
      <c r="AD80" s="8" t="str">
        <f t="shared" si="109"/>
        <v/>
      </c>
      <c r="AE80" s="8" t="str">
        <f t="shared" si="110"/>
        <v/>
      </c>
      <c r="AF80" s="8" t="str">
        <f t="shared" si="177"/>
        <v/>
      </c>
      <c r="AG80" s="8" t="str">
        <f t="shared" si="112"/>
        <v>James Keal (1)</v>
      </c>
      <c r="AH80" s="8" t="str">
        <f t="shared" si="113"/>
        <v/>
      </c>
      <c r="AI80" s="8" t="str">
        <f t="shared" si="114"/>
        <v/>
      </c>
      <c r="AJ80" s="8" t="str">
        <f t="shared" si="115"/>
        <v/>
      </c>
      <c r="AK80" s="8" t="str">
        <f t="shared" si="116"/>
        <v/>
      </c>
      <c r="AL80" s="8" t="str">
        <f t="shared" si="117"/>
        <v/>
      </c>
      <c r="AM80" s="8" t="str">
        <f t="shared" si="118"/>
        <v/>
      </c>
      <c r="AN80" s="8" t="str">
        <f t="shared" si="178"/>
        <v/>
      </c>
      <c r="AO80" s="8" t="str">
        <f t="shared" si="120"/>
        <v/>
      </c>
      <c r="AP80" s="8" t="str">
        <f t="shared" si="121"/>
        <v/>
      </c>
      <c r="AQ80" s="8" t="str">
        <f t="shared" si="122"/>
        <v/>
      </c>
      <c r="AR80" s="8" t="str">
        <f t="shared" si="179"/>
        <v/>
      </c>
      <c r="AS80" s="8" t="str">
        <f t="shared" si="124"/>
        <v/>
      </c>
      <c r="AT80" s="8" t="str">
        <f t="shared" si="125"/>
        <v/>
      </c>
      <c r="AU80" s="8" t="str">
        <f t="shared" si="126"/>
        <v/>
      </c>
      <c r="AV80" s="8" t="str">
        <f t="shared" si="180"/>
        <v/>
      </c>
      <c r="AW80" s="8" t="str">
        <f t="shared" si="128"/>
        <v/>
      </c>
      <c r="AX80" s="8" t="str">
        <f t="shared" si="129"/>
        <v>James Keal</v>
      </c>
      <c r="AY80" s="8" t="str">
        <f t="shared" si="130"/>
        <v/>
      </c>
      <c r="AZ80" s="8" t="str">
        <f t="shared" si="181"/>
        <v/>
      </c>
      <c r="BA80" s="8" t="str">
        <f t="shared" si="132"/>
        <v/>
      </c>
      <c r="BB80" s="8" t="str">
        <f t="shared" si="133"/>
        <v/>
      </c>
      <c r="BC80" s="8" t="str">
        <f t="shared" si="134"/>
        <v/>
      </c>
      <c r="BD80" s="8" t="str">
        <f t="shared" si="182"/>
        <v/>
      </c>
      <c r="BE80" s="8" t="str">
        <f t="shared" si="136"/>
        <v/>
      </c>
      <c r="BF80" s="8" t="str">
        <f t="shared" si="137"/>
        <v/>
      </c>
      <c r="BG80" s="8" t="str">
        <f t="shared" si="138"/>
        <v/>
      </c>
      <c r="BH80" s="8" t="str">
        <f t="shared" si="183"/>
        <v/>
      </c>
      <c r="BI80" s="8" t="str">
        <f t="shared" si="140"/>
        <v/>
      </c>
      <c r="BJ80" s="8" t="str">
        <f t="shared" si="141"/>
        <v/>
      </c>
      <c r="BK80" s="8" t="str">
        <f t="shared" si="142"/>
        <v/>
      </c>
      <c r="BL80" s="8" t="str">
        <f t="shared" si="184"/>
        <v/>
      </c>
      <c r="BM80" s="8" t="str">
        <f t="shared" si="144"/>
        <v/>
      </c>
      <c r="BN80" s="8" t="str">
        <f t="shared" si="145"/>
        <v/>
      </c>
      <c r="BO80" s="8" t="str">
        <f t="shared" si="146"/>
        <v/>
      </c>
      <c r="BP80" s="8" t="str">
        <f t="shared" si="147"/>
        <v/>
      </c>
      <c r="BQ80" s="8" t="str">
        <f t="shared" si="148"/>
        <v/>
      </c>
      <c r="BR80" s="8" t="str">
        <f t="shared" si="149"/>
        <v/>
      </c>
      <c r="BS80" s="8" t="str">
        <f t="shared" si="150"/>
        <v/>
      </c>
      <c r="BT80" s="8" t="str">
        <f t="shared" si="185"/>
        <v/>
      </c>
      <c r="BU80" s="8" t="str">
        <f t="shared" si="152"/>
        <v>James Keal</v>
      </c>
      <c r="BV80" s="8" t="str">
        <f t="shared" si="153"/>
        <v/>
      </c>
      <c r="BW80" s="8" t="str">
        <f t="shared" si="154"/>
        <v/>
      </c>
      <c r="BX80" s="8" t="str">
        <f t="shared" si="186"/>
        <v/>
      </c>
      <c r="BY80" s="8" t="str">
        <f t="shared" si="156"/>
        <v/>
      </c>
      <c r="BZ80" s="8" t="str">
        <f t="shared" si="157"/>
        <v/>
      </c>
      <c r="CA80" s="8" t="str">
        <f t="shared" si="158"/>
        <v/>
      </c>
      <c r="CB80" s="8" t="str">
        <f t="shared" si="187"/>
        <v/>
      </c>
      <c r="CC80" s="8" t="str">
        <f t="shared" si="160"/>
        <v/>
      </c>
      <c r="CD80" s="8" t="str">
        <f t="shared" si="161"/>
        <v/>
      </c>
      <c r="CE80" s="8" t="str">
        <f t="shared" si="162"/>
        <v/>
      </c>
      <c r="CF80" s="8" t="str">
        <f t="shared" si="188"/>
        <v/>
      </c>
      <c r="CG80" s="8" t="str">
        <f t="shared" si="164"/>
        <v/>
      </c>
      <c r="CH80" s="8" t="str">
        <f t="shared" si="165"/>
        <v/>
      </c>
      <c r="CI80" s="8" t="str">
        <f t="shared" si="166"/>
        <v/>
      </c>
      <c r="CJ80" s="8" t="str">
        <f t="shared" si="189"/>
        <v/>
      </c>
      <c r="CK80" s="8" t="str">
        <f t="shared" si="168"/>
        <v>James Keal (1)</v>
      </c>
      <c r="CL80" s="8" t="str">
        <f t="shared" si="169"/>
        <v/>
      </c>
    </row>
    <row r="81" spans="4:90" x14ac:dyDescent="0.2">
      <c r="D81" s="37"/>
      <c r="E81" s="8">
        <f t="shared" si="190"/>
        <v>21</v>
      </c>
      <c r="G81" s="8" t="str">
        <f t="shared" si="191"/>
        <v/>
      </c>
      <c r="H81" s="8" t="str">
        <f t="shared" si="89"/>
        <v/>
      </c>
      <c r="I81" s="8" t="str">
        <f t="shared" si="192"/>
        <v/>
      </c>
      <c r="J81" s="8" t="str">
        <f t="shared" si="193"/>
        <v/>
      </c>
      <c r="K81" s="8" t="str">
        <f t="shared" si="90"/>
        <v/>
      </c>
      <c r="L81" s="8" t="str">
        <f t="shared" si="91"/>
        <v>Dara McCreary</v>
      </c>
      <c r="M81" s="8" t="str">
        <f t="shared" si="92"/>
        <v/>
      </c>
      <c r="N81" s="8" t="str">
        <f t="shared" si="93"/>
        <v/>
      </c>
      <c r="O81" s="8" t="str">
        <f t="shared" si="94"/>
        <v/>
      </c>
      <c r="P81" s="8" t="str">
        <f t="shared" si="173"/>
        <v>Dara McCreary</v>
      </c>
      <c r="Q81" s="8" t="str">
        <f t="shared" si="96"/>
        <v/>
      </c>
      <c r="R81" s="8" t="str">
        <f t="shared" si="97"/>
        <v/>
      </c>
      <c r="S81" s="8" t="str">
        <f t="shared" si="98"/>
        <v/>
      </c>
      <c r="T81" s="8" t="str">
        <f t="shared" si="174"/>
        <v>Dara McCreary</v>
      </c>
      <c r="U81" s="8" t="str">
        <f t="shared" si="100"/>
        <v/>
      </c>
      <c r="V81" s="8" t="str">
        <f t="shared" si="101"/>
        <v/>
      </c>
      <c r="W81" s="8" t="str">
        <f t="shared" si="102"/>
        <v/>
      </c>
      <c r="X81" s="8" t="str">
        <f t="shared" si="175"/>
        <v/>
      </c>
      <c r="Y81" s="8" t="str">
        <f t="shared" si="104"/>
        <v/>
      </c>
      <c r="Z81" s="8" t="str">
        <f t="shared" si="105"/>
        <v/>
      </c>
      <c r="AA81" s="8" t="str">
        <f t="shared" si="106"/>
        <v/>
      </c>
      <c r="AB81" s="8" t="str">
        <f t="shared" si="176"/>
        <v/>
      </c>
      <c r="AC81" s="8" t="str">
        <f t="shared" si="108"/>
        <v/>
      </c>
      <c r="AD81" s="8" t="str">
        <f t="shared" si="109"/>
        <v/>
      </c>
      <c r="AE81" s="8" t="str">
        <f t="shared" si="110"/>
        <v/>
      </c>
      <c r="AF81" s="8" t="str">
        <f t="shared" si="177"/>
        <v>Dara McCreary</v>
      </c>
      <c r="AG81" s="8" t="str">
        <f t="shared" si="112"/>
        <v/>
      </c>
      <c r="AH81" s="8" t="str">
        <f t="shared" si="113"/>
        <v/>
      </c>
      <c r="AI81" s="8" t="str">
        <f t="shared" si="114"/>
        <v/>
      </c>
      <c r="AJ81" s="8" t="str">
        <f t="shared" si="115"/>
        <v>Dara McCreary</v>
      </c>
      <c r="AK81" s="8" t="str">
        <f t="shared" si="116"/>
        <v/>
      </c>
      <c r="AL81" s="8" t="str">
        <f t="shared" si="117"/>
        <v/>
      </c>
      <c r="AM81" s="8" t="str">
        <f t="shared" si="118"/>
        <v/>
      </c>
      <c r="AN81" s="8" t="str">
        <f t="shared" si="178"/>
        <v/>
      </c>
      <c r="AO81" s="8" t="str">
        <f t="shared" si="120"/>
        <v/>
      </c>
      <c r="AP81" s="8" t="str">
        <f t="shared" si="121"/>
        <v/>
      </c>
      <c r="AQ81" s="8" t="str">
        <f t="shared" si="122"/>
        <v/>
      </c>
      <c r="AR81" s="8" t="str">
        <f t="shared" si="179"/>
        <v/>
      </c>
      <c r="AS81" s="8" t="str">
        <f t="shared" si="124"/>
        <v/>
      </c>
      <c r="AT81" s="8" t="str">
        <f t="shared" si="125"/>
        <v>Dara McCreary (1)</v>
      </c>
      <c r="AU81" s="8" t="str">
        <f t="shared" si="126"/>
        <v/>
      </c>
      <c r="AV81" s="8" t="str">
        <f t="shared" si="180"/>
        <v/>
      </c>
      <c r="AW81" s="8" t="str">
        <f t="shared" si="128"/>
        <v/>
      </c>
      <c r="AX81" s="8" t="str">
        <f t="shared" si="129"/>
        <v>Dara McCreary</v>
      </c>
      <c r="AY81" s="8" t="str">
        <f t="shared" si="130"/>
        <v/>
      </c>
      <c r="AZ81" s="8" t="str">
        <f t="shared" si="181"/>
        <v/>
      </c>
      <c r="BA81" s="8" t="str">
        <f t="shared" si="132"/>
        <v/>
      </c>
      <c r="BB81" s="8" t="str">
        <f t="shared" si="133"/>
        <v/>
      </c>
      <c r="BC81" s="8" t="str">
        <f t="shared" si="134"/>
        <v/>
      </c>
      <c r="BD81" s="8" t="str">
        <f t="shared" si="182"/>
        <v/>
      </c>
      <c r="BE81" s="8" t="str">
        <f t="shared" si="136"/>
        <v/>
      </c>
      <c r="BF81" s="8" t="str">
        <f t="shared" si="137"/>
        <v/>
      </c>
      <c r="BG81" s="8" t="str">
        <f t="shared" si="138"/>
        <v/>
      </c>
      <c r="BH81" s="8" t="str">
        <f t="shared" si="183"/>
        <v/>
      </c>
      <c r="BI81" s="8" t="str">
        <f t="shared" si="140"/>
        <v/>
      </c>
      <c r="BJ81" s="8" t="str">
        <f t="shared" si="141"/>
        <v/>
      </c>
      <c r="BK81" s="8" t="str">
        <f t="shared" si="142"/>
        <v/>
      </c>
      <c r="BL81" s="8" t="str">
        <f t="shared" si="184"/>
        <v/>
      </c>
      <c r="BM81" s="8" t="str">
        <f t="shared" si="144"/>
        <v/>
      </c>
      <c r="BN81" s="8" t="str">
        <f t="shared" si="145"/>
        <v/>
      </c>
      <c r="BO81" s="8" t="str">
        <f t="shared" si="146"/>
        <v/>
      </c>
      <c r="BP81" s="8" t="str">
        <f t="shared" si="147"/>
        <v/>
      </c>
      <c r="BQ81" s="8" t="str">
        <f t="shared" si="148"/>
        <v/>
      </c>
      <c r="BR81" s="8" t="str">
        <f t="shared" si="149"/>
        <v/>
      </c>
      <c r="BS81" s="8" t="str">
        <f t="shared" si="150"/>
        <v/>
      </c>
      <c r="BT81" s="8" t="str">
        <f t="shared" si="185"/>
        <v>Dara McCreary</v>
      </c>
      <c r="BU81" s="8" t="str">
        <f t="shared" si="152"/>
        <v/>
      </c>
      <c r="BV81" s="8" t="str">
        <f t="shared" si="153"/>
        <v/>
      </c>
      <c r="BW81" s="8" t="str">
        <f t="shared" si="154"/>
        <v/>
      </c>
      <c r="BX81" s="8" t="str">
        <f t="shared" si="186"/>
        <v/>
      </c>
      <c r="BY81" s="8" t="str">
        <f t="shared" si="156"/>
        <v>Dara McCreary</v>
      </c>
      <c r="BZ81" s="8" t="str">
        <f t="shared" si="157"/>
        <v/>
      </c>
      <c r="CA81" s="8" t="str">
        <f t="shared" si="158"/>
        <v/>
      </c>
      <c r="CB81" s="8" t="str">
        <f t="shared" si="187"/>
        <v>Dara McCreary</v>
      </c>
      <c r="CC81" s="8" t="str">
        <f t="shared" si="160"/>
        <v/>
      </c>
      <c r="CD81" s="8" t="str">
        <f t="shared" si="161"/>
        <v/>
      </c>
      <c r="CE81" s="8" t="str">
        <f t="shared" si="162"/>
        <v/>
      </c>
      <c r="CF81" s="8" t="str">
        <f t="shared" si="188"/>
        <v>Dara McCreary</v>
      </c>
      <c r="CG81" s="8" t="str">
        <f t="shared" si="164"/>
        <v/>
      </c>
      <c r="CH81" s="8" t="str">
        <f t="shared" si="165"/>
        <v/>
      </c>
      <c r="CI81" s="8" t="str">
        <f t="shared" si="166"/>
        <v/>
      </c>
      <c r="CJ81" s="8" t="str">
        <f t="shared" si="189"/>
        <v/>
      </c>
      <c r="CK81" s="8" t="str">
        <f t="shared" si="168"/>
        <v>Dara McCreary</v>
      </c>
      <c r="CL81" s="8" t="str">
        <f t="shared" si="169"/>
        <v/>
      </c>
    </row>
    <row r="82" spans="4:90" x14ac:dyDescent="0.2">
      <c r="D82" s="37"/>
      <c r="E82" s="8">
        <f t="shared" si="190"/>
        <v>22</v>
      </c>
      <c r="G82" s="8" t="str">
        <f t="shared" si="191"/>
        <v>Dan Murphy</v>
      </c>
      <c r="H82" s="8" t="str">
        <f t="shared" si="89"/>
        <v/>
      </c>
      <c r="I82" s="8" t="str">
        <f t="shared" si="192"/>
        <v/>
      </c>
      <c r="J82" s="8" t="str">
        <f t="shared" si="193"/>
        <v/>
      </c>
      <c r="K82" s="8" t="str">
        <f t="shared" si="90"/>
        <v>Dan Murphy</v>
      </c>
      <c r="L82" s="8" t="str">
        <f t="shared" si="91"/>
        <v/>
      </c>
      <c r="M82" s="8" t="str">
        <f t="shared" si="92"/>
        <v/>
      </c>
      <c r="N82" s="8" t="str">
        <f t="shared" si="93"/>
        <v/>
      </c>
      <c r="O82" s="8" t="str">
        <f t="shared" si="94"/>
        <v>Dan Murphy</v>
      </c>
      <c r="P82" s="8" t="str">
        <f t="shared" si="173"/>
        <v/>
      </c>
      <c r="Q82" s="8" t="str">
        <f t="shared" si="96"/>
        <v/>
      </c>
      <c r="R82" s="8" t="str">
        <f t="shared" si="97"/>
        <v/>
      </c>
      <c r="S82" s="8" t="str">
        <f t="shared" si="98"/>
        <v>Dan Murphy</v>
      </c>
      <c r="T82" s="8" t="str">
        <f t="shared" si="174"/>
        <v/>
      </c>
      <c r="U82" s="8" t="str">
        <f t="shared" si="100"/>
        <v/>
      </c>
      <c r="V82" s="8" t="str">
        <f t="shared" si="101"/>
        <v/>
      </c>
      <c r="W82" s="8" t="str">
        <f t="shared" si="102"/>
        <v/>
      </c>
      <c r="X82" s="8" t="str">
        <f t="shared" si="175"/>
        <v/>
      </c>
      <c r="Y82" s="8" t="str">
        <f t="shared" si="104"/>
        <v/>
      </c>
      <c r="Z82" s="8" t="str">
        <f t="shared" si="105"/>
        <v/>
      </c>
      <c r="AA82" s="8" t="str">
        <f t="shared" si="106"/>
        <v>Dan Murphy</v>
      </c>
      <c r="AB82" s="8" t="str">
        <f t="shared" si="176"/>
        <v/>
      </c>
      <c r="AC82" s="8" t="str">
        <f t="shared" si="108"/>
        <v/>
      </c>
      <c r="AD82" s="8" t="str">
        <f t="shared" si="109"/>
        <v/>
      </c>
      <c r="AE82" s="8" t="str">
        <f t="shared" si="110"/>
        <v>Dan Murphy</v>
      </c>
      <c r="AF82" s="8" t="str">
        <f t="shared" si="177"/>
        <v/>
      </c>
      <c r="AG82" s="8" t="str">
        <f t="shared" si="112"/>
        <v/>
      </c>
      <c r="AH82" s="8" t="str">
        <f t="shared" si="113"/>
        <v/>
      </c>
      <c r="AI82" s="8" t="str">
        <f t="shared" si="114"/>
        <v>Dan Murphy</v>
      </c>
      <c r="AJ82" s="8" t="str">
        <f t="shared" si="115"/>
        <v/>
      </c>
      <c r="AK82" s="8" t="str">
        <f t="shared" si="116"/>
        <v/>
      </c>
      <c r="AL82" s="8" t="str">
        <f t="shared" si="117"/>
        <v/>
      </c>
      <c r="AM82" s="8" t="str">
        <f t="shared" si="118"/>
        <v/>
      </c>
      <c r="AN82" s="8" t="str">
        <f t="shared" si="178"/>
        <v/>
      </c>
      <c r="AO82" s="8" t="str">
        <f t="shared" si="120"/>
        <v/>
      </c>
      <c r="AP82" s="8" t="str">
        <f t="shared" si="121"/>
        <v/>
      </c>
      <c r="AQ82" s="8" t="str">
        <f t="shared" si="122"/>
        <v>Dan Murphy</v>
      </c>
      <c r="AR82" s="8" t="str">
        <f t="shared" si="179"/>
        <v/>
      </c>
      <c r="AS82" s="8" t="str">
        <f t="shared" si="124"/>
        <v/>
      </c>
      <c r="AT82" s="8" t="str">
        <f t="shared" si="125"/>
        <v/>
      </c>
      <c r="AU82" s="8" t="str">
        <f t="shared" si="126"/>
        <v/>
      </c>
      <c r="AV82" s="8" t="str">
        <f t="shared" si="180"/>
        <v/>
      </c>
      <c r="AW82" s="8" t="str">
        <f t="shared" si="128"/>
        <v/>
      </c>
      <c r="AX82" s="8" t="str">
        <f t="shared" si="129"/>
        <v/>
      </c>
      <c r="AY82" s="8" t="str">
        <f t="shared" si="130"/>
        <v/>
      </c>
      <c r="AZ82" s="8" t="str">
        <f t="shared" si="181"/>
        <v/>
      </c>
      <c r="BA82" s="8" t="str">
        <f t="shared" si="132"/>
        <v/>
      </c>
      <c r="BB82" s="8" t="str">
        <f t="shared" si="133"/>
        <v/>
      </c>
      <c r="BC82" s="8" t="str">
        <f t="shared" si="134"/>
        <v/>
      </c>
      <c r="BD82" s="8" t="str">
        <f t="shared" si="182"/>
        <v/>
      </c>
      <c r="BE82" s="8" t="str">
        <f t="shared" si="136"/>
        <v/>
      </c>
      <c r="BF82" s="8" t="str">
        <f t="shared" si="137"/>
        <v/>
      </c>
      <c r="BG82" s="8" t="str">
        <f t="shared" si="138"/>
        <v/>
      </c>
      <c r="BH82" s="8" t="str">
        <f t="shared" si="183"/>
        <v/>
      </c>
      <c r="BI82" s="8" t="str">
        <f t="shared" si="140"/>
        <v/>
      </c>
      <c r="BJ82" s="8" t="str">
        <f t="shared" si="141"/>
        <v/>
      </c>
      <c r="BK82" s="8" t="str">
        <f t="shared" si="142"/>
        <v/>
      </c>
      <c r="BL82" s="8" t="str">
        <f t="shared" si="184"/>
        <v/>
      </c>
      <c r="BM82" s="8" t="str">
        <f t="shared" si="144"/>
        <v/>
      </c>
      <c r="BN82" s="8" t="str">
        <f t="shared" si="145"/>
        <v/>
      </c>
      <c r="BO82" s="8" t="str">
        <f t="shared" si="146"/>
        <v/>
      </c>
      <c r="BP82" s="8" t="str">
        <f t="shared" si="147"/>
        <v/>
      </c>
      <c r="BQ82" s="8" t="str">
        <f t="shared" si="148"/>
        <v/>
      </c>
      <c r="BR82" s="8" t="str">
        <f t="shared" si="149"/>
        <v/>
      </c>
      <c r="BS82" s="8" t="str">
        <f t="shared" si="150"/>
        <v/>
      </c>
      <c r="BT82" s="8" t="str">
        <f t="shared" si="185"/>
        <v/>
      </c>
      <c r="BU82" s="8" t="str">
        <f t="shared" si="152"/>
        <v/>
      </c>
      <c r="BV82" s="8" t="str">
        <f t="shared" si="153"/>
        <v/>
      </c>
      <c r="BW82" s="8" t="str">
        <f t="shared" si="154"/>
        <v/>
      </c>
      <c r="BX82" s="8" t="str">
        <f t="shared" si="186"/>
        <v/>
      </c>
      <c r="BY82" s="8" t="str">
        <f t="shared" si="156"/>
        <v/>
      </c>
      <c r="BZ82" s="8" t="str">
        <f t="shared" si="157"/>
        <v/>
      </c>
      <c r="CA82" s="8" t="str">
        <f t="shared" si="158"/>
        <v/>
      </c>
      <c r="CB82" s="8" t="str">
        <f t="shared" si="187"/>
        <v/>
      </c>
      <c r="CC82" s="8" t="str">
        <f t="shared" si="160"/>
        <v/>
      </c>
      <c r="CD82" s="8" t="str">
        <f t="shared" si="161"/>
        <v/>
      </c>
      <c r="CE82" s="8" t="str">
        <f t="shared" si="162"/>
        <v/>
      </c>
      <c r="CF82" s="8" t="str">
        <f t="shared" si="188"/>
        <v/>
      </c>
      <c r="CG82" s="8" t="str">
        <f t="shared" si="164"/>
        <v/>
      </c>
      <c r="CH82" s="8" t="str">
        <f t="shared" si="165"/>
        <v/>
      </c>
      <c r="CI82" s="8" t="str">
        <f t="shared" si="166"/>
        <v/>
      </c>
      <c r="CJ82" s="8" t="str">
        <f t="shared" si="189"/>
        <v/>
      </c>
      <c r="CK82" s="8" t="str">
        <f t="shared" si="168"/>
        <v/>
      </c>
      <c r="CL82" s="8" t="str">
        <f t="shared" si="169"/>
        <v/>
      </c>
    </row>
    <row r="83" spans="4:90" x14ac:dyDescent="0.2">
      <c r="D83" s="37"/>
      <c r="E83" s="8">
        <f t="shared" si="190"/>
        <v>23</v>
      </c>
      <c r="G83" s="8" t="str">
        <f t="shared" si="191"/>
        <v/>
      </c>
      <c r="H83" s="8" t="str">
        <f t="shared" si="89"/>
        <v/>
      </c>
      <c r="I83" s="8" t="str">
        <f t="shared" si="192"/>
        <v/>
      </c>
      <c r="J83" s="8" t="str">
        <f t="shared" si="193"/>
        <v>Darren Novell (1)</v>
      </c>
      <c r="K83" s="8" t="str">
        <f t="shared" si="90"/>
        <v/>
      </c>
      <c r="L83" s="8" t="str">
        <f t="shared" si="91"/>
        <v/>
      </c>
      <c r="M83" s="8" t="str">
        <f t="shared" si="92"/>
        <v/>
      </c>
      <c r="N83" s="8" t="str">
        <f t="shared" si="93"/>
        <v/>
      </c>
      <c r="O83" s="8" t="str">
        <f t="shared" si="94"/>
        <v/>
      </c>
      <c r="P83" s="8" t="str">
        <f t="shared" si="173"/>
        <v/>
      </c>
      <c r="Q83" s="8" t="str">
        <f t="shared" si="96"/>
        <v/>
      </c>
      <c r="R83" s="8" t="str">
        <f t="shared" si="97"/>
        <v>Darren Novell</v>
      </c>
      <c r="S83" s="8" t="str">
        <f t="shared" si="98"/>
        <v/>
      </c>
      <c r="T83" s="8" t="str">
        <f t="shared" si="174"/>
        <v/>
      </c>
      <c r="U83" s="8" t="str">
        <f t="shared" si="100"/>
        <v/>
      </c>
      <c r="V83" s="8" t="str">
        <f t="shared" si="101"/>
        <v>Darren Novell</v>
      </c>
      <c r="W83" s="8" t="str">
        <f t="shared" si="102"/>
        <v/>
      </c>
      <c r="X83" s="8" t="str">
        <f t="shared" si="175"/>
        <v/>
      </c>
      <c r="Y83" s="8" t="str">
        <f t="shared" si="104"/>
        <v/>
      </c>
      <c r="Z83" s="8" t="str">
        <f t="shared" si="105"/>
        <v/>
      </c>
      <c r="AA83" s="8" t="str">
        <f t="shared" si="106"/>
        <v/>
      </c>
      <c r="AB83" s="8" t="str">
        <f t="shared" si="176"/>
        <v/>
      </c>
      <c r="AC83" s="8" t="str">
        <f t="shared" si="108"/>
        <v/>
      </c>
      <c r="AD83" s="8" t="str">
        <f t="shared" si="109"/>
        <v>Darren Novell</v>
      </c>
      <c r="AE83" s="8" t="str">
        <f t="shared" si="110"/>
        <v/>
      </c>
      <c r="AF83" s="8" t="str">
        <f t="shared" si="177"/>
        <v/>
      </c>
      <c r="AG83" s="8" t="str">
        <f t="shared" si="112"/>
        <v/>
      </c>
      <c r="AH83" s="8" t="str">
        <f t="shared" si="113"/>
        <v>Darren Novell (1)</v>
      </c>
      <c r="AI83" s="8" t="str">
        <f t="shared" si="114"/>
        <v/>
      </c>
      <c r="AJ83" s="8" t="str">
        <f t="shared" si="115"/>
        <v/>
      </c>
      <c r="AK83" s="8" t="str">
        <f t="shared" si="116"/>
        <v/>
      </c>
      <c r="AL83" s="8" t="str">
        <f t="shared" si="117"/>
        <v/>
      </c>
      <c r="AM83" s="8" t="str">
        <f t="shared" si="118"/>
        <v/>
      </c>
      <c r="AN83" s="8" t="str">
        <f t="shared" si="178"/>
        <v/>
      </c>
      <c r="AO83" s="8" t="str">
        <f t="shared" si="120"/>
        <v/>
      </c>
      <c r="AP83" s="8" t="str">
        <f t="shared" si="121"/>
        <v/>
      </c>
      <c r="AQ83" s="8" t="str">
        <f t="shared" si="122"/>
        <v/>
      </c>
      <c r="AR83" s="8" t="str">
        <f t="shared" si="179"/>
        <v/>
      </c>
      <c r="AS83" s="8" t="str">
        <f t="shared" si="124"/>
        <v/>
      </c>
      <c r="AT83" s="8" t="str">
        <f t="shared" si="125"/>
        <v/>
      </c>
      <c r="AU83" s="8" t="str">
        <f t="shared" si="126"/>
        <v/>
      </c>
      <c r="AV83" s="8" t="str">
        <f t="shared" si="180"/>
        <v/>
      </c>
      <c r="AW83" s="8" t="str">
        <f t="shared" si="128"/>
        <v/>
      </c>
      <c r="AX83" s="8" t="str">
        <f t="shared" si="129"/>
        <v/>
      </c>
      <c r="AY83" s="8" t="str">
        <f t="shared" si="130"/>
        <v/>
      </c>
      <c r="AZ83" s="8" t="str">
        <f t="shared" si="181"/>
        <v/>
      </c>
      <c r="BA83" s="8" t="str">
        <f t="shared" si="132"/>
        <v/>
      </c>
      <c r="BB83" s="8" t="str">
        <f t="shared" si="133"/>
        <v>Darren Novell</v>
      </c>
      <c r="BC83" s="8" t="str">
        <f t="shared" si="134"/>
        <v/>
      </c>
      <c r="BD83" s="8" t="str">
        <f t="shared" si="182"/>
        <v/>
      </c>
      <c r="BE83" s="8" t="str">
        <f t="shared" si="136"/>
        <v/>
      </c>
      <c r="BF83" s="8" t="str">
        <f t="shared" si="137"/>
        <v/>
      </c>
      <c r="BG83" s="8" t="str">
        <f t="shared" si="138"/>
        <v/>
      </c>
      <c r="BH83" s="8" t="str">
        <f t="shared" si="183"/>
        <v/>
      </c>
      <c r="BI83" s="8" t="str">
        <f t="shared" si="140"/>
        <v/>
      </c>
      <c r="BJ83" s="8" t="str">
        <f t="shared" si="141"/>
        <v/>
      </c>
      <c r="BK83" s="8" t="str">
        <f t="shared" si="142"/>
        <v/>
      </c>
      <c r="BL83" s="8" t="str">
        <f t="shared" si="184"/>
        <v/>
      </c>
      <c r="BM83" s="8" t="str">
        <f t="shared" si="144"/>
        <v/>
      </c>
      <c r="BN83" s="8" t="str">
        <f t="shared" si="145"/>
        <v/>
      </c>
      <c r="BO83" s="8" t="str">
        <f t="shared" si="146"/>
        <v/>
      </c>
      <c r="BP83" s="8" t="str">
        <f t="shared" si="147"/>
        <v/>
      </c>
      <c r="BQ83" s="8" t="str">
        <f t="shared" si="148"/>
        <v/>
      </c>
      <c r="BR83" s="8" t="str">
        <f t="shared" si="149"/>
        <v>Darren Novell</v>
      </c>
      <c r="BS83" s="8" t="str">
        <f t="shared" si="150"/>
        <v/>
      </c>
      <c r="BT83" s="8" t="str">
        <f t="shared" si="185"/>
        <v/>
      </c>
      <c r="BU83" s="8" t="str">
        <f t="shared" si="152"/>
        <v/>
      </c>
      <c r="BV83" s="8" t="str">
        <f t="shared" si="153"/>
        <v>Darren Novell (1)</v>
      </c>
      <c r="BW83" s="8" t="str">
        <f t="shared" si="154"/>
        <v/>
      </c>
      <c r="BX83" s="8" t="str">
        <f t="shared" si="186"/>
        <v/>
      </c>
      <c r="BY83" s="8" t="str">
        <f t="shared" si="156"/>
        <v/>
      </c>
      <c r="BZ83" s="8" t="str">
        <f t="shared" si="157"/>
        <v/>
      </c>
      <c r="CA83" s="8" t="str">
        <f t="shared" si="158"/>
        <v/>
      </c>
      <c r="CB83" s="8" t="str">
        <f t="shared" si="187"/>
        <v/>
      </c>
      <c r="CC83" s="8" t="str">
        <f t="shared" si="160"/>
        <v/>
      </c>
      <c r="CD83" s="8" t="str">
        <f t="shared" si="161"/>
        <v/>
      </c>
      <c r="CE83" s="8" t="str">
        <f t="shared" si="162"/>
        <v/>
      </c>
      <c r="CF83" s="8" t="str">
        <f t="shared" si="188"/>
        <v/>
      </c>
      <c r="CG83" s="8" t="str">
        <f t="shared" si="164"/>
        <v/>
      </c>
      <c r="CH83" s="8" t="str">
        <f t="shared" si="165"/>
        <v/>
      </c>
      <c r="CI83" s="8" t="str">
        <f t="shared" si="166"/>
        <v/>
      </c>
      <c r="CJ83" s="8" t="str">
        <f t="shared" si="189"/>
        <v/>
      </c>
      <c r="CK83" s="8" t="str">
        <f t="shared" si="168"/>
        <v/>
      </c>
      <c r="CL83" s="8" t="str">
        <f t="shared" si="169"/>
        <v>Darren Novell</v>
      </c>
    </row>
    <row r="84" spans="4:90" x14ac:dyDescent="0.2">
      <c r="D84" s="37"/>
      <c r="E84" s="8">
        <f t="shared" si="190"/>
        <v>24</v>
      </c>
      <c r="G84" s="8" t="str">
        <f t="shared" si="191"/>
        <v/>
      </c>
      <c r="H84" s="8" t="str">
        <f t="shared" si="89"/>
        <v/>
      </c>
      <c r="I84" s="8" t="str">
        <f t="shared" si="192"/>
        <v/>
      </c>
      <c r="J84" s="8" t="str">
        <f t="shared" si="193"/>
        <v>Matt Payne</v>
      </c>
      <c r="K84" s="8" t="str">
        <f t="shared" si="90"/>
        <v/>
      </c>
      <c r="L84" s="8" t="str">
        <f t="shared" si="91"/>
        <v/>
      </c>
      <c r="M84" s="8" t="str">
        <f t="shared" si="92"/>
        <v/>
      </c>
      <c r="N84" s="8" t="str">
        <f t="shared" si="93"/>
        <v/>
      </c>
      <c r="O84" s="8" t="str">
        <f t="shared" si="94"/>
        <v/>
      </c>
      <c r="P84" s="8" t="str">
        <f t="shared" si="173"/>
        <v/>
      </c>
      <c r="Q84" s="8" t="str">
        <f t="shared" si="96"/>
        <v/>
      </c>
      <c r="R84" s="8" t="str">
        <f t="shared" si="97"/>
        <v>Matt Payne (2)</v>
      </c>
      <c r="S84" s="8" t="str">
        <f t="shared" si="98"/>
        <v/>
      </c>
      <c r="T84" s="8" t="str">
        <f t="shared" si="174"/>
        <v/>
      </c>
      <c r="U84" s="8" t="str">
        <f t="shared" si="100"/>
        <v/>
      </c>
      <c r="V84" s="8" t="str">
        <f t="shared" si="101"/>
        <v>Matt Payne (1)</v>
      </c>
      <c r="W84" s="8" t="str">
        <f t="shared" si="102"/>
        <v/>
      </c>
      <c r="X84" s="8" t="str">
        <f t="shared" si="175"/>
        <v/>
      </c>
      <c r="Y84" s="8" t="str">
        <f t="shared" si="104"/>
        <v/>
      </c>
      <c r="Z84" s="8" t="str">
        <f t="shared" si="105"/>
        <v/>
      </c>
      <c r="AA84" s="8" t="str">
        <f t="shared" si="106"/>
        <v/>
      </c>
      <c r="AB84" s="8" t="str">
        <f t="shared" si="176"/>
        <v/>
      </c>
      <c r="AC84" s="8" t="str">
        <f t="shared" si="108"/>
        <v/>
      </c>
      <c r="AD84" s="8" t="str">
        <f t="shared" si="109"/>
        <v/>
      </c>
      <c r="AE84" s="8" t="str">
        <f t="shared" si="110"/>
        <v/>
      </c>
      <c r="AF84" s="8" t="str">
        <f t="shared" si="177"/>
        <v/>
      </c>
      <c r="AG84" s="8" t="str">
        <f t="shared" si="112"/>
        <v>Matt Payne (4)</v>
      </c>
      <c r="AH84" s="8" t="str">
        <f t="shared" si="113"/>
        <v/>
      </c>
      <c r="AI84" s="8" t="str">
        <f t="shared" si="114"/>
        <v/>
      </c>
      <c r="AJ84" s="8" t="str">
        <f t="shared" si="115"/>
        <v/>
      </c>
      <c r="AK84" s="8" t="str">
        <f t="shared" si="116"/>
        <v/>
      </c>
      <c r="AL84" s="8" t="str">
        <f t="shared" si="117"/>
        <v>Matt Payne</v>
      </c>
      <c r="AM84" s="8" t="str">
        <f t="shared" si="118"/>
        <v/>
      </c>
      <c r="AN84" s="8" t="str">
        <f t="shared" si="178"/>
        <v/>
      </c>
      <c r="AO84" s="8" t="str">
        <f t="shared" si="120"/>
        <v/>
      </c>
      <c r="AP84" s="8" t="str">
        <f t="shared" si="121"/>
        <v/>
      </c>
      <c r="AQ84" s="8" t="str">
        <f t="shared" si="122"/>
        <v/>
      </c>
      <c r="AR84" s="8" t="str">
        <f t="shared" si="179"/>
        <v/>
      </c>
      <c r="AS84" s="8" t="str">
        <f t="shared" si="124"/>
        <v/>
      </c>
      <c r="AT84" s="8" t="str">
        <f t="shared" si="125"/>
        <v/>
      </c>
      <c r="AU84" s="8" t="str">
        <f t="shared" si="126"/>
        <v/>
      </c>
      <c r="AV84" s="8" t="str">
        <f t="shared" si="180"/>
        <v/>
      </c>
      <c r="AW84" s="8" t="str">
        <f t="shared" si="128"/>
        <v/>
      </c>
      <c r="AX84" s="8" t="str">
        <f t="shared" si="129"/>
        <v/>
      </c>
      <c r="AY84" s="8" t="str">
        <f t="shared" si="130"/>
        <v/>
      </c>
      <c r="AZ84" s="8" t="str">
        <f t="shared" si="181"/>
        <v/>
      </c>
      <c r="BA84" s="8" t="str">
        <f t="shared" si="132"/>
        <v/>
      </c>
      <c r="BB84" s="8" t="str">
        <f t="shared" si="133"/>
        <v/>
      </c>
      <c r="BC84" s="8" t="str">
        <f t="shared" si="134"/>
        <v/>
      </c>
      <c r="BD84" s="8" t="str">
        <f t="shared" si="182"/>
        <v/>
      </c>
      <c r="BE84" s="8" t="str">
        <f t="shared" si="136"/>
        <v/>
      </c>
      <c r="BF84" s="8" t="str">
        <f t="shared" si="137"/>
        <v/>
      </c>
      <c r="BG84" s="8" t="str">
        <f t="shared" si="138"/>
        <v/>
      </c>
      <c r="BH84" s="8" t="str">
        <f t="shared" si="183"/>
        <v/>
      </c>
      <c r="BI84" s="8" t="str">
        <f t="shared" si="140"/>
        <v/>
      </c>
      <c r="BJ84" s="8" t="str">
        <f t="shared" si="141"/>
        <v/>
      </c>
      <c r="BK84" s="8" t="str">
        <f t="shared" si="142"/>
        <v/>
      </c>
      <c r="BL84" s="8" t="str">
        <f t="shared" si="184"/>
        <v/>
      </c>
      <c r="BM84" s="8" t="str">
        <f t="shared" si="144"/>
        <v/>
      </c>
      <c r="BN84" s="8" t="str">
        <f t="shared" si="145"/>
        <v/>
      </c>
      <c r="BO84" s="8" t="str">
        <f t="shared" si="146"/>
        <v/>
      </c>
      <c r="BP84" s="8" t="str">
        <f t="shared" si="147"/>
        <v/>
      </c>
      <c r="BQ84" s="8" t="str">
        <f t="shared" si="148"/>
        <v/>
      </c>
      <c r="BR84" s="8" t="str">
        <f t="shared" si="149"/>
        <v/>
      </c>
      <c r="BS84" s="8" t="str">
        <f t="shared" si="150"/>
        <v/>
      </c>
      <c r="BT84" s="8" t="str">
        <f t="shared" si="185"/>
        <v/>
      </c>
      <c r="BU84" s="8" t="str">
        <f t="shared" si="152"/>
        <v/>
      </c>
      <c r="BV84" s="8" t="str">
        <f t="shared" si="153"/>
        <v/>
      </c>
      <c r="BW84" s="8" t="str">
        <f t="shared" si="154"/>
        <v/>
      </c>
      <c r="BX84" s="8" t="str">
        <f t="shared" si="186"/>
        <v/>
      </c>
      <c r="BY84" s="8" t="str">
        <f t="shared" si="156"/>
        <v/>
      </c>
      <c r="BZ84" s="8" t="str">
        <f t="shared" si="157"/>
        <v/>
      </c>
      <c r="CA84" s="8" t="str">
        <f t="shared" si="158"/>
        <v/>
      </c>
      <c r="CB84" s="8" t="str">
        <f t="shared" si="187"/>
        <v/>
      </c>
      <c r="CC84" s="8" t="str">
        <f t="shared" si="160"/>
        <v/>
      </c>
      <c r="CD84" s="8" t="str">
        <f t="shared" si="161"/>
        <v/>
      </c>
      <c r="CE84" s="8" t="str">
        <f t="shared" si="162"/>
        <v/>
      </c>
      <c r="CF84" s="8" t="str">
        <f t="shared" si="188"/>
        <v/>
      </c>
      <c r="CG84" s="8" t="str">
        <f t="shared" si="164"/>
        <v/>
      </c>
      <c r="CH84" s="8" t="str">
        <f t="shared" si="165"/>
        <v/>
      </c>
      <c r="CI84" s="8" t="str">
        <f t="shared" si="166"/>
        <v/>
      </c>
      <c r="CJ84" s="8" t="str">
        <f t="shared" si="189"/>
        <v/>
      </c>
      <c r="CK84" s="8" t="str">
        <f t="shared" si="168"/>
        <v/>
      </c>
      <c r="CL84" s="8" t="str">
        <f t="shared" si="169"/>
        <v/>
      </c>
    </row>
    <row r="85" spans="4:90" x14ac:dyDescent="0.2">
      <c r="D85" s="37"/>
      <c r="E85" s="8">
        <f t="shared" si="190"/>
        <v>25</v>
      </c>
      <c r="G85" s="8" t="str">
        <f t="shared" si="191"/>
        <v/>
      </c>
      <c r="H85" s="8" t="str">
        <f t="shared" si="89"/>
        <v>Matt Porter</v>
      </c>
      <c r="I85" s="8" t="str">
        <f t="shared" si="192"/>
        <v/>
      </c>
      <c r="J85" s="8" t="str">
        <f t="shared" si="193"/>
        <v/>
      </c>
      <c r="K85" s="8" t="str">
        <f t="shared" si="90"/>
        <v/>
      </c>
      <c r="L85" s="8" t="str">
        <f t="shared" si="91"/>
        <v/>
      </c>
      <c r="M85" s="8" t="str">
        <f t="shared" si="92"/>
        <v/>
      </c>
      <c r="N85" s="8" t="str">
        <f t="shared" si="93"/>
        <v/>
      </c>
      <c r="O85" s="8" t="str">
        <f t="shared" si="94"/>
        <v/>
      </c>
      <c r="P85" s="8" t="str">
        <f t="shared" si="173"/>
        <v>Matt Porter</v>
      </c>
      <c r="Q85" s="8" t="str">
        <f t="shared" si="96"/>
        <v/>
      </c>
      <c r="R85" s="8" t="str">
        <f t="shared" si="97"/>
        <v/>
      </c>
      <c r="S85" s="8" t="str">
        <f t="shared" si="98"/>
        <v/>
      </c>
      <c r="T85" s="8" t="str">
        <f t="shared" si="174"/>
        <v/>
      </c>
      <c r="U85" s="8" t="str">
        <f t="shared" si="100"/>
        <v/>
      </c>
      <c r="V85" s="8" t="str">
        <f t="shared" si="101"/>
        <v/>
      </c>
      <c r="W85" s="8" t="str">
        <f t="shared" si="102"/>
        <v/>
      </c>
      <c r="X85" s="8" t="str">
        <f t="shared" si="175"/>
        <v/>
      </c>
      <c r="Y85" s="8" t="str">
        <f t="shared" si="104"/>
        <v/>
      </c>
      <c r="Z85" s="8" t="str">
        <f t="shared" si="105"/>
        <v/>
      </c>
      <c r="AA85" s="8" t="str">
        <f t="shared" si="106"/>
        <v/>
      </c>
      <c r="AB85" s="8" t="str">
        <f t="shared" si="176"/>
        <v/>
      </c>
      <c r="AC85" s="8" t="str">
        <f t="shared" si="108"/>
        <v/>
      </c>
      <c r="AD85" s="8" t="str">
        <f t="shared" si="109"/>
        <v/>
      </c>
      <c r="AE85" s="8" t="str">
        <f t="shared" si="110"/>
        <v/>
      </c>
      <c r="AF85" s="8" t="str">
        <f t="shared" si="177"/>
        <v/>
      </c>
      <c r="AG85" s="8" t="str">
        <f t="shared" si="112"/>
        <v/>
      </c>
      <c r="AH85" s="8" t="str">
        <f t="shared" si="113"/>
        <v/>
      </c>
      <c r="AI85" s="8" t="str">
        <f t="shared" si="114"/>
        <v/>
      </c>
      <c r="AJ85" s="8" t="str">
        <f t="shared" si="115"/>
        <v/>
      </c>
      <c r="AK85" s="8" t="str">
        <f t="shared" si="116"/>
        <v/>
      </c>
      <c r="AL85" s="8" t="str">
        <f t="shared" si="117"/>
        <v/>
      </c>
      <c r="AM85" s="8" t="str">
        <f t="shared" si="118"/>
        <v/>
      </c>
      <c r="AN85" s="8" t="str">
        <f t="shared" si="178"/>
        <v/>
      </c>
      <c r="AO85" s="8" t="str">
        <f t="shared" si="120"/>
        <v/>
      </c>
      <c r="AP85" s="8" t="str">
        <f t="shared" si="121"/>
        <v/>
      </c>
      <c r="AQ85" s="8" t="str">
        <f t="shared" si="122"/>
        <v/>
      </c>
      <c r="AR85" s="8" t="str">
        <f t="shared" si="179"/>
        <v/>
      </c>
      <c r="AS85" s="8" t="str">
        <f t="shared" si="124"/>
        <v/>
      </c>
      <c r="AT85" s="8" t="str">
        <f t="shared" si="125"/>
        <v/>
      </c>
      <c r="AU85" s="8" t="str">
        <f t="shared" si="126"/>
        <v/>
      </c>
      <c r="AV85" s="8" t="str">
        <f t="shared" si="180"/>
        <v/>
      </c>
      <c r="AW85" s="8" t="str">
        <f t="shared" si="128"/>
        <v/>
      </c>
      <c r="AX85" s="8" t="str">
        <f t="shared" si="129"/>
        <v/>
      </c>
      <c r="AY85" s="8" t="str">
        <f t="shared" si="130"/>
        <v/>
      </c>
      <c r="AZ85" s="8" t="str">
        <f t="shared" si="181"/>
        <v/>
      </c>
      <c r="BA85" s="8" t="str">
        <f t="shared" si="132"/>
        <v/>
      </c>
      <c r="BB85" s="8" t="str">
        <f t="shared" si="133"/>
        <v/>
      </c>
      <c r="BC85" s="8" t="str">
        <f t="shared" si="134"/>
        <v/>
      </c>
      <c r="BD85" s="8" t="str">
        <f t="shared" si="182"/>
        <v/>
      </c>
      <c r="BE85" s="8" t="str">
        <f t="shared" si="136"/>
        <v/>
      </c>
      <c r="BF85" s="8" t="str">
        <f t="shared" si="137"/>
        <v/>
      </c>
      <c r="BG85" s="8" t="str">
        <f t="shared" si="138"/>
        <v/>
      </c>
      <c r="BH85" s="8" t="str">
        <f t="shared" si="183"/>
        <v/>
      </c>
      <c r="BI85" s="8" t="str">
        <f t="shared" si="140"/>
        <v/>
      </c>
      <c r="BJ85" s="8" t="str">
        <f t="shared" si="141"/>
        <v/>
      </c>
      <c r="BK85" s="8" t="str">
        <f t="shared" si="142"/>
        <v/>
      </c>
      <c r="BL85" s="8" t="str">
        <f t="shared" si="184"/>
        <v/>
      </c>
      <c r="BM85" s="8" t="str">
        <f t="shared" si="144"/>
        <v/>
      </c>
      <c r="BN85" s="8" t="str">
        <f t="shared" si="145"/>
        <v/>
      </c>
      <c r="BO85" s="8" t="str">
        <f t="shared" si="146"/>
        <v/>
      </c>
      <c r="BP85" s="8" t="str">
        <f t="shared" si="147"/>
        <v/>
      </c>
      <c r="BQ85" s="8" t="str">
        <f t="shared" si="148"/>
        <v/>
      </c>
      <c r="BR85" s="8" t="str">
        <f t="shared" si="149"/>
        <v/>
      </c>
      <c r="BS85" s="8" t="str">
        <f t="shared" si="150"/>
        <v/>
      </c>
      <c r="BT85" s="8" t="str">
        <f t="shared" si="185"/>
        <v/>
      </c>
      <c r="BU85" s="8" t="str">
        <f t="shared" si="152"/>
        <v/>
      </c>
      <c r="BV85" s="8" t="str">
        <f t="shared" si="153"/>
        <v/>
      </c>
      <c r="BW85" s="8" t="str">
        <f t="shared" si="154"/>
        <v/>
      </c>
      <c r="BX85" s="8" t="str">
        <f t="shared" si="186"/>
        <v>Matt Porter</v>
      </c>
      <c r="BY85" s="8" t="str">
        <f t="shared" si="156"/>
        <v/>
      </c>
      <c r="BZ85" s="8" t="str">
        <f t="shared" si="157"/>
        <v/>
      </c>
      <c r="CA85" s="8" t="str">
        <f t="shared" si="158"/>
        <v/>
      </c>
      <c r="CB85" s="8" t="str">
        <f t="shared" si="187"/>
        <v>Matt Porter</v>
      </c>
      <c r="CC85" s="8" t="str">
        <f t="shared" si="160"/>
        <v/>
      </c>
      <c r="CD85" s="8" t="str">
        <f t="shared" si="161"/>
        <v/>
      </c>
      <c r="CE85" s="8" t="str">
        <f t="shared" si="162"/>
        <v/>
      </c>
      <c r="CF85" s="8" t="str">
        <f t="shared" si="188"/>
        <v/>
      </c>
      <c r="CG85" s="8" t="str">
        <f t="shared" si="164"/>
        <v/>
      </c>
      <c r="CH85" s="8" t="str">
        <f t="shared" si="165"/>
        <v/>
      </c>
      <c r="CI85" s="8" t="str">
        <f t="shared" si="166"/>
        <v/>
      </c>
      <c r="CJ85" s="8" t="str">
        <f t="shared" si="189"/>
        <v/>
      </c>
      <c r="CK85" s="8" t="str">
        <f t="shared" si="168"/>
        <v/>
      </c>
      <c r="CL85" s="8" t="str">
        <f t="shared" si="169"/>
        <v/>
      </c>
    </row>
    <row r="86" spans="4:90" x14ac:dyDescent="0.2">
      <c r="D86" s="37"/>
      <c r="E86" s="8">
        <f t="shared" si="190"/>
        <v>26</v>
      </c>
      <c r="G86" s="8" t="str">
        <f t="shared" si="191"/>
        <v/>
      </c>
      <c r="H86" s="8" t="str">
        <f t="shared" si="89"/>
        <v/>
      </c>
      <c r="I86" s="8" t="str">
        <f t="shared" si="192"/>
        <v/>
      </c>
      <c r="J86" s="8" t="str">
        <f t="shared" si="193"/>
        <v/>
      </c>
      <c r="K86" s="8" t="str">
        <f t="shared" si="90"/>
        <v/>
      </c>
      <c r="L86" s="8" t="str">
        <f t="shared" si="91"/>
        <v/>
      </c>
      <c r="M86" s="8" t="str">
        <f t="shared" si="92"/>
        <v/>
      </c>
      <c r="N86" s="8" t="str">
        <f t="shared" si="93"/>
        <v/>
      </c>
      <c r="O86" s="8" t="str">
        <f t="shared" si="94"/>
        <v/>
      </c>
      <c r="P86" s="8" t="str">
        <f t="shared" si="173"/>
        <v/>
      </c>
      <c r="Q86" s="8" t="str">
        <f t="shared" si="96"/>
        <v/>
      </c>
      <c r="R86" s="8" t="str">
        <f t="shared" si="97"/>
        <v/>
      </c>
      <c r="S86" s="8" t="str">
        <f t="shared" si="98"/>
        <v/>
      </c>
      <c r="T86" s="8" t="str">
        <f t="shared" si="174"/>
        <v/>
      </c>
      <c r="U86" s="8" t="str">
        <f t="shared" si="100"/>
        <v/>
      </c>
      <c r="V86" s="8" t="str">
        <f t="shared" si="101"/>
        <v/>
      </c>
      <c r="W86" s="8" t="str">
        <f t="shared" si="102"/>
        <v/>
      </c>
      <c r="X86" s="8" t="str">
        <f t="shared" si="175"/>
        <v/>
      </c>
      <c r="Y86" s="8" t="str">
        <f t="shared" si="104"/>
        <v/>
      </c>
      <c r="Z86" s="8" t="str">
        <f t="shared" si="105"/>
        <v/>
      </c>
      <c r="AA86" s="8" t="str">
        <f t="shared" si="106"/>
        <v/>
      </c>
      <c r="AB86" s="8" t="str">
        <f t="shared" si="176"/>
        <v/>
      </c>
      <c r="AC86" s="8" t="str">
        <f t="shared" si="108"/>
        <v/>
      </c>
      <c r="AD86" s="8" t="str">
        <f t="shared" si="109"/>
        <v/>
      </c>
      <c r="AE86" s="8" t="str">
        <f t="shared" si="110"/>
        <v/>
      </c>
      <c r="AF86" s="8" t="str">
        <f t="shared" si="177"/>
        <v/>
      </c>
      <c r="AG86" s="8" t="str">
        <f t="shared" si="112"/>
        <v/>
      </c>
      <c r="AH86" s="8" t="str">
        <f t="shared" si="113"/>
        <v/>
      </c>
      <c r="AI86" s="8" t="str">
        <f t="shared" si="114"/>
        <v/>
      </c>
      <c r="AJ86" s="8" t="str">
        <f t="shared" si="115"/>
        <v/>
      </c>
      <c r="AK86" s="8" t="str">
        <f t="shared" si="116"/>
        <v/>
      </c>
      <c r="AL86" s="8" t="str">
        <f t="shared" si="117"/>
        <v/>
      </c>
      <c r="AM86" s="8" t="str">
        <f t="shared" si="118"/>
        <v/>
      </c>
      <c r="AN86" s="8" t="str">
        <f t="shared" si="178"/>
        <v/>
      </c>
      <c r="AO86" s="8" t="str">
        <f t="shared" si="120"/>
        <v/>
      </c>
      <c r="AP86" s="8" t="str">
        <f t="shared" si="121"/>
        <v/>
      </c>
      <c r="AQ86" s="8" t="str">
        <f t="shared" si="122"/>
        <v/>
      </c>
      <c r="AR86" s="8" t="str">
        <f t="shared" si="179"/>
        <v/>
      </c>
      <c r="AS86" s="8" t="str">
        <f t="shared" si="124"/>
        <v/>
      </c>
      <c r="AT86" s="8" t="str">
        <f t="shared" si="125"/>
        <v/>
      </c>
      <c r="AU86" s="8" t="str">
        <f t="shared" si="126"/>
        <v>Eliot Pugh</v>
      </c>
      <c r="AV86" s="8" t="str">
        <f t="shared" si="180"/>
        <v/>
      </c>
      <c r="AW86" s="8" t="str">
        <f t="shared" si="128"/>
        <v/>
      </c>
      <c r="AX86" s="8" t="str">
        <f t="shared" si="129"/>
        <v/>
      </c>
      <c r="AY86" s="8" t="str">
        <f t="shared" si="130"/>
        <v>Eliot Pugh</v>
      </c>
      <c r="AZ86" s="8" t="str">
        <f t="shared" si="181"/>
        <v/>
      </c>
      <c r="BA86" s="8" t="str">
        <f t="shared" si="132"/>
        <v/>
      </c>
      <c r="BB86" s="8" t="str">
        <f t="shared" si="133"/>
        <v/>
      </c>
      <c r="BC86" s="8" t="str">
        <f t="shared" si="134"/>
        <v/>
      </c>
      <c r="BD86" s="8" t="str">
        <f t="shared" si="182"/>
        <v/>
      </c>
      <c r="BE86" s="8" t="str">
        <f t="shared" si="136"/>
        <v/>
      </c>
      <c r="BF86" s="8" t="str">
        <f t="shared" si="137"/>
        <v/>
      </c>
      <c r="BG86" s="8" t="str">
        <f t="shared" si="138"/>
        <v/>
      </c>
      <c r="BH86" s="8" t="str">
        <f t="shared" si="183"/>
        <v/>
      </c>
      <c r="BI86" s="8" t="str">
        <f t="shared" si="140"/>
        <v/>
      </c>
      <c r="BJ86" s="8" t="str">
        <f t="shared" si="141"/>
        <v/>
      </c>
      <c r="BK86" s="8" t="str">
        <f t="shared" si="142"/>
        <v/>
      </c>
      <c r="BL86" s="8" t="str">
        <f t="shared" si="184"/>
        <v/>
      </c>
      <c r="BM86" s="8" t="str">
        <f t="shared" si="144"/>
        <v/>
      </c>
      <c r="BN86" s="8" t="str">
        <f t="shared" si="145"/>
        <v/>
      </c>
      <c r="BO86" s="8" t="str">
        <f t="shared" si="146"/>
        <v>Eliot Pugh</v>
      </c>
      <c r="BP86" s="8" t="str">
        <f t="shared" si="147"/>
        <v/>
      </c>
      <c r="BQ86" s="8" t="str">
        <f t="shared" si="148"/>
        <v/>
      </c>
      <c r="BR86" s="8" t="str">
        <f t="shared" si="149"/>
        <v/>
      </c>
      <c r="BS86" s="8" t="str">
        <f t="shared" si="150"/>
        <v>Eliot Pugh</v>
      </c>
      <c r="BT86" s="8" t="str">
        <f t="shared" si="185"/>
        <v/>
      </c>
      <c r="BU86" s="8" t="str">
        <f t="shared" si="152"/>
        <v/>
      </c>
      <c r="BV86" s="8" t="str">
        <f t="shared" si="153"/>
        <v/>
      </c>
      <c r="BW86" s="8" t="str">
        <f t="shared" si="154"/>
        <v>Eliot Pugh</v>
      </c>
      <c r="BX86" s="8" t="str">
        <f t="shared" si="186"/>
        <v/>
      </c>
      <c r="BY86" s="8" t="str">
        <f t="shared" si="156"/>
        <v/>
      </c>
      <c r="BZ86" s="8" t="str">
        <f t="shared" si="157"/>
        <v/>
      </c>
      <c r="CA86" s="8" t="str">
        <f t="shared" si="158"/>
        <v>Eliot Pugh</v>
      </c>
      <c r="CB86" s="8" t="str">
        <f t="shared" si="187"/>
        <v/>
      </c>
      <c r="CC86" s="8" t="str">
        <f t="shared" si="160"/>
        <v/>
      </c>
      <c r="CD86" s="8" t="str">
        <f t="shared" si="161"/>
        <v/>
      </c>
      <c r="CE86" s="8" t="str">
        <f t="shared" si="162"/>
        <v>Eliot Pugh</v>
      </c>
      <c r="CF86" s="8" t="str">
        <f t="shared" si="188"/>
        <v/>
      </c>
      <c r="CG86" s="8" t="str">
        <f t="shared" si="164"/>
        <v/>
      </c>
      <c r="CH86" s="8" t="str">
        <f t="shared" si="165"/>
        <v/>
      </c>
      <c r="CI86" s="8" t="str">
        <f t="shared" si="166"/>
        <v>Eliot Pugh</v>
      </c>
      <c r="CJ86" s="8" t="str">
        <f t="shared" si="189"/>
        <v/>
      </c>
      <c r="CK86" s="8" t="str">
        <f t="shared" si="168"/>
        <v/>
      </c>
      <c r="CL86" s="8" t="str">
        <f t="shared" si="169"/>
        <v/>
      </c>
    </row>
    <row r="87" spans="4:90" x14ac:dyDescent="0.2">
      <c r="D87" s="37"/>
      <c r="E87" s="8">
        <f t="shared" si="190"/>
        <v>27</v>
      </c>
      <c r="G87" s="8" t="str">
        <f t="shared" si="191"/>
        <v/>
      </c>
      <c r="H87" s="8" t="str">
        <f t="shared" si="89"/>
        <v>Dave Slaughter</v>
      </c>
      <c r="I87" s="8" t="str">
        <f t="shared" si="192"/>
        <v/>
      </c>
      <c r="J87" s="8" t="str">
        <f t="shared" si="193"/>
        <v/>
      </c>
      <c r="K87" s="8" t="str">
        <f t="shared" si="90"/>
        <v/>
      </c>
      <c r="L87" s="8" t="str">
        <f t="shared" si="91"/>
        <v>Dave Slaughter</v>
      </c>
      <c r="M87" s="8" t="str">
        <f t="shared" si="92"/>
        <v/>
      </c>
      <c r="N87" s="8" t="str">
        <f t="shared" si="93"/>
        <v/>
      </c>
      <c r="O87" s="8" t="str">
        <f t="shared" si="94"/>
        <v/>
      </c>
      <c r="P87" s="8" t="str">
        <f t="shared" si="173"/>
        <v/>
      </c>
      <c r="Q87" s="8" t="str">
        <f t="shared" si="96"/>
        <v/>
      </c>
      <c r="R87" s="8" t="str">
        <f t="shared" si="97"/>
        <v/>
      </c>
      <c r="S87" s="8" t="str">
        <f t="shared" si="98"/>
        <v/>
      </c>
      <c r="T87" s="8" t="str">
        <f t="shared" si="174"/>
        <v/>
      </c>
      <c r="U87" s="8" t="str">
        <f t="shared" si="100"/>
        <v/>
      </c>
      <c r="V87" s="8" t="str">
        <f t="shared" si="101"/>
        <v/>
      </c>
      <c r="W87" s="8" t="str">
        <f t="shared" si="102"/>
        <v/>
      </c>
      <c r="X87" s="8" t="str">
        <f t="shared" si="175"/>
        <v/>
      </c>
      <c r="Y87" s="8" t="str">
        <f t="shared" si="104"/>
        <v/>
      </c>
      <c r="Z87" s="8" t="str">
        <f t="shared" si="105"/>
        <v/>
      </c>
      <c r="AA87" s="8" t="str">
        <f t="shared" si="106"/>
        <v/>
      </c>
      <c r="AB87" s="8" t="str">
        <f t="shared" si="176"/>
        <v>Dave Slaughter</v>
      </c>
      <c r="AC87" s="8" t="str">
        <f t="shared" si="108"/>
        <v/>
      </c>
      <c r="AD87" s="8" t="str">
        <f t="shared" si="109"/>
        <v/>
      </c>
      <c r="AE87" s="8" t="str">
        <f t="shared" si="110"/>
        <v/>
      </c>
      <c r="AF87" s="8" t="str">
        <f t="shared" si="177"/>
        <v>Dave Slaughter</v>
      </c>
      <c r="AG87" s="8" t="str">
        <f t="shared" si="112"/>
        <v/>
      </c>
      <c r="AH87" s="8" t="str">
        <f t="shared" si="113"/>
        <v/>
      </c>
      <c r="AI87" s="8" t="str">
        <f t="shared" si="114"/>
        <v/>
      </c>
      <c r="AJ87" s="8" t="str">
        <f t="shared" si="115"/>
        <v>Dave Slaughter</v>
      </c>
      <c r="AK87" s="8" t="str">
        <f t="shared" si="116"/>
        <v/>
      </c>
      <c r="AL87" s="8" t="str">
        <f t="shared" si="117"/>
        <v/>
      </c>
      <c r="AM87" s="8" t="str">
        <f t="shared" si="118"/>
        <v/>
      </c>
      <c r="AN87" s="8" t="str">
        <f t="shared" si="178"/>
        <v/>
      </c>
      <c r="AO87" s="8" t="str">
        <f t="shared" si="120"/>
        <v/>
      </c>
      <c r="AP87" s="8" t="str">
        <f t="shared" si="121"/>
        <v/>
      </c>
      <c r="AQ87" s="8" t="str">
        <f t="shared" si="122"/>
        <v/>
      </c>
      <c r="AR87" s="8" t="str">
        <f t="shared" si="179"/>
        <v>Dave Slaughter</v>
      </c>
      <c r="AS87" s="8" t="str">
        <f t="shared" si="124"/>
        <v/>
      </c>
      <c r="AT87" s="8" t="str">
        <f t="shared" si="125"/>
        <v/>
      </c>
      <c r="AU87" s="8" t="str">
        <f t="shared" si="126"/>
        <v/>
      </c>
      <c r="AV87" s="8" t="str">
        <f t="shared" si="180"/>
        <v/>
      </c>
      <c r="AW87" s="8" t="str">
        <f t="shared" si="128"/>
        <v/>
      </c>
      <c r="AX87" s="8" t="str">
        <f t="shared" si="129"/>
        <v/>
      </c>
      <c r="AY87" s="8" t="str">
        <f t="shared" si="130"/>
        <v/>
      </c>
      <c r="AZ87" s="8" t="str">
        <f t="shared" si="181"/>
        <v/>
      </c>
      <c r="BA87" s="8" t="str">
        <f t="shared" si="132"/>
        <v/>
      </c>
      <c r="BB87" s="8" t="str">
        <f t="shared" si="133"/>
        <v/>
      </c>
      <c r="BC87" s="8" t="str">
        <f t="shared" si="134"/>
        <v/>
      </c>
      <c r="BD87" s="8" t="str">
        <f t="shared" si="182"/>
        <v/>
      </c>
      <c r="BE87" s="8" t="str">
        <f t="shared" si="136"/>
        <v/>
      </c>
      <c r="BF87" s="8" t="str">
        <f t="shared" si="137"/>
        <v/>
      </c>
      <c r="BG87" s="8" t="str">
        <f t="shared" si="138"/>
        <v/>
      </c>
      <c r="BH87" s="8" t="str">
        <f t="shared" si="183"/>
        <v/>
      </c>
      <c r="BI87" s="8" t="str">
        <f t="shared" si="140"/>
        <v/>
      </c>
      <c r="BJ87" s="8" t="str">
        <f t="shared" si="141"/>
        <v/>
      </c>
      <c r="BK87" s="8" t="str">
        <f t="shared" si="142"/>
        <v/>
      </c>
      <c r="BL87" s="8" t="str">
        <f t="shared" si="184"/>
        <v/>
      </c>
      <c r="BM87" s="8" t="str">
        <f t="shared" si="144"/>
        <v/>
      </c>
      <c r="BN87" s="8" t="str">
        <f t="shared" si="145"/>
        <v/>
      </c>
      <c r="BO87" s="8" t="str">
        <f t="shared" si="146"/>
        <v/>
      </c>
      <c r="BP87" s="8" t="str">
        <f t="shared" si="147"/>
        <v/>
      </c>
      <c r="BQ87" s="8" t="str">
        <f t="shared" si="148"/>
        <v/>
      </c>
      <c r="BR87" s="8" t="str">
        <f t="shared" si="149"/>
        <v>Dave Slaughter</v>
      </c>
      <c r="BS87" s="8" t="str">
        <f t="shared" si="150"/>
        <v/>
      </c>
      <c r="BT87" s="8" t="str">
        <f t="shared" si="185"/>
        <v/>
      </c>
      <c r="BU87" s="8" t="str">
        <f t="shared" si="152"/>
        <v/>
      </c>
      <c r="BV87" s="8" t="str">
        <f t="shared" si="153"/>
        <v>Dave Slaughter (1)</v>
      </c>
      <c r="BW87" s="8" t="str">
        <f t="shared" si="154"/>
        <v/>
      </c>
      <c r="BX87" s="8" t="str">
        <f t="shared" si="186"/>
        <v/>
      </c>
      <c r="BY87" s="8" t="str">
        <f t="shared" si="156"/>
        <v/>
      </c>
      <c r="BZ87" s="8" t="str">
        <f t="shared" si="157"/>
        <v>Dave Slaughter</v>
      </c>
      <c r="CA87" s="8" t="str">
        <f t="shared" si="158"/>
        <v/>
      </c>
      <c r="CB87" s="8" t="str">
        <f t="shared" si="187"/>
        <v/>
      </c>
      <c r="CC87" s="8" t="str">
        <f t="shared" si="160"/>
        <v/>
      </c>
      <c r="CD87" s="8" t="str">
        <f t="shared" si="161"/>
        <v>Dave Slaughter</v>
      </c>
      <c r="CE87" s="8" t="str">
        <f t="shared" si="162"/>
        <v/>
      </c>
      <c r="CF87" s="8" t="str">
        <f t="shared" si="188"/>
        <v/>
      </c>
      <c r="CG87" s="8" t="str">
        <f t="shared" si="164"/>
        <v/>
      </c>
      <c r="CH87" s="8" t="str">
        <f t="shared" si="165"/>
        <v>Dave Slaughter</v>
      </c>
      <c r="CI87" s="8" t="str">
        <f t="shared" si="166"/>
        <v/>
      </c>
      <c r="CJ87" s="8" t="str">
        <f t="shared" si="189"/>
        <v/>
      </c>
      <c r="CK87" s="8" t="str">
        <f t="shared" si="168"/>
        <v/>
      </c>
      <c r="CL87" s="8" t="str">
        <f t="shared" si="169"/>
        <v>Dave Slaughter</v>
      </c>
    </row>
    <row r="88" spans="4:90" x14ac:dyDescent="0.2">
      <c r="D88" s="37"/>
      <c r="E88" s="8">
        <f t="shared" si="190"/>
        <v>28</v>
      </c>
      <c r="G88" s="8" t="str">
        <f t="shared" si="191"/>
        <v/>
      </c>
      <c r="H88" s="8" t="str">
        <f t="shared" si="89"/>
        <v/>
      </c>
      <c r="I88" s="8" t="str">
        <f t="shared" si="192"/>
        <v/>
      </c>
      <c r="J88" s="8" t="str">
        <f t="shared" si="193"/>
        <v/>
      </c>
      <c r="K88" s="8" t="str">
        <f t="shared" si="90"/>
        <v/>
      </c>
      <c r="L88" s="8" t="str">
        <f t="shared" si="91"/>
        <v/>
      </c>
      <c r="M88" s="8" t="str">
        <f t="shared" si="92"/>
        <v/>
      </c>
      <c r="N88" s="8" t="str">
        <f t="shared" si="93"/>
        <v/>
      </c>
      <c r="O88" s="8" t="str">
        <f t="shared" si="94"/>
        <v/>
      </c>
      <c r="P88" s="8" t="str">
        <f t="shared" si="173"/>
        <v/>
      </c>
      <c r="Q88" s="8" t="str">
        <f t="shared" si="96"/>
        <v>Chase Stuart</v>
      </c>
      <c r="R88" s="8" t="str">
        <f t="shared" si="97"/>
        <v/>
      </c>
      <c r="S88" s="8" t="str">
        <f t="shared" si="98"/>
        <v/>
      </c>
      <c r="T88" s="8" t="str">
        <f t="shared" si="174"/>
        <v/>
      </c>
      <c r="U88" s="8" t="str">
        <f t="shared" si="100"/>
        <v/>
      </c>
      <c r="V88" s="8" t="str">
        <f t="shared" si="101"/>
        <v/>
      </c>
      <c r="W88" s="8" t="str">
        <f t="shared" si="102"/>
        <v/>
      </c>
      <c r="X88" s="8" t="str">
        <f t="shared" si="175"/>
        <v/>
      </c>
      <c r="Y88" s="8" t="str">
        <f t="shared" si="104"/>
        <v/>
      </c>
      <c r="Z88" s="8" t="str">
        <f t="shared" si="105"/>
        <v/>
      </c>
      <c r="AA88" s="8" t="str">
        <f t="shared" si="106"/>
        <v/>
      </c>
      <c r="AB88" s="8" t="str">
        <f t="shared" si="176"/>
        <v/>
      </c>
      <c r="AC88" s="8" t="str">
        <f t="shared" si="108"/>
        <v/>
      </c>
      <c r="AD88" s="8" t="str">
        <f t="shared" si="109"/>
        <v/>
      </c>
      <c r="AE88" s="8" t="str">
        <f t="shared" si="110"/>
        <v/>
      </c>
      <c r="AF88" s="8" t="str">
        <f t="shared" si="177"/>
        <v/>
      </c>
      <c r="AG88" s="8" t="str">
        <f t="shared" si="112"/>
        <v/>
      </c>
      <c r="AH88" s="8" t="str">
        <f t="shared" si="113"/>
        <v/>
      </c>
      <c r="AI88" s="8" t="str">
        <f t="shared" si="114"/>
        <v/>
      </c>
      <c r="AJ88" s="8" t="str">
        <f t="shared" si="115"/>
        <v/>
      </c>
      <c r="AK88" s="8" t="str">
        <f t="shared" si="116"/>
        <v/>
      </c>
      <c r="AL88" s="8" t="str">
        <f t="shared" si="117"/>
        <v/>
      </c>
      <c r="AM88" s="8" t="str">
        <f t="shared" si="118"/>
        <v/>
      </c>
      <c r="AN88" s="8" t="str">
        <f t="shared" si="178"/>
        <v/>
      </c>
      <c r="AO88" s="8" t="str">
        <f t="shared" si="120"/>
        <v/>
      </c>
      <c r="AP88" s="8" t="str">
        <f t="shared" si="121"/>
        <v/>
      </c>
      <c r="AQ88" s="8" t="str">
        <f t="shared" si="122"/>
        <v/>
      </c>
      <c r="AR88" s="8" t="str">
        <f t="shared" si="179"/>
        <v/>
      </c>
      <c r="AS88" s="8" t="str">
        <f t="shared" si="124"/>
        <v/>
      </c>
      <c r="AT88" s="8" t="str">
        <f t="shared" si="125"/>
        <v/>
      </c>
      <c r="AU88" s="8" t="str">
        <f t="shared" si="126"/>
        <v/>
      </c>
      <c r="AV88" s="8" t="str">
        <f t="shared" si="180"/>
        <v/>
      </c>
      <c r="AW88" s="8" t="str">
        <f t="shared" si="128"/>
        <v/>
      </c>
      <c r="AX88" s="8" t="str">
        <f t="shared" si="129"/>
        <v/>
      </c>
      <c r="AY88" s="8" t="str">
        <f t="shared" si="130"/>
        <v/>
      </c>
      <c r="AZ88" s="8" t="str">
        <f t="shared" si="181"/>
        <v/>
      </c>
      <c r="BA88" s="8" t="str">
        <f t="shared" si="132"/>
        <v/>
      </c>
      <c r="BB88" s="8" t="str">
        <f t="shared" si="133"/>
        <v/>
      </c>
      <c r="BC88" s="8" t="str">
        <f t="shared" si="134"/>
        <v/>
      </c>
      <c r="BD88" s="8" t="str">
        <f t="shared" si="182"/>
        <v/>
      </c>
      <c r="BE88" s="8" t="str">
        <f t="shared" si="136"/>
        <v/>
      </c>
      <c r="BF88" s="8" t="str">
        <f t="shared" si="137"/>
        <v/>
      </c>
      <c r="BG88" s="8" t="str">
        <f t="shared" si="138"/>
        <v/>
      </c>
      <c r="BH88" s="8" t="str">
        <f t="shared" si="183"/>
        <v/>
      </c>
      <c r="BI88" s="8" t="str">
        <f t="shared" si="140"/>
        <v/>
      </c>
      <c r="BJ88" s="8" t="str">
        <f t="shared" si="141"/>
        <v/>
      </c>
      <c r="BK88" s="8" t="str">
        <f t="shared" si="142"/>
        <v/>
      </c>
      <c r="BL88" s="8" t="str">
        <f t="shared" si="184"/>
        <v/>
      </c>
      <c r="BM88" s="8" t="str">
        <f t="shared" si="144"/>
        <v/>
      </c>
      <c r="BN88" s="8" t="str">
        <f t="shared" si="145"/>
        <v/>
      </c>
      <c r="BO88" s="8" t="str">
        <f t="shared" si="146"/>
        <v/>
      </c>
      <c r="BP88" s="8" t="str">
        <f t="shared" si="147"/>
        <v/>
      </c>
      <c r="BQ88" s="8" t="str">
        <f t="shared" si="148"/>
        <v/>
      </c>
      <c r="BR88" s="8" t="str">
        <f t="shared" si="149"/>
        <v/>
      </c>
      <c r="BS88" s="8" t="str">
        <f t="shared" si="150"/>
        <v/>
      </c>
      <c r="BT88" s="8" t="str">
        <f t="shared" si="185"/>
        <v/>
      </c>
      <c r="BU88" s="8" t="str">
        <f t="shared" si="152"/>
        <v/>
      </c>
      <c r="BV88" s="8" t="str">
        <f t="shared" si="153"/>
        <v/>
      </c>
      <c r="BW88" s="8" t="str">
        <f t="shared" si="154"/>
        <v/>
      </c>
      <c r="BX88" s="8" t="str">
        <f t="shared" si="186"/>
        <v/>
      </c>
      <c r="BY88" s="8" t="str">
        <f t="shared" si="156"/>
        <v/>
      </c>
      <c r="BZ88" s="8" t="str">
        <f t="shared" si="157"/>
        <v/>
      </c>
      <c r="CA88" s="8" t="str">
        <f t="shared" si="158"/>
        <v/>
      </c>
      <c r="CB88" s="8" t="str">
        <f t="shared" si="187"/>
        <v/>
      </c>
      <c r="CC88" s="8" t="str">
        <f t="shared" si="160"/>
        <v/>
      </c>
      <c r="CD88" s="8" t="str">
        <f t="shared" si="161"/>
        <v/>
      </c>
      <c r="CE88" s="8" t="str">
        <f t="shared" si="162"/>
        <v/>
      </c>
      <c r="CF88" s="8" t="str">
        <f t="shared" si="188"/>
        <v/>
      </c>
      <c r="CG88" s="8" t="str">
        <f t="shared" si="164"/>
        <v/>
      </c>
      <c r="CH88" s="8" t="str">
        <f t="shared" si="165"/>
        <v/>
      </c>
      <c r="CI88" s="8" t="str">
        <f t="shared" si="166"/>
        <v/>
      </c>
      <c r="CJ88" s="8" t="str">
        <f t="shared" si="189"/>
        <v/>
      </c>
      <c r="CK88" s="8" t="str">
        <f t="shared" si="168"/>
        <v/>
      </c>
      <c r="CL88" s="8" t="str">
        <f t="shared" si="169"/>
        <v/>
      </c>
    </row>
    <row r="89" spans="4:90" x14ac:dyDescent="0.2">
      <c r="D89" s="37"/>
      <c r="E89" s="8">
        <f t="shared" si="190"/>
        <v>29</v>
      </c>
      <c r="G89" s="8" t="str">
        <f t="shared" si="191"/>
        <v/>
      </c>
      <c r="H89" s="8" t="str">
        <f t="shared" si="89"/>
        <v/>
      </c>
      <c r="I89" s="8" t="str">
        <f t="shared" si="192"/>
        <v/>
      </c>
      <c r="J89" s="8" t="str">
        <f t="shared" si="193"/>
        <v/>
      </c>
      <c r="K89" s="8" t="str">
        <f t="shared" si="90"/>
        <v/>
      </c>
      <c r="L89" s="8" t="str">
        <f t="shared" si="91"/>
        <v/>
      </c>
      <c r="M89" s="8" t="str">
        <f t="shared" si="92"/>
        <v/>
      </c>
      <c r="N89" s="8" t="str">
        <f t="shared" si="93"/>
        <v/>
      </c>
      <c r="O89" s="8" t="str">
        <f t="shared" si="94"/>
        <v/>
      </c>
      <c r="P89" s="8" t="str">
        <f t="shared" si="173"/>
        <v/>
      </c>
      <c r="Q89" s="8" t="str">
        <f t="shared" si="96"/>
        <v/>
      </c>
      <c r="R89" s="8" t="str">
        <f t="shared" si="97"/>
        <v/>
      </c>
      <c r="S89" s="8" t="str">
        <f t="shared" si="98"/>
        <v/>
      </c>
      <c r="T89" s="8" t="str">
        <f t="shared" si="174"/>
        <v>Kaspars 'Stripes' Veips</v>
      </c>
      <c r="U89" s="8" t="str">
        <f t="shared" si="100"/>
        <v/>
      </c>
      <c r="V89" s="8" t="str">
        <f t="shared" si="101"/>
        <v/>
      </c>
      <c r="W89" s="8" t="str">
        <f t="shared" si="102"/>
        <v/>
      </c>
      <c r="X89" s="8" t="str">
        <f t="shared" si="175"/>
        <v/>
      </c>
      <c r="Y89" s="8" t="str">
        <f t="shared" si="104"/>
        <v/>
      </c>
      <c r="Z89" s="8" t="str">
        <f t="shared" si="105"/>
        <v/>
      </c>
      <c r="AA89" s="8" t="str">
        <f t="shared" si="106"/>
        <v/>
      </c>
      <c r="AB89" s="8" t="str">
        <f t="shared" si="176"/>
        <v/>
      </c>
      <c r="AC89" s="8" t="str">
        <f t="shared" si="108"/>
        <v>Kaspars 'Stripes' Veips (2)</v>
      </c>
      <c r="AD89" s="8" t="str">
        <f t="shared" si="109"/>
        <v/>
      </c>
      <c r="AE89" s="8" t="str">
        <f t="shared" si="110"/>
        <v/>
      </c>
      <c r="AF89" s="8" t="str">
        <f t="shared" si="177"/>
        <v/>
      </c>
      <c r="AG89" s="8" t="str">
        <f t="shared" si="112"/>
        <v/>
      </c>
      <c r="AH89" s="8" t="str">
        <f t="shared" si="113"/>
        <v/>
      </c>
      <c r="AI89" s="8" t="str">
        <f t="shared" si="114"/>
        <v/>
      </c>
      <c r="AJ89" s="8" t="str">
        <f t="shared" si="115"/>
        <v/>
      </c>
      <c r="AK89" s="8" t="str">
        <f t="shared" si="116"/>
        <v>Kaspars 'Stripes' Veips</v>
      </c>
      <c r="AL89" s="8" t="str">
        <f t="shared" si="117"/>
        <v/>
      </c>
      <c r="AM89" s="8" t="str">
        <f t="shared" si="118"/>
        <v/>
      </c>
      <c r="AN89" s="8" t="str">
        <f t="shared" si="178"/>
        <v/>
      </c>
      <c r="AO89" s="8" t="str">
        <f t="shared" si="120"/>
        <v/>
      </c>
      <c r="AP89" s="8" t="str">
        <f t="shared" si="121"/>
        <v/>
      </c>
      <c r="AQ89" s="8" t="str">
        <f t="shared" si="122"/>
        <v/>
      </c>
      <c r="AR89" s="8" t="str">
        <f t="shared" si="179"/>
        <v/>
      </c>
      <c r="AS89" s="8" t="str">
        <f t="shared" si="124"/>
        <v>Kaspars 'Stripes' Veips (2)</v>
      </c>
      <c r="AT89" s="8" t="str">
        <f t="shared" si="125"/>
        <v/>
      </c>
      <c r="AU89" s="8" t="str">
        <f t="shared" si="126"/>
        <v/>
      </c>
      <c r="AV89" s="8" t="str">
        <f t="shared" si="180"/>
        <v/>
      </c>
      <c r="AW89" s="8" t="str">
        <f t="shared" si="128"/>
        <v>Kaspars 'Stripes' Veips (4)</v>
      </c>
      <c r="AX89" s="8" t="str">
        <f t="shared" si="129"/>
        <v/>
      </c>
      <c r="AY89" s="8" t="str">
        <f t="shared" si="130"/>
        <v/>
      </c>
      <c r="AZ89" s="8" t="str">
        <f t="shared" si="181"/>
        <v/>
      </c>
      <c r="BA89" s="8" t="str">
        <f t="shared" si="132"/>
        <v>Kaspars 'Stripes' Veips</v>
      </c>
      <c r="BB89" s="8" t="str">
        <f t="shared" si="133"/>
        <v/>
      </c>
      <c r="BC89" s="8" t="str">
        <f t="shared" si="134"/>
        <v/>
      </c>
      <c r="BD89" s="8" t="str">
        <f t="shared" si="182"/>
        <v/>
      </c>
      <c r="BE89" s="8" t="str">
        <f t="shared" si="136"/>
        <v/>
      </c>
      <c r="BF89" s="8" t="str">
        <f t="shared" si="137"/>
        <v/>
      </c>
      <c r="BG89" s="8" t="str">
        <f t="shared" si="138"/>
        <v/>
      </c>
      <c r="BH89" s="8" t="str">
        <f t="shared" si="183"/>
        <v/>
      </c>
      <c r="BI89" s="8" t="str">
        <f t="shared" si="140"/>
        <v/>
      </c>
      <c r="BJ89" s="8" t="str">
        <f t="shared" si="141"/>
        <v/>
      </c>
      <c r="BK89" s="8" t="str">
        <f t="shared" si="142"/>
        <v/>
      </c>
      <c r="BL89" s="8" t="str">
        <f t="shared" si="184"/>
        <v/>
      </c>
      <c r="BM89" s="8" t="str">
        <f t="shared" si="144"/>
        <v/>
      </c>
      <c r="BN89" s="8" t="str">
        <f t="shared" si="145"/>
        <v/>
      </c>
      <c r="BO89" s="8" t="str">
        <f t="shared" si="146"/>
        <v/>
      </c>
      <c r="BP89" s="8" t="str">
        <f t="shared" si="147"/>
        <v/>
      </c>
      <c r="BQ89" s="8" t="str">
        <f t="shared" si="148"/>
        <v>Kaspars 'Stripes' Veips</v>
      </c>
      <c r="BR89" s="8" t="str">
        <f t="shared" si="149"/>
        <v/>
      </c>
      <c r="BS89" s="8" t="str">
        <f t="shared" si="150"/>
        <v/>
      </c>
      <c r="BT89" s="8" t="str">
        <f t="shared" si="185"/>
        <v/>
      </c>
      <c r="BU89" s="8" t="str">
        <f t="shared" si="152"/>
        <v/>
      </c>
      <c r="BV89" s="8" t="str">
        <f t="shared" si="153"/>
        <v/>
      </c>
      <c r="BW89" s="8" t="str">
        <f t="shared" si="154"/>
        <v/>
      </c>
      <c r="BX89" s="8" t="str">
        <f t="shared" si="186"/>
        <v/>
      </c>
      <c r="BY89" s="8" t="str">
        <f t="shared" si="156"/>
        <v/>
      </c>
      <c r="BZ89" s="8" t="str">
        <f t="shared" si="157"/>
        <v/>
      </c>
      <c r="CA89" s="8" t="str">
        <f t="shared" si="158"/>
        <v/>
      </c>
      <c r="CB89" s="8" t="str">
        <f t="shared" si="187"/>
        <v/>
      </c>
      <c r="CC89" s="8" t="str">
        <f t="shared" si="160"/>
        <v>Kaspars 'Stripes' Veips</v>
      </c>
      <c r="CD89" s="8" t="str">
        <f t="shared" si="161"/>
        <v/>
      </c>
      <c r="CE89" s="8" t="str">
        <f t="shared" si="162"/>
        <v/>
      </c>
      <c r="CF89" s="8" t="str">
        <f t="shared" si="188"/>
        <v/>
      </c>
      <c r="CG89" s="8" t="str">
        <f t="shared" si="164"/>
        <v>Kaspars 'Stripes' Veips</v>
      </c>
      <c r="CH89" s="8" t="str">
        <f t="shared" si="165"/>
        <v/>
      </c>
      <c r="CI89" s="8" t="str">
        <f t="shared" si="166"/>
        <v/>
      </c>
      <c r="CJ89" s="8" t="str">
        <f t="shared" si="189"/>
        <v/>
      </c>
      <c r="CK89" s="8" t="str">
        <f t="shared" si="168"/>
        <v/>
      </c>
      <c r="CL89" s="8" t="str">
        <f t="shared" si="169"/>
        <v/>
      </c>
    </row>
    <row r="90" spans="4:90" x14ac:dyDescent="0.2">
      <c r="D90" s="37"/>
      <c r="E90" s="8">
        <f t="shared" si="190"/>
        <v>30</v>
      </c>
      <c r="G90" s="8" t="str">
        <f t="shared" si="191"/>
        <v/>
      </c>
      <c r="H90" s="8" t="str">
        <f t="shared" si="89"/>
        <v>Eliot Wilde</v>
      </c>
      <c r="I90" s="8" t="str">
        <f t="shared" si="192"/>
        <v/>
      </c>
      <c r="J90" s="8" t="str">
        <f t="shared" si="193"/>
        <v/>
      </c>
      <c r="K90" s="8" t="str">
        <f t="shared" si="90"/>
        <v/>
      </c>
      <c r="L90" s="8" t="str">
        <f t="shared" si="91"/>
        <v>Eliot Wilde</v>
      </c>
      <c r="M90" s="8" t="str">
        <f t="shared" si="92"/>
        <v/>
      </c>
      <c r="N90" s="8" t="str">
        <f t="shared" si="93"/>
        <v/>
      </c>
      <c r="O90" s="8" t="str">
        <f t="shared" si="94"/>
        <v/>
      </c>
      <c r="P90" s="8" t="str">
        <f t="shared" si="173"/>
        <v>Eliot Wilde</v>
      </c>
      <c r="Q90" s="8" t="str">
        <f t="shared" si="96"/>
        <v/>
      </c>
      <c r="R90" s="8" t="str">
        <f t="shared" si="97"/>
        <v/>
      </c>
      <c r="S90" s="8" t="str">
        <f t="shared" si="98"/>
        <v/>
      </c>
      <c r="T90" s="8" t="str">
        <f t="shared" si="174"/>
        <v/>
      </c>
      <c r="U90" s="8" t="str">
        <f t="shared" si="100"/>
        <v/>
      </c>
      <c r="V90" s="8" t="str">
        <f t="shared" si="101"/>
        <v/>
      </c>
      <c r="W90" s="8" t="str">
        <f t="shared" si="102"/>
        <v/>
      </c>
      <c r="X90" s="8" t="str">
        <f t="shared" si="175"/>
        <v/>
      </c>
      <c r="Y90" s="8" t="str">
        <f t="shared" si="104"/>
        <v/>
      </c>
      <c r="Z90" s="8" t="str">
        <f t="shared" si="105"/>
        <v/>
      </c>
      <c r="AA90" s="8" t="str">
        <f t="shared" si="106"/>
        <v/>
      </c>
      <c r="AB90" s="8" t="str">
        <f t="shared" si="176"/>
        <v>Eliot Wilde</v>
      </c>
      <c r="AC90" s="8" t="str">
        <f t="shared" si="108"/>
        <v/>
      </c>
      <c r="AD90" s="8" t="str">
        <f t="shared" si="109"/>
        <v/>
      </c>
      <c r="AE90" s="8" t="str">
        <f t="shared" si="110"/>
        <v/>
      </c>
      <c r="AF90" s="8" t="str">
        <f t="shared" si="177"/>
        <v>Eliot Wilde</v>
      </c>
      <c r="AG90" s="8" t="str">
        <f t="shared" si="112"/>
        <v/>
      </c>
      <c r="AH90" s="8" t="str">
        <f t="shared" si="113"/>
        <v/>
      </c>
      <c r="AI90" s="8" t="str">
        <f t="shared" si="114"/>
        <v/>
      </c>
      <c r="AJ90" s="8" t="str">
        <f t="shared" si="115"/>
        <v/>
      </c>
      <c r="AK90" s="8" t="str">
        <f t="shared" si="116"/>
        <v/>
      </c>
      <c r="AL90" s="8" t="str">
        <f t="shared" si="117"/>
        <v/>
      </c>
      <c r="AM90" s="8" t="str">
        <f t="shared" si="118"/>
        <v/>
      </c>
      <c r="AN90" s="8" t="str">
        <f t="shared" si="178"/>
        <v/>
      </c>
      <c r="AO90" s="8" t="str">
        <f t="shared" si="120"/>
        <v/>
      </c>
      <c r="AP90" s="8" t="str">
        <f t="shared" si="121"/>
        <v/>
      </c>
      <c r="AQ90" s="8" t="str">
        <f t="shared" si="122"/>
        <v/>
      </c>
      <c r="AR90" s="8" t="str">
        <f t="shared" si="179"/>
        <v/>
      </c>
      <c r="AS90" s="8" t="str">
        <f t="shared" si="124"/>
        <v>Eliot Wilde</v>
      </c>
      <c r="AT90" s="8" t="str">
        <f t="shared" si="125"/>
        <v/>
      </c>
      <c r="AU90" s="8" t="str">
        <f t="shared" si="126"/>
        <v/>
      </c>
      <c r="AV90" s="8" t="str">
        <f t="shared" si="180"/>
        <v>Eliot Wilde</v>
      </c>
      <c r="AW90" s="8" t="str">
        <f t="shared" si="128"/>
        <v/>
      </c>
      <c r="AX90" s="8" t="str">
        <f t="shared" si="129"/>
        <v/>
      </c>
      <c r="AY90" s="8" t="str">
        <f t="shared" si="130"/>
        <v/>
      </c>
      <c r="AZ90" s="8" t="str">
        <f t="shared" si="181"/>
        <v>Eliot Wilde</v>
      </c>
      <c r="BA90" s="8" t="str">
        <f t="shared" si="132"/>
        <v/>
      </c>
      <c r="BB90" s="8" t="str">
        <f t="shared" si="133"/>
        <v/>
      </c>
      <c r="BC90" s="8" t="str">
        <f t="shared" si="134"/>
        <v/>
      </c>
      <c r="BD90" s="8" t="str">
        <f t="shared" si="182"/>
        <v/>
      </c>
      <c r="BE90" s="8" t="str">
        <f t="shared" si="136"/>
        <v/>
      </c>
      <c r="BF90" s="8" t="str">
        <f t="shared" si="137"/>
        <v/>
      </c>
      <c r="BG90" s="8" t="str">
        <f t="shared" si="138"/>
        <v/>
      </c>
      <c r="BH90" s="8" t="str">
        <f t="shared" si="183"/>
        <v/>
      </c>
      <c r="BI90" s="8" t="str">
        <f t="shared" si="140"/>
        <v/>
      </c>
      <c r="BJ90" s="8" t="str">
        <f t="shared" si="141"/>
        <v/>
      </c>
      <c r="BK90" s="8" t="str">
        <f t="shared" si="142"/>
        <v/>
      </c>
      <c r="BL90" s="8" t="str">
        <f t="shared" si="184"/>
        <v/>
      </c>
      <c r="BM90" s="8" t="str">
        <f t="shared" si="144"/>
        <v/>
      </c>
      <c r="BN90" s="8" t="str">
        <f t="shared" si="145"/>
        <v/>
      </c>
      <c r="BO90" s="8" t="str">
        <f t="shared" si="146"/>
        <v/>
      </c>
      <c r="BP90" s="8" t="str">
        <f t="shared" si="147"/>
        <v>Eliot Wilde</v>
      </c>
      <c r="BQ90" s="8" t="str">
        <f t="shared" si="148"/>
        <v/>
      </c>
      <c r="BR90" s="8" t="str">
        <f t="shared" si="149"/>
        <v/>
      </c>
      <c r="BS90" s="8" t="str">
        <f t="shared" si="150"/>
        <v/>
      </c>
      <c r="BT90" s="8" t="str">
        <f t="shared" si="185"/>
        <v>Eliot Wilde</v>
      </c>
      <c r="BU90" s="8" t="str">
        <f t="shared" si="152"/>
        <v/>
      </c>
      <c r="BV90" s="8" t="str">
        <f t="shared" si="153"/>
        <v/>
      </c>
      <c r="BW90" s="8" t="str">
        <f t="shared" si="154"/>
        <v/>
      </c>
      <c r="BX90" s="8" t="str">
        <f t="shared" si="186"/>
        <v>Eliot Wilde</v>
      </c>
      <c r="BY90" s="8" t="str">
        <f t="shared" si="156"/>
        <v/>
      </c>
      <c r="BZ90" s="8" t="str">
        <f t="shared" si="157"/>
        <v/>
      </c>
      <c r="CA90" s="8" t="str">
        <f t="shared" si="158"/>
        <v/>
      </c>
      <c r="CB90" s="8" t="str">
        <f t="shared" si="187"/>
        <v/>
      </c>
      <c r="CC90" s="8" t="str">
        <f t="shared" si="160"/>
        <v/>
      </c>
      <c r="CD90" s="8" t="str">
        <f t="shared" si="161"/>
        <v/>
      </c>
      <c r="CE90" s="8" t="str">
        <f t="shared" si="162"/>
        <v/>
      </c>
      <c r="CF90" s="8" t="str">
        <f t="shared" si="188"/>
        <v/>
      </c>
      <c r="CG90" s="8" t="str">
        <f t="shared" si="164"/>
        <v/>
      </c>
      <c r="CH90" s="8" t="str">
        <f t="shared" si="165"/>
        <v/>
      </c>
      <c r="CI90" s="8" t="str">
        <f t="shared" si="166"/>
        <v/>
      </c>
      <c r="CJ90" s="8" t="str">
        <f t="shared" si="189"/>
        <v>Eliot Wilde</v>
      </c>
      <c r="CK90" s="8" t="str">
        <f t="shared" si="168"/>
        <v/>
      </c>
      <c r="CL90" s="8" t="str">
        <f t="shared" si="169"/>
        <v/>
      </c>
    </row>
    <row r="91" spans="4:90" x14ac:dyDescent="0.2">
      <c r="D91" s="37"/>
      <c r="E91" s="8">
        <f t="shared" si="190"/>
        <v>31</v>
      </c>
      <c r="G91" s="8" t="str">
        <f t="shared" si="191"/>
        <v/>
      </c>
      <c r="H91" s="8" t="str">
        <f t="shared" si="89"/>
        <v/>
      </c>
      <c r="I91" s="8" t="str">
        <f t="shared" si="192"/>
        <v/>
      </c>
      <c r="J91" s="8" t="str">
        <f t="shared" si="193"/>
        <v/>
      </c>
      <c r="K91" s="8" t="str">
        <f t="shared" si="90"/>
        <v/>
      </c>
      <c r="L91" s="8" t="str">
        <f t="shared" si="91"/>
        <v/>
      </c>
      <c r="M91" s="8" t="str">
        <f t="shared" si="92"/>
        <v/>
      </c>
      <c r="N91" s="8" t="str">
        <f t="shared" si="93"/>
        <v/>
      </c>
      <c r="O91" s="8" t="str">
        <f t="shared" si="94"/>
        <v/>
      </c>
      <c r="P91" s="8" t="str">
        <f t="shared" si="173"/>
        <v/>
      </c>
      <c r="Q91" s="8" t="str">
        <f t="shared" si="96"/>
        <v/>
      </c>
      <c r="R91" s="8" t="str">
        <f t="shared" si="97"/>
        <v/>
      </c>
      <c r="S91" s="8" t="str">
        <f t="shared" si="98"/>
        <v/>
      </c>
      <c r="T91" s="8" t="str">
        <f t="shared" si="174"/>
        <v/>
      </c>
      <c r="U91" s="8" t="str">
        <f t="shared" si="100"/>
        <v/>
      </c>
      <c r="V91" s="8" t="str">
        <f t="shared" si="101"/>
        <v/>
      </c>
      <c r="W91" s="8" t="str">
        <f t="shared" si="102"/>
        <v/>
      </c>
      <c r="X91" s="8" t="str">
        <f t="shared" si="175"/>
        <v/>
      </c>
      <c r="Y91" s="8" t="str">
        <f t="shared" si="104"/>
        <v/>
      </c>
      <c r="Z91" s="8" t="str">
        <f t="shared" si="105"/>
        <v/>
      </c>
      <c r="AA91" s="8" t="str">
        <f t="shared" si="106"/>
        <v/>
      </c>
      <c r="AB91" s="8" t="str">
        <f t="shared" si="176"/>
        <v/>
      </c>
      <c r="AC91" s="8" t="str">
        <f t="shared" si="108"/>
        <v/>
      </c>
      <c r="AD91" s="8" t="str">
        <f t="shared" si="109"/>
        <v/>
      </c>
      <c r="AE91" s="8" t="str">
        <f t="shared" si="110"/>
        <v/>
      </c>
      <c r="AF91" s="8" t="str">
        <f t="shared" si="177"/>
        <v/>
      </c>
      <c r="AG91" s="8" t="str">
        <f t="shared" si="112"/>
        <v/>
      </c>
      <c r="AH91" s="8" t="str">
        <f t="shared" si="113"/>
        <v/>
      </c>
      <c r="AI91" s="8" t="str">
        <f t="shared" si="114"/>
        <v/>
      </c>
      <c r="AJ91" s="8" t="str">
        <f t="shared" si="115"/>
        <v/>
      </c>
      <c r="AK91" s="8" t="str">
        <f t="shared" si="116"/>
        <v/>
      </c>
      <c r="AL91" s="8" t="str">
        <f t="shared" si="117"/>
        <v/>
      </c>
      <c r="AM91" s="8" t="str">
        <f t="shared" si="118"/>
        <v/>
      </c>
      <c r="AN91" s="8" t="str">
        <f t="shared" si="178"/>
        <v/>
      </c>
      <c r="AO91" s="8" t="str">
        <f t="shared" si="120"/>
        <v/>
      </c>
      <c r="AP91" s="8" t="str">
        <f t="shared" si="121"/>
        <v/>
      </c>
      <c r="AQ91" s="8" t="str">
        <f t="shared" si="122"/>
        <v/>
      </c>
      <c r="AR91" s="8" t="str">
        <f t="shared" si="179"/>
        <v/>
      </c>
      <c r="AS91" s="8" t="str">
        <f t="shared" si="124"/>
        <v/>
      </c>
      <c r="AT91" s="8" t="str">
        <f t="shared" si="125"/>
        <v/>
      </c>
      <c r="AU91" s="8" t="str">
        <f t="shared" si="126"/>
        <v/>
      </c>
      <c r="AV91" s="8" t="str">
        <f t="shared" si="180"/>
        <v/>
      </c>
      <c r="AW91" s="8" t="str">
        <f t="shared" si="128"/>
        <v/>
      </c>
      <c r="AX91" s="8" t="str">
        <f t="shared" si="129"/>
        <v/>
      </c>
      <c r="AY91" s="8" t="str">
        <f t="shared" si="130"/>
        <v/>
      </c>
      <c r="AZ91" s="8" t="str">
        <f t="shared" si="181"/>
        <v/>
      </c>
      <c r="BA91" s="8" t="str">
        <f t="shared" si="132"/>
        <v/>
      </c>
      <c r="BB91" s="8" t="str">
        <f t="shared" si="133"/>
        <v/>
      </c>
      <c r="BC91" s="8" t="str">
        <f t="shared" si="134"/>
        <v/>
      </c>
      <c r="BD91" s="8" t="str">
        <f t="shared" si="182"/>
        <v/>
      </c>
      <c r="BE91" s="8" t="str">
        <f t="shared" si="136"/>
        <v/>
      </c>
      <c r="BF91" s="8" t="str">
        <f t="shared" si="137"/>
        <v/>
      </c>
      <c r="BG91" s="8" t="str">
        <f t="shared" si="138"/>
        <v/>
      </c>
      <c r="BH91" s="8" t="str">
        <f t="shared" si="183"/>
        <v/>
      </c>
      <c r="BI91" s="8" t="str">
        <f t="shared" si="140"/>
        <v/>
      </c>
      <c r="BJ91" s="8" t="str">
        <f t="shared" si="141"/>
        <v/>
      </c>
      <c r="BK91" s="8" t="str">
        <f t="shared" si="142"/>
        <v/>
      </c>
      <c r="BL91" s="8" t="str">
        <f t="shared" si="184"/>
        <v/>
      </c>
      <c r="BM91" s="8" t="str">
        <f t="shared" si="144"/>
        <v/>
      </c>
      <c r="BN91" s="8" t="str">
        <f t="shared" si="145"/>
        <v/>
      </c>
      <c r="BO91" s="8" t="str">
        <f t="shared" si="146"/>
        <v/>
      </c>
      <c r="BP91" s="8" t="str">
        <f t="shared" si="147"/>
        <v/>
      </c>
      <c r="BQ91" s="8" t="str">
        <f t="shared" si="148"/>
        <v>Hugh Mitchison</v>
      </c>
      <c r="BR91" s="8" t="str">
        <f t="shared" si="149"/>
        <v/>
      </c>
      <c r="BS91" s="8" t="str">
        <f t="shared" si="150"/>
        <v/>
      </c>
      <c r="BT91" s="8" t="str">
        <f t="shared" si="185"/>
        <v/>
      </c>
      <c r="BU91" s="8" t="str">
        <f t="shared" si="152"/>
        <v/>
      </c>
      <c r="BV91" s="8" t="str">
        <f t="shared" si="153"/>
        <v/>
      </c>
      <c r="BW91" s="8" t="str">
        <f t="shared" si="154"/>
        <v/>
      </c>
      <c r="BX91" s="8" t="str">
        <f t="shared" si="186"/>
        <v/>
      </c>
      <c r="BY91" s="8" t="str">
        <f t="shared" si="156"/>
        <v/>
      </c>
      <c r="BZ91" s="8" t="str">
        <f t="shared" si="157"/>
        <v/>
      </c>
      <c r="CA91" s="8" t="str">
        <f t="shared" si="158"/>
        <v/>
      </c>
      <c r="CB91" s="8" t="str">
        <f t="shared" si="187"/>
        <v/>
      </c>
      <c r="CC91" s="8" t="str">
        <f t="shared" si="160"/>
        <v/>
      </c>
      <c r="CD91" s="8" t="str">
        <f t="shared" si="161"/>
        <v/>
      </c>
      <c r="CE91" s="8" t="str">
        <f t="shared" si="162"/>
        <v/>
      </c>
      <c r="CF91" s="8" t="str">
        <f t="shared" si="188"/>
        <v/>
      </c>
      <c r="CG91" s="8" t="str">
        <f t="shared" si="164"/>
        <v/>
      </c>
      <c r="CH91" s="8" t="str">
        <f t="shared" si="165"/>
        <v/>
      </c>
      <c r="CI91" s="8" t="str">
        <f t="shared" si="166"/>
        <v/>
      </c>
      <c r="CJ91" s="8" t="str">
        <f t="shared" si="189"/>
        <v/>
      </c>
      <c r="CK91" s="8" t="str">
        <f t="shared" si="168"/>
        <v/>
      </c>
      <c r="CL91" s="8" t="str">
        <f t="shared" si="169"/>
        <v/>
      </c>
    </row>
    <row r="92" spans="4:90" x14ac:dyDescent="0.2">
      <c r="D92" s="37"/>
      <c r="E92" s="8">
        <f t="shared" si="190"/>
        <v>32</v>
      </c>
      <c r="G92" s="8" t="str">
        <f t="shared" si="191"/>
        <v/>
      </c>
      <c r="H92" s="8" t="str">
        <f t="shared" si="89"/>
        <v/>
      </c>
      <c r="I92" s="8" t="str">
        <f t="shared" si="192"/>
        <v/>
      </c>
      <c r="J92" s="8" t="str">
        <f t="shared" si="193"/>
        <v/>
      </c>
      <c r="K92" s="8" t="str">
        <f t="shared" si="90"/>
        <v/>
      </c>
      <c r="L92" s="8" t="str">
        <f t="shared" si="91"/>
        <v/>
      </c>
      <c r="M92" s="8" t="str">
        <f t="shared" si="92"/>
        <v/>
      </c>
      <c r="N92" s="8" t="str">
        <f t="shared" si="93"/>
        <v/>
      </c>
      <c r="O92" s="8" t="str">
        <f t="shared" si="94"/>
        <v/>
      </c>
      <c r="P92" s="8" t="str">
        <f t="shared" si="173"/>
        <v/>
      </c>
      <c r="Q92" s="8" t="str">
        <f t="shared" si="96"/>
        <v/>
      </c>
      <c r="R92" s="8" t="str">
        <f t="shared" si="97"/>
        <v/>
      </c>
      <c r="S92" s="8" t="str">
        <f t="shared" si="98"/>
        <v/>
      </c>
      <c r="T92" s="8" t="str">
        <f t="shared" si="174"/>
        <v/>
      </c>
      <c r="U92" s="8" t="str">
        <f t="shared" si="100"/>
        <v/>
      </c>
      <c r="V92" s="8" t="str">
        <f t="shared" si="101"/>
        <v/>
      </c>
      <c r="W92" s="8" t="str">
        <f t="shared" si="102"/>
        <v/>
      </c>
      <c r="X92" s="8" t="str">
        <f t="shared" si="175"/>
        <v/>
      </c>
      <c r="Y92" s="8" t="str">
        <f t="shared" si="104"/>
        <v/>
      </c>
      <c r="Z92" s="8" t="str">
        <f t="shared" si="105"/>
        <v/>
      </c>
      <c r="AA92" s="8" t="str">
        <f t="shared" si="106"/>
        <v/>
      </c>
      <c r="AB92" s="8" t="str">
        <f t="shared" si="176"/>
        <v/>
      </c>
      <c r="AC92" s="8" t="str">
        <f t="shared" si="108"/>
        <v/>
      </c>
      <c r="AD92" s="8" t="str">
        <f t="shared" si="109"/>
        <v/>
      </c>
      <c r="AE92" s="8" t="str">
        <f t="shared" si="110"/>
        <v/>
      </c>
      <c r="AF92" s="8" t="str">
        <f t="shared" si="177"/>
        <v/>
      </c>
      <c r="AG92" s="8" t="str">
        <f t="shared" si="112"/>
        <v/>
      </c>
      <c r="AH92" s="8" t="str">
        <f t="shared" si="113"/>
        <v/>
      </c>
      <c r="AI92" s="8" t="str">
        <f t="shared" si="114"/>
        <v/>
      </c>
      <c r="AJ92" s="8" t="str">
        <f t="shared" si="115"/>
        <v/>
      </c>
      <c r="AK92" s="8" t="str">
        <f t="shared" si="116"/>
        <v/>
      </c>
      <c r="AL92" s="8" t="str">
        <f t="shared" si="117"/>
        <v/>
      </c>
      <c r="AM92" s="8" t="str">
        <f t="shared" si="118"/>
        <v/>
      </c>
      <c r="AN92" s="8" t="str">
        <f t="shared" si="178"/>
        <v/>
      </c>
      <c r="AO92" s="8" t="str">
        <f t="shared" si="120"/>
        <v/>
      </c>
      <c r="AP92" s="8" t="str">
        <f t="shared" si="121"/>
        <v/>
      </c>
      <c r="AQ92" s="8" t="str">
        <f t="shared" si="122"/>
        <v/>
      </c>
      <c r="AR92" s="8" t="str">
        <f t="shared" si="179"/>
        <v/>
      </c>
      <c r="AS92" s="8" t="str">
        <f t="shared" si="124"/>
        <v/>
      </c>
      <c r="AT92" s="8" t="str">
        <f t="shared" si="125"/>
        <v/>
      </c>
      <c r="AU92" s="8" t="str">
        <f t="shared" si="126"/>
        <v/>
      </c>
      <c r="AV92" s="8" t="str">
        <f t="shared" si="180"/>
        <v/>
      </c>
      <c r="AW92" s="8" t="str">
        <f t="shared" si="128"/>
        <v/>
      </c>
      <c r="AX92" s="8" t="str">
        <f t="shared" si="129"/>
        <v/>
      </c>
      <c r="AY92" s="8" t="str">
        <f t="shared" si="130"/>
        <v/>
      </c>
      <c r="AZ92" s="8" t="str">
        <f t="shared" si="181"/>
        <v/>
      </c>
      <c r="BA92" s="8" t="str">
        <f t="shared" si="132"/>
        <v/>
      </c>
      <c r="BB92" s="8" t="str">
        <f t="shared" si="133"/>
        <v/>
      </c>
      <c r="BC92" s="8" t="str">
        <f t="shared" si="134"/>
        <v/>
      </c>
      <c r="BD92" s="8" t="str">
        <f t="shared" si="182"/>
        <v/>
      </c>
      <c r="BE92" s="8" t="str">
        <f t="shared" si="136"/>
        <v/>
      </c>
      <c r="BF92" s="8" t="str">
        <f t="shared" si="137"/>
        <v/>
      </c>
      <c r="BG92" s="8" t="str">
        <f t="shared" si="138"/>
        <v/>
      </c>
      <c r="BH92" s="8" t="str">
        <f t="shared" si="183"/>
        <v/>
      </c>
      <c r="BI92" s="8" t="str">
        <f t="shared" si="140"/>
        <v/>
      </c>
      <c r="BJ92" s="8" t="str">
        <f t="shared" si="141"/>
        <v/>
      </c>
      <c r="BK92" s="8" t="str">
        <f t="shared" si="142"/>
        <v/>
      </c>
      <c r="BL92" s="8" t="str">
        <f t="shared" si="184"/>
        <v/>
      </c>
      <c r="BM92" s="8" t="str">
        <f t="shared" si="144"/>
        <v/>
      </c>
      <c r="BN92" s="8" t="str">
        <f t="shared" si="145"/>
        <v/>
      </c>
      <c r="BO92" s="8" t="str">
        <f t="shared" si="146"/>
        <v/>
      </c>
      <c r="BP92" s="8" t="str">
        <f t="shared" si="147"/>
        <v/>
      </c>
      <c r="BQ92" s="8" t="str">
        <f t="shared" si="148"/>
        <v/>
      </c>
      <c r="BR92" s="8" t="str">
        <f t="shared" si="149"/>
        <v/>
      </c>
      <c r="BS92" s="8" t="str">
        <f t="shared" si="150"/>
        <v/>
      </c>
      <c r="BT92" s="8" t="str">
        <f t="shared" si="185"/>
        <v/>
      </c>
      <c r="BU92" s="8" t="str">
        <f t="shared" si="152"/>
        <v>Dan (2)</v>
      </c>
      <c r="BV92" s="8" t="str">
        <f t="shared" si="153"/>
        <v/>
      </c>
      <c r="BW92" s="8" t="str">
        <f t="shared" si="154"/>
        <v/>
      </c>
      <c r="BX92" s="8" t="str">
        <f t="shared" si="186"/>
        <v/>
      </c>
      <c r="BY92" s="8" t="str">
        <f t="shared" si="156"/>
        <v/>
      </c>
      <c r="BZ92" s="8" t="str">
        <f t="shared" si="157"/>
        <v/>
      </c>
      <c r="CA92" s="8" t="str">
        <f t="shared" si="158"/>
        <v/>
      </c>
      <c r="CB92" s="8" t="str">
        <f t="shared" si="187"/>
        <v/>
      </c>
      <c r="CC92" s="8" t="str">
        <f t="shared" si="160"/>
        <v/>
      </c>
      <c r="CD92" s="8" t="str">
        <f t="shared" si="161"/>
        <v/>
      </c>
      <c r="CE92" s="8" t="str">
        <f t="shared" si="162"/>
        <v/>
      </c>
      <c r="CF92" s="8" t="str">
        <f t="shared" si="188"/>
        <v/>
      </c>
      <c r="CG92" s="8" t="str">
        <f t="shared" si="164"/>
        <v/>
      </c>
      <c r="CH92" s="8" t="str">
        <f t="shared" si="165"/>
        <v/>
      </c>
      <c r="CI92" s="8" t="str">
        <f t="shared" si="166"/>
        <v/>
      </c>
      <c r="CJ92" s="8" t="str">
        <f t="shared" si="189"/>
        <v/>
      </c>
      <c r="CK92" s="8" t="str">
        <f t="shared" si="168"/>
        <v/>
      </c>
      <c r="CL92" s="8" t="str">
        <f t="shared" si="169"/>
        <v/>
      </c>
    </row>
    <row r="93" spans="4:90" x14ac:dyDescent="0.2">
      <c r="D93" s="37"/>
      <c r="E93" s="8">
        <f t="shared" si="190"/>
        <v>33</v>
      </c>
      <c r="G93" s="8" t="str">
        <f t="shared" si="191"/>
        <v/>
      </c>
      <c r="H93" s="8" t="str">
        <f t="shared" si="89"/>
        <v/>
      </c>
      <c r="I93" s="8" t="str">
        <f t="shared" si="192"/>
        <v/>
      </c>
      <c r="J93" s="8" t="str">
        <f t="shared" si="193"/>
        <v/>
      </c>
      <c r="K93" s="8" t="str">
        <f t="shared" si="90"/>
        <v/>
      </c>
      <c r="L93" s="8" t="str">
        <f t="shared" si="91"/>
        <v/>
      </c>
      <c r="M93" s="8" t="str">
        <f t="shared" si="92"/>
        <v/>
      </c>
      <c r="N93" s="8" t="str">
        <f t="shared" si="93"/>
        <v/>
      </c>
      <c r="O93" s="8" t="str">
        <f t="shared" si="94"/>
        <v/>
      </c>
      <c r="P93" s="8" t="str">
        <f t="shared" si="173"/>
        <v/>
      </c>
      <c r="Q93" s="8" t="str">
        <f t="shared" si="96"/>
        <v/>
      </c>
      <c r="R93" s="8" t="str">
        <f t="shared" si="97"/>
        <v/>
      </c>
      <c r="S93" s="8" t="str">
        <f t="shared" si="98"/>
        <v/>
      </c>
      <c r="T93" s="8" t="str">
        <f t="shared" si="174"/>
        <v/>
      </c>
      <c r="U93" s="8" t="str">
        <f t="shared" si="100"/>
        <v/>
      </c>
      <c r="V93" s="8" t="str">
        <f t="shared" si="101"/>
        <v/>
      </c>
      <c r="W93" s="8" t="str">
        <f t="shared" si="102"/>
        <v/>
      </c>
      <c r="X93" s="8" t="str">
        <f t="shared" si="175"/>
        <v/>
      </c>
      <c r="Y93" s="8" t="str">
        <f t="shared" si="104"/>
        <v/>
      </c>
      <c r="Z93" s="8" t="str">
        <f t="shared" si="105"/>
        <v/>
      </c>
      <c r="AA93" s="8" t="str">
        <f t="shared" si="106"/>
        <v/>
      </c>
      <c r="AB93" s="8" t="str">
        <f t="shared" si="176"/>
        <v/>
      </c>
      <c r="AC93" s="8" t="str">
        <f t="shared" si="108"/>
        <v/>
      </c>
      <c r="AD93" s="8" t="str">
        <f t="shared" si="109"/>
        <v/>
      </c>
      <c r="AE93" s="8" t="str">
        <f t="shared" si="110"/>
        <v/>
      </c>
      <c r="AF93" s="8" t="str">
        <f t="shared" si="177"/>
        <v/>
      </c>
      <c r="AG93" s="8" t="str">
        <f t="shared" si="112"/>
        <v/>
      </c>
      <c r="AH93" s="8" t="str">
        <f t="shared" si="113"/>
        <v/>
      </c>
      <c r="AI93" s="8" t="str">
        <f t="shared" si="114"/>
        <v/>
      </c>
      <c r="AJ93" s="8" t="str">
        <f t="shared" si="115"/>
        <v/>
      </c>
      <c r="AK93" s="8" t="str">
        <f t="shared" si="116"/>
        <v/>
      </c>
      <c r="AL93" s="8" t="str">
        <f t="shared" si="117"/>
        <v/>
      </c>
      <c r="AM93" s="8" t="str">
        <f t="shared" si="118"/>
        <v/>
      </c>
      <c r="AN93" s="8" t="str">
        <f t="shared" si="178"/>
        <v/>
      </c>
      <c r="AO93" s="8" t="str">
        <f t="shared" si="120"/>
        <v/>
      </c>
      <c r="AP93" s="8" t="str">
        <f t="shared" si="121"/>
        <v/>
      </c>
      <c r="AQ93" s="8" t="str">
        <f t="shared" si="122"/>
        <v/>
      </c>
      <c r="AR93" s="8" t="str">
        <f t="shared" si="179"/>
        <v/>
      </c>
      <c r="AS93" s="8" t="str">
        <f t="shared" si="124"/>
        <v/>
      </c>
      <c r="AT93" s="8" t="str">
        <f t="shared" si="125"/>
        <v/>
      </c>
      <c r="AU93" s="8" t="str">
        <f t="shared" si="126"/>
        <v/>
      </c>
      <c r="AV93" s="8" t="str">
        <f t="shared" si="180"/>
        <v/>
      </c>
      <c r="AW93" s="8" t="str">
        <f t="shared" si="128"/>
        <v/>
      </c>
      <c r="AX93" s="8" t="str">
        <f t="shared" si="129"/>
        <v/>
      </c>
      <c r="AY93" s="8" t="str">
        <f t="shared" si="130"/>
        <v/>
      </c>
      <c r="AZ93" s="8" t="str">
        <f t="shared" si="181"/>
        <v/>
      </c>
      <c r="BA93" s="8" t="str">
        <f t="shared" si="132"/>
        <v/>
      </c>
      <c r="BB93" s="8" t="str">
        <f t="shared" si="133"/>
        <v/>
      </c>
      <c r="BC93" s="8" t="str">
        <f t="shared" si="134"/>
        <v/>
      </c>
      <c r="BD93" s="8" t="str">
        <f t="shared" si="182"/>
        <v/>
      </c>
      <c r="BE93" s="8" t="str">
        <f t="shared" si="136"/>
        <v/>
      </c>
      <c r="BF93" s="8" t="str">
        <f t="shared" si="137"/>
        <v/>
      </c>
      <c r="BG93" s="8" t="str">
        <f t="shared" si="138"/>
        <v/>
      </c>
      <c r="BH93" s="8" t="str">
        <f t="shared" si="183"/>
        <v/>
      </c>
      <c r="BI93" s="8" t="str">
        <f t="shared" si="140"/>
        <v/>
      </c>
      <c r="BJ93" s="8" t="str">
        <f t="shared" si="141"/>
        <v/>
      </c>
      <c r="BK93" s="8" t="str">
        <f t="shared" si="142"/>
        <v/>
      </c>
      <c r="BL93" s="8" t="str">
        <f t="shared" si="184"/>
        <v/>
      </c>
      <c r="BM93" s="8" t="str">
        <f t="shared" si="144"/>
        <v/>
      </c>
      <c r="BN93" s="8" t="str">
        <f t="shared" si="145"/>
        <v/>
      </c>
      <c r="BO93" s="8" t="str">
        <f t="shared" si="146"/>
        <v/>
      </c>
      <c r="BP93" s="8" t="str">
        <f t="shared" si="147"/>
        <v/>
      </c>
      <c r="BQ93" s="8" t="str">
        <f t="shared" si="148"/>
        <v/>
      </c>
      <c r="BR93" s="8" t="str">
        <f t="shared" si="149"/>
        <v/>
      </c>
      <c r="BS93" s="8" t="str">
        <f t="shared" si="150"/>
        <v/>
      </c>
      <c r="BT93" s="8" t="str">
        <f t="shared" si="185"/>
        <v/>
      </c>
      <c r="BU93" s="8" t="str">
        <f t="shared" si="152"/>
        <v/>
      </c>
      <c r="BV93" s="8" t="str">
        <f t="shared" si="153"/>
        <v/>
      </c>
      <c r="BW93" s="8" t="str">
        <f t="shared" si="154"/>
        <v/>
      </c>
      <c r="BX93" s="8" t="str">
        <f t="shared" si="186"/>
        <v/>
      </c>
      <c r="BY93" s="8" t="str">
        <f t="shared" si="156"/>
        <v/>
      </c>
      <c r="BZ93" s="8" t="str">
        <f t="shared" si="157"/>
        <v/>
      </c>
      <c r="CA93" s="8" t="str">
        <f t="shared" si="158"/>
        <v/>
      </c>
      <c r="CB93" s="8" t="str">
        <f t="shared" si="187"/>
        <v/>
      </c>
      <c r="CC93" s="8" t="str">
        <f t="shared" si="160"/>
        <v/>
      </c>
      <c r="CD93" s="8" t="str">
        <f t="shared" si="161"/>
        <v/>
      </c>
      <c r="CE93" s="8" t="str">
        <f t="shared" si="162"/>
        <v/>
      </c>
      <c r="CF93" s="8" t="str">
        <f t="shared" si="188"/>
        <v/>
      </c>
      <c r="CG93" s="8" t="str">
        <f t="shared" si="164"/>
        <v>Jimmy (3)</v>
      </c>
      <c r="CH93" s="8" t="str">
        <f t="shared" si="165"/>
        <v/>
      </c>
      <c r="CI93" s="8" t="str">
        <f t="shared" si="166"/>
        <v/>
      </c>
      <c r="CJ93" s="8" t="str">
        <f t="shared" si="189"/>
        <v/>
      </c>
      <c r="CK93" s="8" t="str">
        <f t="shared" si="168"/>
        <v/>
      </c>
      <c r="CL93" s="8" t="str">
        <f t="shared" si="169"/>
        <v/>
      </c>
    </row>
    <row r="94" spans="4:90" x14ac:dyDescent="0.2">
      <c r="D94" s="37"/>
      <c r="E94" s="8">
        <f t="shared" si="190"/>
        <v>34</v>
      </c>
      <c r="G94" s="8" t="str">
        <f t="shared" si="191"/>
        <v/>
      </c>
      <c r="H94" s="8" t="str">
        <f t="shared" si="89"/>
        <v/>
      </c>
      <c r="I94" s="8" t="str">
        <f t="shared" si="192"/>
        <v/>
      </c>
      <c r="J94" s="8" t="str">
        <f t="shared" si="193"/>
        <v/>
      </c>
      <c r="K94" s="8" t="str">
        <f t="shared" si="90"/>
        <v/>
      </c>
      <c r="L94" s="8" t="str">
        <f t="shared" si="91"/>
        <v/>
      </c>
      <c r="M94" s="8" t="str">
        <f t="shared" si="92"/>
        <v/>
      </c>
      <c r="N94" s="8" t="str">
        <f t="shared" si="93"/>
        <v/>
      </c>
      <c r="O94" s="8" t="str">
        <f t="shared" si="94"/>
        <v/>
      </c>
      <c r="P94" s="8" t="str">
        <f t="shared" si="173"/>
        <v/>
      </c>
      <c r="Q94" s="8" t="str">
        <f t="shared" si="96"/>
        <v/>
      </c>
      <c r="R94" s="8" t="str">
        <f t="shared" si="97"/>
        <v/>
      </c>
      <c r="S94" s="8" t="str">
        <f t="shared" si="98"/>
        <v/>
      </c>
      <c r="T94" s="8" t="str">
        <f t="shared" si="174"/>
        <v/>
      </c>
      <c r="U94" s="8" t="str">
        <f t="shared" si="100"/>
        <v/>
      </c>
      <c r="V94" s="8" t="str">
        <f t="shared" si="101"/>
        <v/>
      </c>
      <c r="W94" s="8" t="str">
        <f t="shared" si="102"/>
        <v/>
      </c>
      <c r="X94" s="8" t="str">
        <f t="shared" si="175"/>
        <v/>
      </c>
      <c r="Y94" s="8" t="str">
        <f t="shared" si="104"/>
        <v/>
      </c>
      <c r="Z94" s="8" t="str">
        <f t="shared" si="105"/>
        <v/>
      </c>
      <c r="AA94" s="8" t="str">
        <f t="shared" si="106"/>
        <v/>
      </c>
      <c r="AB94" s="8" t="str">
        <f t="shared" si="176"/>
        <v/>
      </c>
      <c r="AC94" s="8" t="str">
        <f t="shared" si="108"/>
        <v/>
      </c>
      <c r="AD94" s="8" t="str">
        <f t="shared" si="109"/>
        <v/>
      </c>
      <c r="AE94" s="8" t="str">
        <f t="shared" si="110"/>
        <v/>
      </c>
      <c r="AF94" s="8" t="str">
        <f t="shared" si="177"/>
        <v/>
      </c>
      <c r="AG94" s="8" t="str">
        <f t="shared" si="112"/>
        <v/>
      </c>
      <c r="AH94" s="8" t="str">
        <f t="shared" si="113"/>
        <v/>
      </c>
      <c r="AI94" s="8" t="str">
        <f t="shared" si="114"/>
        <v/>
      </c>
      <c r="AJ94" s="8" t="str">
        <f t="shared" si="115"/>
        <v/>
      </c>
      <c r="AK94" s="8" t="str">
        <f t="shared" si="116"/>
        <v/>
      </c>
      <c r="AL94" s="8" t="str">
        <f t="shared" si="117"/>
        <v/>
      </c>
      <c r="AM94" s="8" t="str">
        <f t="shared" si="118"/>
        <v/>
      </c>
      <c r="AN94" s="8" t="str">
        <f t="shared" si="178"/>
        <v/>
      </c>
      <c r="AO94" s="8" t="str">
        <f t="shared" si="120"/>
        <v/>
      </c>
      <c r="AP94" s="8" t="str">
        <f t="shared" si="121"/>
        <v/>
      </c>
      <c r="AQ94" s="8" t="str">
        <f t="shared" si="122"/>
        <v/>
      </c>
      <c r="AR94" s="8" t="str">
        <f t="shared" si="179"/>
        <v/>
      </c>
      <c r="AS94" s="8" t="str">
        <f t="shared" si="124"/>
        <v/>
      </c>
      <c r="AT94" s="8" t="str">
        <f t="shared" si="125"/>
        <v/>
      </c>
      <c r="AU94" s="8" t="str">
        <f t="shared" si="126"/>
        <v/>
      </c>
      <c r="AV94" s="8" t="str">
        <f t="shared" si="180"/>
        <v/>
      </c>
      <c r="AW94" s="8" t="str">
        <f t="shared" si="128"/>
        <v/>
      </c>
      <c r="AX94" s="8" t="str">
        <f t="shared" si="129"/>
        <v/>
      </c>
      <c r="AY94" s="8" t="str">
        <f t="shared" si="130"/>
        <v/>
      </c>
      <c r="AZ94" s="8" t="str">
        <f t="shared" si="181"/>
        <v/>
      </c>
      <c r="BA94" s="8" t="str">
        <f t="shared" si="132"/>
        <v/>
      </c>
      <c r="BB94" s="8" t="str">
        <f t="shared" si="133"/>
        <v/>
      </c>
      <c r="BC94" s="8" t="str">
        <f t="shared" si="134"/>
        <v/>
      </c>
      <c r="BD94" s="8" t="str">
        <f t="shared" si="182"/>
        <v/>
      </c>
      <c r="BE94" s="8" t="str">
        <f t="shared" si="136"/>
        <v/>
      </c>
      <c r="BF94" s="8" t="str">
        <f t="shared" si="137"/>
        <v/>
      </c>
      <c r="BG94" s="8" t="str">
        <f t="shared" si="138"/>
        <v/>
      </c>
      <c r="BH94" s="8" t="str">
        <f t="shared" si="183"/>
        <v/>
      </c>
      <c r="BI94" s="8" t="str">
        <f t="shared" si="140"/>
        <v/>
      </c>
      <c r="BJ94" s="8" t="str">
        <f t="shared" si="141"/>
        <v/>
      </c>
      <c r="BK94" s="8" t="str">
        <f t="shared" si="142"/>
        <v/>
      </c>
      <c r="BL94" s="8" t="str">
        <f t="shared" si="184"/>
        <v/>
      </c>
      <c r="BM94" s="8" t="str">
        <f t="shared" si="144"/>
        <v/>
      </c>
      <c r="BN94" s="8" t="str">
        <f t="shared" si="145"/>
        <v/>
      </c>
      <c r="BO94" s="8" t="str">
        <f t="shared" si="146"/>
        <v/>
      </c>
      <c r="BP94" s="8" t="str">
        <f t="shared" si="147"/>
        <v/>
      </c>
      <c r="BQ94" s="8" t="str">
        <f t="shared" si="148"/>
        <v/>
      </c>
      <c r="BR94" s="8" t="str">
        <f t="shared" si="149"/>
        <v/>
      </c>
      <c r="BS94" s="8" t="str">
        <f t="shared" si="150"/>
        <v/>
      </c>
      <c r="BT94" s="8" t="str">
        <f t="shared" si="185"/>
        <v/>
      </c>
      <c r="BU94" s="8" t="str">
        <f t="shared" si="152"/>
        <v/>
      </c>
      <c r="BV94" s="8" t="str">
        <f t="shared" si="153"/>
        <v/>
      </c>
      <c r="BW94" s="8" t="str">
        <f t="shared" si="154"/>
        <v/>
      </c>
      <c r="BX94" s="8" t="str">
        <f t="shared" si="186"/>
        <v>Phil</v>
      </c>
      <c r="BY94" s="8" t="str">
        <f t="shared" si="156"/>
        <v/>
      </c>
      <c r="BZ94" s="8" t="str">
        <f t="shared" si="157"/>
        <v/>
      </c>
      <c r="CA94" s="8" t="str">
        <f t="shared" si="158"/>
        <v/>
      </c>
      <c r="CB94" s="8" t="str">
        <f t="shared" si="187"/>
        <v/>
      </c>
      <c r="CC94" s="8" t="str">
        <f t="shared" si="160"/>
        <v/>
      </c>
      <c r="CD94" s="8" t="str">
        <f t="shared" si="161"/>
        <v/>
      </c>
      <c r="CE94" s="8" t="str">
        <f t="shared" si="162"/>
        <v/>
      </c>
      <c r="CF94" s="8" t="str">
        <f t="shared" si="188"/>
        <v>Phil</v>
      </c>
      <c r="CG94" s="8" t="str">
        <f t="shared" si="164"/>
        <v/>
      </c>
      <c r="CH94" s="8" t="str">
        <f t="shared" si="165"/>
        <v/>
      </c>
      <c r="CI94" s="8" t="str">
        <f t="shared" si="166"/>
        <v/>
      </c>
      <c r="CJ94" s="8" t="str">
        <f t="shared" si="189"/>
        <v/>
      </c>
      <c r="CK94" s="8" t="str">
        <f t="shared" si="168"/>
        <v/>
      </c>
      <c r="CL94" s="8" t="str">
        <f t="shared" si="169"/>
        <v/>
      </c>
    </row>
    <row r="95" spans="4:90" x14ac:dyDescent="0.2">
      <c r="D95" s="37"/>
      <c r="E95" s="8">
        <f t="shared" si="190"/>
        <v>35</v>
      </c>
      <c r="G95" s="8" t="str">
        <f t="shared" si="191"/>
        <v/>
      </c>
      <c r="H95" s="8" t="str">
        <f t="shared" si="89"/>
        <v/>
      </c>
      <c r="I95" s="8" t="str">
        <f t="shared" si="192"/>
        <v/>
      </c>
      <c r="J95" s="8" t="str">
        <f t="shared" si="193"/>
        <v/>
      </c>
      <c r="K95" s="8" t="str">
        <f t="shared" si="90"/>
        <v/>
      </c>
      <c r="L95" s="8" t="str">
        <f t="shared" si="91"/>
        <v/>
      </c>
      <c r="M95" s="8" t="str">
        <f t="shared" si="92"/>
        <v/>
      </c>
      <c r="N95" s="8" t="str">
        <f t="shared" si="93"/>
        <v/>
      </c>
      <c r="O95" s="8" t="str">
        <f t="shared" si="94"/>
        <v/>
      </c>
      <c r="P95" s="8" t="str">
        <f t="shared" si="173"/>
        <v/>
      </c>
      <c r="Q95" s="8" t="str">
        <f t="shared" si="96"/>
        <v/>
      </c>
      <c r="R95" s="8" t="str">
        <f t="shared" si="97"/>
        <v/>
      </c>
      <c r="S95" s="8" t="str">
        <f t="shared" si="98"/>
        <v/>
      </c>
      <c r="T95" s="8" t="str">
        <f t="shared" si="174"/>
        <v/>
      </c>
      <c r="U95" s="8" t="str">
        <f t="shared" si="100"/>
        <v/>
      </c>
      <c r="V95" s="8" t="str">
        <f t="shared" si="101"/>
        <v/>
      </c>
      <c r="W95" s="8" t="str">
        <f t="shared" si="102"/>
        <v/>
      </c>
      <c r="X95" s="8" t="str">
        <f t="shared" si="175"/>
        <v/>
      </c>
      <c r="Y95" s="8" t="str">
        <f t="shared" si="104"/>
        <v/>
      </c>
      <c r="Z95" s="8" t="str">
        <f t="shared" si="105"/>
        <v/>
      </c>
      <c r="AA95" s="8" t="str">
        <f t="shared" si="106"/>
        <v/>
      </c>
      <c r="AB95" s="8" t="str">
        <f t="shared" si="176"/>
        <v/>
      </c>
      <c r="AC95" s="8" t="str">
        <f t="shared" si="108"/>
        <v/>
      </c>
      <c r="AD95" s="8" t="str">
        <f t="shared" si="109"/>
        <v/>
      </c>
      <c r="AE95" s="8" t="str">
        <f t="shared" si="110"/>
        <v/>
      </c>
      <c r="AF95" s="8" t="str">
        <f t="shared" si="177"/>
        <v/>
      </c>
      <c r="AG95" s="8" t="str">
        <f t="shared" si="112"/>
        <v/>
      </c>
      <c r="AH95" s="8" t="str">
        <f t="shared" si="113"/>
        <v/>
      </c>
      <c r="AI95" s="8" t="str">
        <f t="shared" si="114"/>
        <v/>
      </c>
      <c r="AJ95" s="8" t="str">
        <f t="shared" si="115"/>
        <v/>
      </c>
      <c r="AK95" s="8" t="str">
        <f t="shared" si="116"/>
        <v/>
      </c>
      <c r="AL95" s="8" t="str">
        <f t="shared" si="117"/>
        <v/>
      </c>
      <c r="AM95" s="8" t="str">
        <f t="shared" si="118"/>
        <v/>
      </c>
      <c r="AN95" s="8" t="str">
        <f t="shared" si="178"/>
        <v/>
      </c>
      <c r="AO95" s="8" t="str">
        <f t="shared" si="120"/>
        <v/>
      </c>
      <c r="AP95" s="8" t="str">
        <f t="shared" si="121"/>
        <v/>
      </c>
      <c r="AQ95" s="8" t="str">
        <f t="shared" si="122"/>
        <v/>
      </c>
      <c r="AR95" s="8" t="str">
        <f t="shared" si="179"/>
        <v/>
      </c>
      <c r="AS95" s="8" t="str">
        <f t="shared" si="124"/>
        <v/>
      </c>
      <c r="AT95" s="8" t="str">
        <f t="shared" si="125"/>
        <v/>
      </c>
      <c r="AU95" s="8" t="str">
        <f t="shared" si="126"/>
        <v/>
      </c>
      <c r="AV95" s="8" t="str">
        <f t="shared" si="180"/>
        <v/>
      </c>
      <c r="AW95" s="8" t="str">
        <f t="shared" si="128"/>
        <v/>
      </c>
      <c r="AX95" s="8" t="str">
        <f t="shared" si="129"/>
        <v/>
      </c>
      <c r="AY95" s="8" t="str">
        <f t="shared" si="130"/>
        <v/>
      </c>
      <c r="AZ95" s="8" t="str">
        <f t="shared" si="181"/>
        <v/>
      </c>
      <c r="BA95" s="8" t="str">
        <f t="shared" si="132"/>
        <v/>
      </c>
      <c r="BB95" s="8" t="str">
        <f t="shared" si="133"/>
        <v/>
      </c>
      <c r="BC95" s="8" t="str">
        <f t="shared" si="134"/>
        <v/>
      </c>
      <c r="BD95" s="8" t="str">
        <f t="shared" si="182"/>
        <v/>
      </c>
      <c r="BE95" s="8" t="str">
        <f t="shared" si="136"/>
        <v/>
      </c>
      <c r="BF95" s="8" t="str">
        <f t="shared" si="137"/>
        <v/>
      </c>
      <c r="BG95" s="8" t="str">
        <f t="shared" si="138"/>
        <v/>
      </c>
      <c r="BH95" s="8" t="str">
        <f t="shared" si="183"/>
        <v/>
      </c>
      <c r="BI95" s="8" t="str">
        <f t="shared" si="140"/>
        <v/>
      </c>
      <c r="BJ95" s="8" t="str">
        <f t="shared" si="141"/>
        <v/>
      </c>
      <c r="BK95" s="8" t="str">
        <f t="shared" si="142"/>
        <v/>
      </c>
      <c r="BL95" s="8" t="str">
        <f t="shared" si="184"/>
        <v/>
      </c>
      <c r="BM95" s="8" t="str">
        <f t="shared" si="144"/>
        <v/>
      </c>
      <c r="BN95" s="8" t="str">
        <f t="shared" si="145"/>
        <v/>
      </c>
      <c r="BO95" s="8" t="str">
        <f t="shared" si="146"/>
        <v/>
      </c>
      <c r="BP95" s="8" t="str">
        <f t="shared" si="147"/>
        <v/>
      </c>
      <c r="BQ95" s="8" t="str">
        <f t="shared" si="148"/>
        <v/>
      </c>
      <c r="BR95" s="8" t="str">
        <f t="shared" si="149"/>
        <v/>
      </c>
      <c r="BS95" s="8" t="str">
        <f t="shared" si="150"/>
        <v/>
      </c>
      <c r="BT95" s="8" t="str">
        <f t="shared" si="185"/>
        <v/>
      </c>
      <c r="BU95" s="8" t="str">
        <f t="shared" si="152"/>
        <v>Jeremy Lee (2)</v>
      </c>
      <c r="BV95" s="8" t="str">
        <f t="shared" si="153"/>
        <v/>
      </c>
      <c r="BW95" s="8" t="str">
        <f t="shared" si="154"/>
        <v/>
      </c>
      <c r="BX95" s="8" t="str">
        <f t="shared" si="186"/>
        <v/>
      </c>
      <c r="BY95" s="8" t="str">
        <f t="shared" si="156"/>
        <v>Jeremy Lee (2)</v>
      </c>
      <c r="BZ95" s="8" t="str">
        <f t="shared" si="157"/>
        <v/>
      </c>
      <c r="CA95" s="8" t="str">
        <f t="shared" si="158"/>
        <v/>
      </c>
      <c r="CB95" s="8" t="str">
        <f t="shared" si="187"/>
        <v/>
      </c>
      <c r="CC95" s="8" t="str">
        <f t="shared" si="160"/>
        <v>Jeremy Lee (2)</v>
      </c>
      <c r="CD95" s="8" t="str">
        <f t="shared" si="161"/>
        <v/>
      </c>
      <c r="CE95" s="8" t="str">
        <f t="shared" si="162"/>
        <v/>
      </c>
      <c r="CF95" s="8" t="str">
        <f t="shared" si="188"/>
        <v/>
      </c>
      <c r="CG95" s="8" t="str">
        <f t="shared" si="164"/>
        <v/>
      </c>
      <c r="CH95" s="8" t="str">
        <f t="shared" si="165"/>
        <v/>
      </c>
      <c r="CI95" s="8" t="str">
        <f t="shared" si="166"/>
        <v/>
      </c>
      <c r="CJ95" s="8" t="str">
        <f t="shared" si="189"/>
        <v/>
      </c>
      <c r="CK95" s="8" t="str">
        <f t="shared" si="168"/>
        <v>Jeremy Lee (3)</v>
      </c>
      <c r="CL95" s="8" t="str">
        <f t="shared" si="169"/>
        <v/>
      </c>
    </row>
    <row r="96" spans="4:90" x14ac:dyDescent="0.2">
      <c r="D96" s="37"/>
      <c r="E96" s="8">
        <f t="shared" si="190"/>
        <v>36</v>
      </c>
      <c r="G96" s="8" t="str">
        <f t="shared" si="191"/>
        <v/>
      </c>
      <c r="H96" s="8" t="str">
        <f t="shared" si="89"/>
        <v/>
      </c>
      <c r="I96" s="8" t="str">
        <f t="shared" si="192"/>
        <v/>
      </c>
      <c r="J96" s="8" t="str">
        <f t="shared" si="193"/>
        <v/>
      </c>
      <c r="K96" s="8" t="str">
        <f t="shared" si="90"/>
        <v/>
      </c>
      <c r="L96" s="8" t="str">
        <f t="shared" si="91"/>
        <v/>
      </c>
      <c r="M96" s="8" t="str">
        <f t="shared" si="92"/>
        <v/>
      </c>
      <c r="N96" s="8" t="str">
        <f t="shared" si="93"/>
        <v/>
      </c>
      <c r="O96" s="8" t="str">
        <f t="shared" si="94"/>
        <v/>
      </c>
      <c r="P96" s="8" t="str">
        <f t="shared" si="173"/>
        <v/>
      </c>
      <c r="Q96" s="8" t="str">
        <f t="shared" si="96"/>
        <v/>
      </c>
      <c r="R96" s="8" t="str">
        <f t="shared" si="97"/>
        <v/>
      </c>
      <c r="S96" s="8" t="str">
        <f t="shared" si="98"/>
        <v/>
      </c>
      <c r="T96" s="8" t="str">
        <f t="shared" si="174"/>
        <v/>
      </c>
      <c r="U96" s="8" t="str">
        <f t="shared" si="100"/>
        <v/>
      </c>
      <c r="V96" s="8" t="str">
        <f t="shared" si="101"/>
        <v/>
      </c>
      <c r="W96" s="8" t="str">
        <f t="shared" si="102"/>
        <v/>
      </c>
      <c r="X96" s="8" t="str">
        <f t="shared" si="175"/>
        <v/>
      </c>
      <c r="Y96" s="8" t="str">
        <f t="shared" si="104"/>
        <v/>
      </c>
      <c r="Z96" s="8" t="str">
        <f t="shared" si="105"/>
        <v/>
      </c>
      <c r="AA96" s="8" t="str">
        <f t="shared" si="106"/>
        <v/>
      </c>
      <c r="AB96" s="8" t="str">
        <f t="shared" si="176"/>
        <v/>
      </c>
      <c r="AC96" s="8" t="str">
        <f t="shared" si="108"/>
        <v/>
      </c>
      <c r="AD96" s="8" t="str">
        <f t="shared" si="109"/>
        <v/>
      </c>
      <c r="AE96" s="8" t="str">
        <f t="shared" si="110"/>
        <v/>
      </c>
      <c r="AF96" s="8" t="str">
        <f t="shared" si="177"/>
        <v/>
      </c>
      <c r="AG96" s="8" t="str">
        <f t="shared" si="112"/>
        <v/>
      </c>
      <c r="AH96" s="8" t="str">
        <f t="shared" si="113"/>
        <v/>
      </c>
      <c r="AI96" s="8" t="str">
        <f t="shared" si="114"/>
        <v/>
      </c>
      <c r="AJ96" s="8" t="str">
        <f t="shared" si="115"/>
        <v/>
      </c>
      <c r="AK96" s="8" t="str">
        <f t="shared" si="116"/>
        <v/>
      </c>
      <c r="AL96" s="8" t="str">
        <f t="shared" si="117"/>
        <v/>
      </c>
      <c r="AM96" s="8" t="str">
        <f t="shared" si="118"/>
        <v/>
      </c>
      <c r="AN96" s="8" t="str">
        <f t="shared" si="178"/>
        <v/>
      </c>
      <c r="AO96" s="8" t="str">
        <f t="shared" si="120"/>
        <v/>
      </c>
      <c r="AP96" s="8" t="str">
        <f t="shared" si="121"/>
        <v/>
      </c>
      <c r="AQ96" s="8" t="str">
        <f t="shared" si="122"/>
        <v/>
      </c>
      <c r="AR96" s="8" t="str">
        <f t="shared" si="179"/>
        <v/>
      </c>
      <c r="AS96" s="8" t="str">
        <f t="shared" si="124"/>
        <v/>
      </c>
      <c r="AT96" s="8" t="str">
        <f t="shared" si="125"/>
        <v/>
      </c>
      <c r="AU96" s="8" t="str">
        <f t="shared" si="126"/>
        <v/>
      </c>
      <c r="AV96" s="8" t="str">
        <f t="shared" si="180"/>
        <v/>
      </c>
      <c r="AW96" s="8" t="str">
        <f t="shared" si="128"/>
        <v/>
      </c>
      <c r="AX96" s="8" t="str">
        <f t="shared" si="129"/>
        <v/>
      </c>
      <c r="AY96" s="8" t="str">
        <f t="shared" si="130"/>
        <v/>
      </c>
      <c r="AZ96" s="8" t="str">
        <f t="shared" si="181"/>
        <v/>
      </c>
      <c r="BA96" s="8" t="str">
        <f t="shared" si="132"/>
        <v/>
      </c>
      <c r="BB96" s="8" t="str">
        <f t="shared" si="133"/>
        <v/>
      </c>
      <c r="BC96" s="8" t="str">
        <f t="shared" si="134"/>
        <v/>
      </c>
      <c r="BD96" s="8" t="str">
        <f t="shared" si="182"/>
        <v/>
      </c>
      <c r="BE96" s="8" t="str">
        <f t="shared" si="136"/>
        <v/>
      </c>
      <c r="BF96" s="8" t="str">
        <f t="shared" si="137"/>
        <v/>
      </c>
      <c r="BG96" s="8" t="str">
        <f t="shared" si="138"/>
        <v/>
      </c>
      <c r="BH96" s="8" t="str">
        <f t="shared" si="183"/>
        <v/>
      </c>
      <c r="BI96" s="8" t="str">
        <f t="shared" si="140"/>
        <v/>
      </c>
      <c r="BJ96" s="8" t="str">
        <f t="shared" si="141"/>
        <v/>
      </c>
      <c r="BK96" s="8" t="str">
        <f t="shared" si="142"/>
        <v/>
      </c>
      <c r="BL96" s="8" t="str">
        <f t="shared" si="184"/>
        <v/>
      </c>
      <c r="BM96" s="8" t="str">
        <f t="shared" si="144"/>
        <v/>
      </c>
      <c r="BN96" s="8" t="str">
        <f t="shared" si="145"/>
        <v/>
      </c>
      <c r="BO96" s="8" t="str">
        <f t="shared" si="146"/>
        <v/>
      </c>
      <c r="BP96" s="8" t="str">
        <f t="shared" si="147"/>
        <v/>
      </c>
      <c r="BQ96" s="8" t="str">
        <f t="shared" si="148"/>
        <v/>
      </c>
      <c r="BR96" s="8" t="str">
        <f t="shared" si="149"/>
        <v/>
      </c>
      <c r="BS96" s="8" t="str">
        <f t="shared" si="150"/>
        <v/>
      </c>
      <c r="BT96" s="8" t="str">
        <f t="shared" si="185"/>
        <v/>
      </c>
      <c r="BU96" s="8" t="str">
        <f t="shared" si="152"/>
        <v/>
      </c>
      <c r="BV96" s="8" t="str">
        <f t="shared" si="153"/>
        <v/>
      </c>
      <c r="BW96" s="8" t="str">
        <f t="shared" si="154"/>
        <v/>
      </c>
      <c r="BX96" s="8" t="str">
        <f t="shared" si="186"/>
        <v/>
      </c>
      <c r="BY96" s="8" t="str">
        <f t="shared" si="156"/>
        <v/>
      </c>
      <c r="BZ96" s="8" t="str">
        <f t="shared" si="157"/>
        <v/>
      </c>
      <c r="CA96" s="8" t="str">
        <f t="shared" si="158"/>
        <v/>
      </c>
      <c r="CB96" s="8" t="str">
        <f t="shared" si="187"/>
        <v/>
      </c>
      <c r="CC96" s="8" t="str">
        <f t="shared" si="160"/>
        <v/>
      </c>
      <c r="CD96" s="8" t="str">
        <f t="shared" si="161"/>
        <v/>
      </c>
      <c r="CE96" s="8" t="str">
        <f t="shared" si="162"/>
        <v/>
      </c>
      <c r="CF96" s="8" t="str">
        <f t="shared" si="188"/>
        <v/>
      </c>
      <c r="CG96" s="8" t="str">
        <f t="shared" si="164"/>
        <v/>
      </c>
      <c r="CH96" s="8" t="str">
        <f t="shared" si="165"/>
        <v/>
      </c>
      <c r="CI96" s="8" t="str">
        <f t="shared" si="166"/>
        <v/>
      </c>
      <c r="CJ96" s="8" t="str">
        <f t="shared" si="189"/>
        <v/>
      </c>
      <c r="CK96" s="8" t="str">
        <f t="shared" si="168"/>
        <v/>
      </c>
      <c r="CL96" s="8" t="str">
        <f t="shared" si="169"/>
        <v/>
      </c>
    </row>
    <row r="97" spans="3:90" x14ac:dyDescent="0.2">
      <c r="D97" s="37"/>
      <c r="E97" s="8">
        <f t="shared" si="190"/>
        <v>37</v>
      </c>
      <c r="G97" s="8" t="str">
        <f t="shared" si="191"/>
        <v/>
      </c>
      <c r="H97" s="8" t="str">
        <f t="shared" si="89"/>
        <v/>
      </c>
      <c r="I97" s="8" t="str">
        <f t="shared" si="192"/>
        <v/>
      </c>
      <c r="J97" s="8" t="str">
        <f t="shared" si="193"/>
        <v/>
      </c>
      <c r="K97" s="8" t="str">
        <f t="shared" si="90"/>
        <v/>
      </c>
      <c r="L97" s="8" t="str">
        <f t="shared" si="91"/>
        <v/>
      </c>
      <c r="M97" s="8" t="str">
        <f t="shared" si="92"/>
        <v/>
      </c>
      <c r="N97" s="8" t="str">
        <f t="shared" si="93"/>
        <v/>
      </c>
      <c r="O97" s="8" t="str">
        <f t="shared" si="94"/>
        <v/>
      </c>
      <c r="P97" s="8" t="str">
        <f t="shared" si="173"/>
        <v/>
      </c>
      <c r="Q97" s="8" t="str">
        <f t="shared" si="96"/>
        <v/>
      </c>
      <c r="R97" s="8" t="str">
        <f t="shared" si="97"/>
        <v/>
      </c>
      <c r="S97" s="8" t="str">
        <f t="shared" si="98"/>
        <v/>
      </c>
      <c r="T97" s="8" t="str">
        <f t="shared" si="174"/>
        <v/>
      </c>
      <c r="U97" s="8" t="str">
        <f t="shared" si="100"/>
        <v/>
      </c>
      <c r="V97" s="8" t="str">
        <f t="shared" si="101"/>
        <v/>
      </c>
      <c r="W97" s="8" t="str">
        <f t="shared" si="102"/>
        <v/>
      </c>
      <c r="X97" s="8" t="str">
        <f t="shared" si="175"/>
        <v/>
      </c>
      <c r="Y97" s="8" t="str">
        <f t="shared" si="104"/>
        <v/>
      </c>
      <c r="Z97" s="8" t="str">
        <f t="shared" si="105"/>
        <v/>
      </c>
      <c r="AA97" s="8" t="str">
        <f t="shared" si="106"/>
        <v/>
      </c>
      <c r="AB97" s="8" t="str">
        <f t="shared" si="176"/>
        <v/>
      </c>
      <c r="AC97" s="8" t="str">
        <f t="shared" si="108"/>
        <v/>
      </c>
      <c r="AD97" s="8" t="str">
        <f t="shared" si="109"/>
        <v/>
      </c>
      <c r="AE97" s="8" t="str">
        <f t="shared" si="110"/>
        <v/>
      </c>
      <c r="AF97" s="8" t="str">
        <f t="shared" si="177"/>
        <v/>
      </c>
      <c r="AG97" s="8" t="str">
        <f t="shared" si="112"/>
        <v/>
      </c>
      <c r="AH97" s="8" t="str">
        <f t="shared" si="113"/>
        <v/>
      </c>
      <c r="AI97" s="8" t="str">
        <f t="shared" si="114"/>
        <v/>
      </c>
      <c r="AJ97" s="8" t="str">
        <f t="shared" si="115"/>
        <v/>
      </c>
      <c r="AK97" s="8" t="str">
        <f t="shared" si="116"/>
        <v/>
      </c>
      <c r="AL97" s="8" t="str">
        <f t="shared" si="117"/>
        <v/>
      </c>
      <c r="AM97" s="8" t="str">
        <f t="shared" si="118"/>
        <v/>
      </c>
      <c r="AN97" s="8" t="str">
        <f t="shared" si="178"/>
        <v/>
      </c>
      <c r="AO97" s="8" t="str">
        <f t="shared" si="120"/>
        <v/>
      </c>
      <c r="AP97" s="8" t="str">
        <f t="shared" si="121"/>
        <v/>
      </c>
      <c r="AQ97" s="8" t="str">
        <f t="shared" si="122"/>
        <v/>
      </c>
      <c r="AR97" s="8" t="str">
        <f t="shared" si="179"/>
        <v/>
      </c>
      <c r="AS97" s="8" t="str">
        <f t="shared" si="124"/>
        <v/>
      </c>
      <c r="AT97" s="8" t="str">
        <f t="shared" si="125"/>
        <v/>
      </c>
      <c r="AU97" s="8" t="str">
        <f t="shared" si="126"/>
        <v/>
      </c>
      <c r="AV97" s="8" t="str">
        <f t="shared" si="180"/>
        <v/>
      </c>
      <c r="AW97" s="8" t="str">
        <f t="shared" si="128"/>
        <v/>
      </c>
      <c r="AX97" s="8" t="str">
        <f t="shared" si="129"/>
        <v/>
      </c>
      <c r="AY97" s="8" t="str">
        <f t="shared" si="130"/>
        <v/>
      </c>
      <c r="AZ97" s="8" t="str">
        <f t="shared" si="181"/>
        <v/>
      </c>
      <c r="BA97" s="8" t="str">
        <f t="shared" si="132"/>
        <v/>
      </c>
      <c r="BB97" s="8" t="str">
        <f t="shared" si="133"/>
        <v/>
      </c>
      <c r="BC97" s="8" t="str">
        <f t="shared" si="134"/>
        <v/>
      </c>
      <c r="BD97" s="8" t="str">
        <f t="shared" si="182"/>
        <v/>
      </c>
      <c r="BE97" s="8" t="str">
        <f t="shared" si="136"/>
        <v/>
      </c>
      <c r="BF97" s="8" t="str">
        <f t="shared" si="137"/>
        <v/>
      </c>
      <c r="BG97" s="8" t="str">
        <f t="shared" si="138"/>
        <v/>
      </c>
      <c r="BH97" s="8" t="str">
        <f t="shared" si="183"/>
        <v/>
      </c>
      <c r="BI97" s="8" t="str">
        <f t="shared" si="140"/>
        <v/>
      </c>
      <c r="BJ97" s="8" t="str">
        <f t="shared" si="141"/>
        <v/>
      </c>
      <c r="BK97" s="8" t="str">
        <f t="shared" si="142"/>
        <v/>
      </c>
      <c r="BL97" s="8" t="str">
        <f t="shared" si="184"/>
        <v/>
      </c>
      <c r="BM97" s="8" t="str">
        <f t="shared" si="144"/>
        <v/>
      </c>
      <c r="BN97" s="8" t="str">
        <f t="shared" si="145"/>
        <v/>
      </c>
      <c r="BO97" s="8" t="str">
        <f t="shared" si="146"/>
        <v/>
      </c>
      <c r="BP97" s="8" t="str">
        <f t="shared" si="147"/>
        <v/>
      </c>
      <c r="BQ97" s="8" t="str">
        <f t="shared" si="148"/>
        <v/>
      </c>
      <c r="BR97" s="8" t="str">
        <f t="shared" si="149"/>
        <v/>
      </c>
      <c r="BS97" s="8" t="str">
        <f t="shared" si="150"/>
        <v/>
      </c>
      <c r="BT97" s="8" t="str">
        <f t="shared" si="185"/>
        <v/>
      </c>
      <c r="BU97" s="8" t="str">
        <f t="shared" si="152"/>
        <v/>
      </c>
      <c r="BV97" s="8" t="str">
        <f t="shared" si="153"/>
        <v/>
      </c>
      <c r="BW97" s="8" t="str">
        <f t="shared" si="154"/>
        <v/>
      </c>
      <c r="BX97" s="8" t="str">
        <f t="shared" si="186"/>
        <v/>
      </c>
      <c r="BY97" s="8" t="str">
        <f t="shared" si="156"/>
        <v/>
      </c>
      <c r="BZ97" s="8" t="str">
        <f t="shared" si="157"/>
        <v/>
      </c>
      <c r="CA97" s="8" t="str">
        <f t="shared" si="158"/>
        <v/>
      </c>
      <c r="CB97" s="8" t="str">
        <f t="shared" si="187"/>
        <v/>
      </c>
      <c r="CC97" s="8" t="str">
        <f t="shared" si="160"/>
        <v/>
      </c>
      <c r="CD97" s="8" t="str">
        <f t="shared" si="161"/>
        <v/>
      </c>
      <c r="CE97" s="8" t="str">
        <f t="shared" si="162"/>
        <v/>
      </c>
      <c r="CF97" s="8" t="str">
        <f t="shared" si="188"/>
        <v/>
      </c>
      <c r="CG97" s="8" t="str">
        <f t="shared" si="164"/>
        <v/>
      </c>
      <c r="CH97" s="8" t="str">
        <f t="shared" si="165"/>
        <v/>
      </c>
      <c r="CI97" s="8" t="str">
        <f t="shared" si="166"/>
        <v/>
      </c>
      <c r="CJ97" s="8" t="str">
        <f t="shared" si="189"/>
        <v/>
      </c>
      <c r="CK97" s="8" t="str">
        <f t="shared" si="168"/>
        <v/>
      </c>
      <c r="CL97" s="8" t="str">
        <f t="shared" si="169"/>
        <v/>
      </c>
    </row>
    <row r="98" spans="3:90" x14ac:dyDescent="0.2">
      <c r="D98" s="37"/>
      <c r="E98" s="8">
        <f t="shared" si="190"/>
        <v>38</v>
      </c>
      <c r="G98" s="8" t="str">
        <f t="shared" si="191"/>
        <v/>
      </c>
      <c r="H98" s="8" t="str">
        <f t="shared" si="89"/>
        <v/>
      </c>
      <c r="I98" s="8" t="str">
        <f t="shared" si="192"/>
        <v/>
      </c>
      <c r="J98" s="8" t="str">
        <f t="shared" si="193"/>
        <v/>
      </c>
      <c r="K98" s="8" t="str">
        <f t="shared" si="90"/>
        <v/>
      </c>
      <c r="L98" s="8" t="str">
        <f t="shared" si="91"/>
        <v/>
      </c>
      <c r="M98" s="8" t="str">
        <f t="shared" si="92"/>
        <v/>
      </c>
      <c r="N98" s="8" t="str">
        <f t="shared" si="93"/>
        <v/>
      </c>
      <c r="O98" s="8" t="str">
        <f t="shared" si="94"/>
        <v/>
      </c>
      <c r="P98" s="8" t="str">
        <f t="shared" si="173"/>
        <v/>
      </c>
      <c r="Q98" s="8" t="str">
        <f t="shared" si="96"/>
        <v/>
      </c>
      <c r="R98" s="8" t="str">
        <f t="shared" si="97"/>
        <v/>
      </c>
      <c r="S98" s="8" t="str">
        <f t="shared" si="98"/>
        <v/>
      </c>
      <c r="T98" s="8" t="str">
        <f t="shared" si="174"/>
        <v/>
      </c>
      <c r="U98" s="8" t="str">
        <f t="shared" si="100"/>
        <v/>
      </c>
      <c r="V98" s="8" t="str">
        <f t="shared" si="101"/>
        <v/>
      </c>
      <c r="W98" s="8" t="str">
        <f t="shared" si="102"/>
        <v/>
      </c>
      <c r="X98" s="8" t="str">
        <f t="shared" si="175"/>
        <v/>
      </c>
      <c r="Y98" s="8" t="str">
        <f t="shared" si="104"/>
        <v/>
      </c>
      <c r="Z98" s="8" t="str">
        <f t="shared" si="105"/>
        <v/>
      </c>
      <c r="AA98" s="8" t="str">
        <f t="shared" si="106"/>
        <v/>
      </c>
      <c r="AB98" s="8" t="str">
        <f t="shared" si="176"/>
        <v/>
      </c>
      <c r="AC98" s="8" t="str">
        <f t="shared" si="108"/>
        <v/>
      </c>
      <c r="AD98" s="8" t="str">
        <f t="shared" si="109"/>
        <v/>
      </c>
      <c r="AE98" s="8" t="str">
        <f t="shared" si="110"/>
        <v/>
      </c>
      <c r="AF98" s="8" t="str">
        <f t="shared" si="177"/>
        <v/>
      </c>
      <c r="AG98" s="8" t="str">
        <f t="shared" si="112"/>
        <v/>
      </c>
      <c r="AH98" s="8" t="str">
        <f t="shared" si="113"/>
        <v/>
      </c>
      <c r="AI98" s="8" t="str">
        <f t="shared" si="114"/>
        <v/>
      </c>
      <c r="AJ98" s="8" t="str">
        <f t="shared" si="115"/>
        <v/>
      </c>
      <c r="AK98" s="8" t="str">
        <f t="shared" si="116"/>
        <v/>
      </c>
      <c r="AL98" s="8" t="str">
        <f t="shared" si="117"/>
        <v/>
      </c>
      <c r="AM98" s="8" t="str">
        <f t="shared" si="118"/>
        <v/>
      </c>
      <c r="AN98" s="8" t="str">
        <f t="shared" si="178"/>
        <v/>
      </c>
      <c r="AO98" s="8" t="str">
        <f t="shared" si="120"/>
        <v/>
      </c>
      <c r="AP98" s="8" t="str">
        <f t="shared" si="121"/>
        <v/>
      </c>
      <c r="AQ98" s="8" t="str">
        <f t="shared" si="122"/>
        <v/>
      </c>
      <c r="AR98" s="8" t="str">
        <f t="shared" si="179"/>
        <v/>
      </c>
      <c r="AS98" s="8" t="str">
        <f t="shared" si="124"/>
        <v/>
      </c>
      <c r="AT98" s="8" t="str">
        <f t="shared" si="125"/>
        <v/>
      </c>
      <c r="AU98" s="8" t="str">
        <f t="shared" si="126"/>
        <v/>
      </c>
      <c r="AV98" s="8" t="str">
        <f t="shared" si="180"/>
        <v/>
      </c>
      <c r="AW98" s="8" t="str">
        <f t="shared" si="128"/>
        <v/>
      </c>
      <c r="AX98" s="8" t="str">
        <f t="shared" si="129"/>
        <v/>
      </c>
      <c r="AY98" s="8" t="str">
        <f t="shared" si="130"/>
        <v/>
      </c>
      <c r="AZ98" s="8" t="str">
        <f t="shared" si="181"/>
        <v/>
      </c>
      <c r="BA98" s="8" t="str">
        <f t="shared" si="132"/>
        <v/>
      </c>
      <c r="BB98" s="8" t="str">
        <f t="shared" si="133"/>
        <v/>
      </c>
      <c r="BC98" s="8" t="str">
        <f t="shared" si="134"/>
        <v/>
      </c>
      <c r="BD98" s="8" t="str">
        <f t="shared" si="182"/>
        <v/>
      </c>
      <c r="BE98" s="8" t="str">
        <f t="shared" si="136"/>
        <v/>
      </c>
      <c r="BF98" s="8" t="str">
        <f t="shared" si="137"/>
        <v/>
      </c>
      <c r="BG98" s="8" t="str">
        <f t="shared" si="138"/>
        <v/>
      </c>
      <c r="BH98" s="8" t="str">
        <f t="shared" si="183"/>
        <v/>
      </c>
      <c r="BI98" s="8" t="str">
        <f t="shared" si="140"/>
        <v/>
      </c>
      <c r="BJ98" s="8" t="str">
        <f t="shared" si="141"/>
        <v/>
      </c>
      <c r="BK98" s="8" t="str">
        <f t="shared" si="142"/>
        <v/>
      </c>
      <c r="BL98" s="8" t="str">
        <f t="shared" si="184"/>
        <v/>
      </c>
      <c r="BM98" s="8" t="str">
        <f t="shared" si="144"/>
        <v/>
      </c>
      <c r="BN98" s="8" t="str">
        <f t="shared" si="145"/>
        <v/>
      </c>
      <c r="BO98" s="8" t="str">
        <f t="shared" si="146"/>
        <v/>
      </c>
      <c r="BP98" s="8" t="str">
        <f t="shared" si="147"/>
        <v/>
      </c>
      <c r="BQ98" s="8" t="str">
        <f t="shared" si="148"/>
        <v/>
      </c>
      <c r="BR98" s="8" t="str">
        <f t="shared" si="149"/>
        <v/>
      </c>
      <c r="BS98" s="8" t="str">
        <f t="shared" si="150"/>
        <v/>
      </c>
      <c r="BT98" s="8" t="str">
        <f t="shared" si="185"/>
        <v/>
      </c>
      <c r="BU98" s="8" t="str">
        <f t="shared" si="152"/>
        <v/>
      </c>
      <c r="BV98" s="8" t="str">
        <f t="shared" si="153"/>
        <v/>
      </c>
      <c r="BW98" s="8" t="str">
        <f t="shared" si="154"/>
        <v/>
      </c>
      <c r="BX98" s="8" t="str">
        <f t="shared" si="186"/>
        <v/>
      </c>
      <c r="BY98" s="8" t="str">
        <f t="shared" si="156"/>
        <v/>
      </c>
      <c r="BZ98" s="8" t="str">
        <f t="shared" si="157"/>
        <v/>
      </c>
      <c r="CA98" s="8" t="str">
        <f t="shared" si="158"/>
        <v/>
      </c>
      <c r="CB98" s="8" t="str">
        <f t="shared" si="187"/>
        <v/>
      </c>
      <c r="CC98" s="8" t="str">
        <f t="shared" si="160"/>
        <v/>
      </c>
      <c r="CD98" s="8" t="str">
        <f t="shared" si="161"/>
        <v/>
      </c>
      <c r="CE98" s="8" t="str">
        <f t="shared" si="162"/>
        <v/>
      </c>
      <c r="CF98" s="8" t="str">
        <f t="shared" si="188"/>
        <v/>
      </c>
      <c r="CG98" s="8" t="str">
        <f t="shared" si="164"/>
        <v/>
      </c>
      <c r="CH98" s="8" t="str">
        <f t="shared" si="165"/>
        <v/>
      </c>
      <c r="CI98" s="8" t="str">
        <f t="shared" si="166"/>
        <v/>
      </c>
      <c r="CJ98" s="8" t="str">
        <f t="shared" si="189"/>
        <v/>
      </c>
      <c r="CK98" s="8" t="str">
        <f t="shared" si="168"/>
        <v/>
      </c>
      <c r="CL98" s="8" t="str">
        <f t="shared" si="169"/>
        <v/>
      </c>
    </row>
    <row r="99" spans="3:90" x14ac:dyDescent="0.2">
      <c r="D99" s="37"/>
      <c r="E99" s="8">
        <f t="shared" si="190"/>
        <v>39</v>
      </c>
      <c r="G99" s="8" t="str">
        <f t="shared" si="191"/>
        <v/>
      </c>
      <c r="H99" s="8" t="str">
        <f t="shared" si="89"/>
        <v/>
      </c>
      <c r="I99" s="8" t="str">
        <f t="shared" si="192"/>
        <v/>
      </c>
      <c r="J99" s="8" t="str">
        <f t="shared" si="193"/>
        <v/>
      </c>
      <c r="K99" s="8" t="str">
        <f t="shared" si="90"/>
        <v/>
      </c>
      <c r="L99" s="8" t="str">
        <f t="shared" si="91"/>
        <v/>
      </c>
      <c r="M99" s="8" t="str">
        <f t="shared" si="92"/>
        <v/>
      </c>
      <c r="N99" s="8" t="str">
        <f t="shared" si="93"/>
        <v/>
      </c>
      <c r="O99" s="8" t="str">
        <f t="shared" si="94"/>
        <v/>
      </c>
      <c r="P99" s="8" t="str">
        <f t="shared" si="173"/>
        <v/>
      </c>
      <c r="Q99" s="8" t="str">
        <f t="shared" si="96"/>
        <v/>
      </c>
      <c r="R99" s="8" t="str">
        <f t="shared" si="97"/>
        <v/>
      </c>
      <c r="S99" s="8" t="str">
        <f t="shared" si="98"/>
        <v/>
      </c>
      <c r="T99" s="8" t="str">
        <f t="shared" si="174"/>
        <v/>
      </c>
      <c r="U99" s="8" t="str">
        <f t="shared" si="100"/>
        <v/>
      </c>
      <c r="V99" s="8" t="str">
        <f t="shared" si="101"/>
        <v/>
      </c>
      <c r="W99" s="8" t="str">
        <f t="shared" si="102"/>
        <v/>
      </c>
      <c r="X99" s="8" t="str">
        <f t="shared" si="175"/>
        <v/>
      </c>
      <c r="Y99" s="8" t="str">
        <f t="shared" si="104"/>
        <v/>
      </c>
      <c r="Z99" s="8" t="str">
        <f t="shared" si="105"/>
        <v/>
      </c>
      <c r="AA99" s="8" t="str">
        <f t="shared" si="106"/>
        <v/>
      </c>
      <c r="AB99" s="8" t="str">
        <f t="shared" si="176"/>
        <v/>
      </c>
      <c r="AC99" s="8" t="str">
        <f t="shared" si="108"/>
        <v/>
      </c>
      <c r="AD99" s="8" t="str">
        <f t="shared" si="109"/>
        <v/>
      </c>
      <c r="AE99" s="8" t="str">
        <f t="shared" si="110"/>
        <v/>
      </c>
      <c r="AF99" s="8" t="str">
        <f t="shared" si="177"/>
        <v/>
      </c>
      <c r="AG99" s="8" t="str">
        <f t="shared" si="112"/>
        <v/>
      </c>
      <c r="AH99" s="8" t="str">
        <f t="shared" si="113"/>
        <v/>
      </c>
      <c r="AI99" s="8" t="str">
        <f t="shared" si="114"/>
        <v/>
      </c>
      <c r="AJ99" s="8" t="str">
        <f t="shared" si="115"/>
        <v/>
      </c>
      <c r="AK99" s="8" t="str">
        <f t="shared" si="116"/>
        <v/>
      </c>
      <c r="AL99" s="8" t="str">
        <f t="shared" si="117"/>
        <v/>
      </c>
      <c r="AM99" s="8" t="str">
        <f t="shared" si="118"/>
        <v/>
      </c>
      <c r="AN99" s="8" t="str">
        <f t="shared" si="178"/>
        <v/>
      </c>
      <c r="AO99" s="8" t="str">
        <f t="shared" si="120"/>
        <v/>
      </c>
      <c r="AP99" s="8" t="str">
        <f t="shared" si="121"/>
        <v/>
      </c>
      <c r="AQ99" s="8" t="str">
        <f t="shared" si="122"/>
        <v/>
      </c>
      <c r="AR99" s="8" t="str">
        <f t="shared" si="179"/>
        <v/>
      </c>
      <c r="AS99" s="8" t="str">
        <f t="shared" si="124"/>
        <v/>
      </c>
      <c r="AT99" s="8" t="str">
        <f t="shared" si="125"/>
        <v/>
      </c>
      <c r="AU99" s="8" t="str">
        <f t="shared" si="126"/>
        <v/>
      </c>
      <c r="AV99" s="8" t="str">
        <f t="shared" si="180"/>
        <v/>
      </c>
      <c r="AW99" s="8" t="str">
        <f t="shared" si="128"/>
        <v/>
      </c>
      <c r="AX99" s="8" t="str">
        <f t="shared" si="129"/>
        <v/>
      </c>
      <c r="AY99" s="8" t="str">
        <f t="shared" si="130"/>
        <v/>
      </c>
      <c r="AZ99" s="8" t="str">
        <f t="shared" si="181"/>
        <v/>
      </c>
      <c r="BA99" s="8" t="str">
        <f t="shared" si="132"/>
        <v/>
      </c>
      <c r="BB99" s="8" t="str">
        <f t="shared" si="133"/>
        <v/>
      </c>
      <c r="BC99" s="8" t="str">
        <f t="shared" si="134"/>
        <v/>
      </c>
      <c r="BD99" s="8" t="str">
        <f t="shared" si="182"/>
        <v/>
      </c>
      <c r="BE99" s="8" t="str">
        <f t="shared" si="136"/>
        <v/>
      </c>
      <c r="BF99" s="8" t="str">
        <f t="shared" si="137"/>
        <v/>
      </c>
      <c r="BG99" s="8" t="str">
        <f t="shared" si="138"/>
        <v/>
      </c>
      <c r="BH99" s="8" t="str">
        <f t="shared" si="183"/>
        <v/>
      </c>
      <c r="BI99" s="8" t="str">
        <f t="shared" si="140"/>
        <v/>
      </c>
      <c r="BJ99" s="8" t="str">
        <f t="shared" si="141"/>
        <v/>
      </c>
      <c r="BK99" s="8" t="str">
        <f t="shared" si="142"/>
        <v/>
      </c>
      <c r="BL99" s="8" t="str">
        <f t="shared" si="184"/>
        <v/>
      </c>
      <c r="BM99" s="8" t="str">
        <f t="shared" si="144"/>
        <v/>
      </c>
      <c r="BN99" s="8" t="str">
        <f t="shared" si="145"/>
        <v/>
      </c>
      <c r="BO99" s="8" t="str">
        <f t="shared" si="146"/>
        <v/>
      </c>
      <c r="BP99" s="8" t="str">
        <f t="shared" si="147"/>
        <v/>
      </c>
      <c r="BQ99" s="8" t="str">
        <f t="shared" si="148"/>
        <v/>
      </c>
      <c r="BR99" s="8" t="str">
        <f t="shared" si="149"/>
        <v/>
      </c>
      <c r="BS99" s="8" t="str">
        <f t="shared" si="150"/>
        <v/>
      </c>
      <c r="BT99" s="8" t="str">
        <f t="shared" si="185"/>
        <v/>
      </c>
      <c r="BU99" s="8" t="str">
        <f t="shared" si="152"/>
        <v/>
      </c>
      <c r="BV99" s="8" t="str">
        <f t="shared" si="153"/>
        <v/>
      </c>
      <c r="BW99" s="8" t="str">
        <f t="shared" si="154"/>
        <v/>
      </c>
      <c r="BX99" s="8" t="str">
        <f t="shared" si="186"/>
        <v/>
      </c>
      <c r="BY99" s="8" t="str">
        <f t="shared" si="156"/>
        <v/>
      </c>
      <c r="BZ99" s="8" t="str">
        <f t="shared" si="157"/>
        <v/>
      </c>
      <c r="CA99" s="8" t="str">
        <f t="shared" si="158"/>
        <v/>
      </c>
      <c r="CB99" s="8" t="str">
        <f t="shared" si="187"/>
        <v/>
      </c>
      <c r="CC99" s="8" t="str">
        <f t="shared" si="160"/>
        <v/>
      </c>
      <c r="CD99" s="8" t="str">
        <f t="shared" si="161"/>
        <v/>
      </c>
      <c r="CE99" s="8" t="str">
        <f t="shared" si="162"/>
        <v/>
      </c>
      <c r="CF99" s="8" t="str">
        <f t="shared" si="188"/>
        <v/>
      </c>
      <c r="CG99" s="8" t="str">
        <f t="shared" si="164"/>
        <v/>
      </c>
      <c r="CH99" s="8" t="str">
        <f t="shared" si="165"/>
        <v/>
      </c>
      <c r="CI99" s="8" t="str">
        <f t="shared" si="166"/>
        <v/>
      </c>
      <c r="CJ99" s="8" t="str">
        <f t="shared" si="189"/>
        <v/>
      </c>
      <c r="CK99" s="8" t="str">
        <f t="shared" si="168"/>
        <v/>
      </c>
      <c r="CL99" s="8" t="str">
        <f t="shared" si="169"/>
        <v/>
      </c>
    </row>
    <row r="100" spans="3:90" x14ac:dyDescent="0.2">
      <c r="D100" s="37"/>
      <c r="E100" s="8">
        <f t="shared" si="190"/>
        <v>40</v>
      </c>
      <c r="G100" s="8" t="str">
        <f t="shared" si="191"/>
        <v/>
      </c>
      <c r="H100" s="8" t="str">
        <f t="shared" si="89"/>
        <v/>
      </c>
      <c r="I100" s="8" t="str">
        <f t="shared" si="192"/>
        <v/>
      </c>
      <c r="J100" s="8" t="str">
        <f t="shared" si="193"/>
        <v/>
      </c>
      <c r="K100" s="8" t="str">
        <f t="shared" si="90"/>
        <v/>
      </c>
      <c r="L100" s="8" t="str">
        <f t="shared" si="91"/>
        <v/>
      </c>
      <c r="M100" s="8" t="str">
        <f t="shared" si="92"/>
        <v/>
      </c>
      <c r="N100" s="8" t="str">
        <f t="shared" si="93"/>
        <v>A.N.Other (1)</v>
      </c>
      <c r="O100" s="8" t="str">
        <f t="shared" si="94"/>
        <v/>
      </c>
      <c r="P100" s="8" t="str">
        <f t="shared" si="173"/>
        <v/>
      </c>
      <c r="Q100" s="8" t="str">
        <f t="shared" si="96"/>
        <v/>
      </c>
      <c r="R100" s="8" t="str">
        <f t="shared" si="97"/>
        <v/>
      </c>
      <c r="S100" s="8" t="str">
        <f t="shared" si="98"/>
        <v/>
      </c>
      <c r="T100" s="8" t="str">
        <f t="shared" si="174"/>
        <v/>
      </c>
      <c r="U100" s="8" t="str">
        <f t="shared" si="100"/>
        <v/>
      </c>
      <c r="V100" s="8" t="str">
        <f t="shared" si="101"/>
        <v/>
      </c>
      <c r="W100" s="8" t="str">
        <f t="shared" si="102"/>
        <v/>
      </c>
      <c r="X100" s="8" t="str">
        <f t="shared" si="175"/>
        <v/>
      </c>
      <c r="Y100" s="8" t="str">
        <f t="shared" si="104"/>
        <v/>
      </c>
      <c r="Z100" s="8" t="str">
        <f t="shared" si="105"/>
        <v/>
      </c>
      <c r="AA100" s="8" t="str">
        <f t="shared" si="106"/>
        <v/>
      </c>
      <c r="AB100" s="8" t="str">
        <f t="shared" si="176"/>
        <v/>
      </c>
      <c r="AC100" s="8" t="str">
        <f t="shared" si="108"/>
        <v/>
      </c>
      <c r="AD100" s="8" t="str">
        <f t="shared" si="109"/>
        <v/>
      </c>
      <c r="AE100" s="8" t="str">
        <f t="shared" si="110"/>
        <v/>
      </c>
      <c r="AF100" s="8" t="str">
        <f t="shared" si="177"/>
        <v/>
      </c>
      <c r="AG100" s="8" t="str">
        <f t="shared" si="112"/>
        <v/>
      </c>
      <c r="AH100" s="8" t="str">
        <f t="shared" si="113"/>
        <v/>
      </c>
      <c r="AI100" s="8" t="str">
        <f t="shared" si="114"/>
        <v/>
      </c>
      <c r="AJ100" s="8" t="str">
        <f t="shared" si="115"/>
        <v/>
      </c>
      <c r="AK100" s="8" t="str">
        <f t="shared" si="116"/>
        <v/>
      </c>
      <c r="AL100" s="8" t="str">
        <f t="shared" si="117"/>
        <v/>
      </c>
      <c r="AM100" s="8" t="str">
        <f t="shared" si="118"/>
        <v/>
      </c>
      <c r="AN100" s="8" t="str">
        <f t="shared" si="178"/>
        <v/>
      </c>
      <c r="AO100" s="8" t="str">
        <f t="shared" si="120"/>
        <v/>
      </c>
      <c r="AP100" s="8" t="str">
        <f t="shared" si="121"/>
        <v/>
      </c>
      <c r="AQ100" s="8" t="str">
        <f t="shared" si="122"/>
        <v/>
      </c>
      <c r="AR100" s="8" t="str">
        <f t="shared" si="179"/>
        <v/>
      </c>
      <c r="AS100" s="8" t="str">
        <f t="shared" si="124"/>
        <v/>
      </c>
      <c r="AT100" s="8" t="str">
        <f t="shared" si="125"/>
        <v/>
      </c>
      <c r="AU100" s="8" t="str">
        <f t="shared" si="126"/>
        <v/>
      </c>
      <c r="AV100" s="8" t="str">
        <f t="shared" si="180"/>
        <v/>
      </c>
      <c r="AW100" s="8" t="str">
        <f t="shared" si="128"/>
        <v/>
      </c>
      <c r="AX100" s="8" t="str">
        <f t="shared" si="129"/>
        <v/>
      </c>
      <c r="AY100" s="8" t="str">
        <f t="shared" si="130"/>
        <v/>
      </c>
      <c r="AZ100" s="8" t="str">
        <f t="shared" si="181"/>
        <v/>
      </c>
      <c r="BA100" s="8" t="str">
        <f t="shared" si="132"/>
        <v/>
      </c>
      <c r="BB100" s="8" t="str">
        <f t="shared" si="133"/>
        <v/>
      </c>
      <c r="BC100" s="8" t="str">
        <f t="shared" si="134"/>
        <v/>
      </c>
      <c r="BD100" s="8" t="str">
        <f t="shared" si="182"/>
        <v/>
      </c>
      <c r="BE100" s="8" t="str">
        <f t="shared" si="136"/>
        <v/>
      </c>
      <c r="BF100" s="8" t="str">
        <f t="shared" si="137"/>
        <v/>
      </c>
      <c r="BG100" s="8" t="str">
        <f t="shared" si="138"/>
        <v/>
      </c>
      <c r="BH100" s="8" t="str">
        <f t="shared" si="183"/>
        <v/>
      </c>
      <c r="BI100" s="8" t="str">
        <f t="shared" si="140"/>
        <v/>
      </c>
      <c r="BJ100" s="8" t="str">
        <f t="shared" si="141"/>
        <v/>
      </c>
      <c r="BK100" s="8" t="str">
        <f t="shared" si="142"/>
        <v/>
      </c>
      <c r="BL100" s="8" t="str">
        <f t="shared" si="184"/>
        <v/>
      </c>
      <c r="BM100" s="8" t="str">
        <f t="shared" si="144"/>
        <v/>
      </c>
      <c r="BN100" s="8" t="str">
        <f t="shared" si="145"/>
        <v/>
      </c>
      <c r="BO100" s="8" t="str">
        <f t="shared" si="146"/>
        <v/>
      </c>
      <c r="BP100" s="8" t="str">
        <f t="shared" si="147"/>
        <v/>
      </c>
      <c r="BQ100" s="8" t="str">
        <f t="shared" si="148"/>
        <v/>
      </c>
      <c r="BR100" s="8" t="str">
        <f t="shared" si="149"/>
        <v/>
      </c>
      <c r="BS100" s="8" t="str">
        <f t="shared" si="150"/>
        <v/>
      </c>
      <c r="BT100" s="8" t="str">
        <f t="shared" si="185"/>
        <v/>
      </c>
      <c r="BU100" s="8" t="str">
        <f t="shared" si="152"/>
        <v/>
      </c>
      <c r="BV100" s="8" t="str">
        <f t="shared" si="153"/>
        <v/>
      </c>
      <c r="BW100" s="8" t="str">
        <f t="shared" si="154"/>
        <v/>
      </c>
      <c r="BX100" s="8" t="str">
        <f t="shared" si="186"/>
        <v/>
      </c>
      <c r="BY100" s="8" t="str">
        <f t="shared" si="156"/>
        <v/>
      </c>
      <c r="BZ100" s="8" t="str">
        <f t="shared" si="157"/>
        <v/>
      </c>
      <c r="CA100" s="8" t="str">
        <f t="shared" si="158"/>
        <v/>
      </c>
      <c r="CB100" s="8" t="str">
        <f t="shared" si="187"/>
        <v/>
      </c>
      <c r="CC100" s="8" t="str">
        <f t="shared" si="160"/>
        <v/>
      </c>
      <c r="CD100" s="8" t="str">
        <f t="shared" si="161"/>
        <v/>
      </c>
      <c r="CE100" s="8" t="str">
        <f t="shared" si="162"/>
        <v/>
      </c>
      <c r="CF100" s="8" t="str">
        <f t="shared" si="188"/>
        <v/>
      </c>
      <c r="CG100" s="8" t="str">
        <f t="shared" si="164"/>
        <v/>
      </c>
      <c r="CH100" s="8" t="str">
        <f t="shared" si="165"/>
        <v/>
      </c>
      <c r="CI100" s="8" t="str">
        <f t="shared" si="166"/>
        <v/>
      </c>
      <c r="CJ100" s="8" t="str">
        <f t="shared" si="189"/>
        <v/>
      </c>
      <c r="CK100" s="8" t="str">
        <f t="shared" si="168"/>
        <v/>
      </c>
      <c r="CL100" s="8" t="str">
        <f t="shared" si="169"/>
        <v/>
      </c>
    </row>
    <row r="101" spans="3:90" x14ac:dyDescent="0.2">
      <c r="C101" s="8">
        <f>COUNTIF(B10:B49,"&lt;&gt;")</f>
        <v>35</v>
      </c>
      <c r="F101" s="8" t="s">
        <v>49</v>
      </c>
    </row>
    <row r="102" spans="3:90" x14ac:dyDescent="0.2">
      <c r="E102" s="8">
        <v>1</v>
      </c>
      <c r="G102" s="8" t="str">
        <f t="shared" ref="G102:AD102" si="194">G61</f>
        <v/>
      </c>
      <c r="H102" s="8" t="str">
        <f t="shared" si="194"/>
        <v/>
      </c>
      <c r="I102" s="8" t="str">
        <f t="shared" si="194"/>
        <v>Dave Baldwin (2)</v>
      </c>
      <c r="J102" s="8" t="str">
        <f t="shared" si="194"/>
        <v/>
      </c>
      <c r="K102" s="8" t="str">
        <f t="shared" si="194"/>
        <v/>
      </c>
      <c r="L102" s="8" t="str">
        <f t="shared" si="194"/>
        <v/>
      </c>
      <c r="M102" s="8" t="str">
        <f t="shared" si="194"/>
        <v>Dave Baldwin (1)</v>
      </c>
      <c r="N102" s="8" t="str">
        <f t="shared" si="194"/>
        <v/>
      </c>
      <c r="O102" s="8" t="str">
        <f t="shared" si="194"/>
        <v/>
      </c>
      <c r="P102" s="8" t="str">
        <f t="shared" si="194"/>
        <v/>
      </c>
      <c r="Q102" s="8" t="str">
        <f t="shared" si="194"/>
        <v>Dave Baldwin</v>
      </c>
      <c r="R102" s="8" t="str">
        <f t="shared" si="194"/>
        <v/>
      </c>
      <c r="S102" s="8" t="str">
        <f t="shared" si="194"/>
        <v/>
      </c>
      <c r="T102" s="8" t="str">
        <f t="shared" si="194"/>
        <v/>
      </c>
      <c r="U102" s="8" t="str">
        <f t="shared" si="194"/>
        <v>Dave Baldwin (1)</v>
      </c>
      <c r="V102" s="8" t="str">
        <f t="shared" si="194"/>
        <v/>
      </c>
      <c r="W102" s="8" t="str">
        <f t="shared" si="194"/>
        <v/>
      </c>
      <c r="X102" s="8" t="str">
        <f t="shared" si="194"/>
        <v/>
      </c>
      <c r="Y102" s="8" t="str">
        <f t="shared" si="194"/>
        <v/>
      </c>
      <c r="Z102" s="8" t="str">
        <f t="shared" si="194"/>
        <v/>
      </c>
      <c r="AA102" s="8" t="str">
        <f t="shared" si="194"/>
        <v/>
      </c>
      <c r="AB102" s="8" t="str">
        <f t="shared" si="194"/>
        <v/>
      </c>
      <c r="AC102" s="8" t="str">
        <f t="shared" si="194"/>
        <v>Dave Baldwin (1)</v>
      </c>
      <c r="AD102" s="8" t="str">
        <f t="shared" si="194"/>
        <v/>
      </c>
      <c r="AE102" s="8" t="str">
        <f t="shared" ref="AE102:BJ102" si="195">AE61</f>
        <v/>
      </c>
      <c r="AF102" s="8" t="str">
        <f t="shared" si="195"/>
        <v/>
      </c>
      <c r="AG102" s="8" t="str">
        <f t="shared" si="195"/>
        <v>Dave Baldwin (1)</v>
      </c>
      <c r="AH102" s="8" t="str">
        <f t="shared" si="195"/>
        <v/>
      </c>
      <c r="AI102" s="8" t="str">
        <f t="shared" si="195"/>
        <v/>
      </c>
      <c r="AJ102" s="8" t="str">
        <f t="shared" si="195"/>
        <v/>
      </c>
      <c r="AK102" s="8" t="str">
        <f t="shared" si="195"/>
        <v/>
      </c>
      <c r="AL102" s="8" t="str">
        <f t="shared" si="195"/>
        <v/>
      </c>
      <c r="AM102" s="8" t="str">
        <f t="shared" si="195"/>
        <v/>
      </c>
      <c r="AN102" s="8" t="str">
        <f t="shared" si="195"/>
        <v/>
      </c>
      <c r="AO102" s="8" t="str">
        <f t="shared" si="195"/>
        <v/>
      </c>
      <c r="AP102" s="8" t="str">
        <f t="shared" si="195"/>
        <v/>
      </c>
      <c r="AQ102" s="8" t="str">
        <f t="shared" si="195"/>
        <v/>
      </c>
      <c r="AR102" s="8" t="str">
        <f t="shared" si="195"/>
        <v/>
      </c>
      <c r="AS102" s="8" t="str">
        <f t="shared" si="195"/>
        <v/>
      </c>
      <c r="AT102" s="8" t="str">
        <f t="shared" si="195"/>
        <v/>
      </c>
      <c r="AU102" s="8" t="str">
        <f t="shared" si="195"/>
        <v/>
      </c>
      <c r="AV102" s="8" t="str">
        <f t="shared" si="195"/>
        <v/>
      </c>
      <c r="AW102" s="8" t="str">
        <f t="shared" si="195"/>
        <v>Dave Baldwin</v>
      </c>
      <c r="AX102" s="8" t="str">
        <f t="shared" si="195"/>
        <v/>
      </c>
      <c r="AY102" s="8" t="str">
        <f t="shared" si="195"/>
        <v/>
      </c>
      <c r="AZ102" s="8" t="str">
        <f t="shared" si="195"/>
        <v/>
      </c>
      <c r="BA102" s="8" t="str">
        <f t="shared" si="195"/>
        <v>Dave Baldwin</v>
      </c>
      <c r="BB102" s="8" t="str">
        <f t="shared" si="195"/>
        <v/>
      </c>
      <c r="BC102" s="8" t="str">
        <f t="shared" si="195"/>
        <v/>
      </c>
      <c r="BD102" s="8" t="str">
        <f t="shared" si="195"/>
        <v/>
      </c>
      <c r="BE102" s="8" t="str">
        <f t="shared" si="195"/>
        <v/>
      </c>
      <c r="BF102" s="8" t="str">
        <f t="shared" si="195"/>
        <v/>
      </c>
      <c r="BG102" s="8" t="str">
        <f t="shared" si="195"/>
        <v/>
      </c>
      <c r="BH102" s="8" t="str">
        <f t="shared" si="195"/>
        <v/>
      </c>
      <c r="BI102" s="8" t="str">
        <f t="shared" si="195"/>
        <v/>
      </c>
      <c r="BJ102" s="8" t="str">
        <f t="shared" si="195"/>
        <v/>
      </c>
      <c r="BK102" s="8" t="str">
        <f t="shared" ref="BK102:CH102" si="196">BK61</f>
        <v/>
      </c>
      <c r="BL102" s="8" t="str">
        <f t="shared" si="196"/>
        <v/>
      </c>
      <c r="BM102" s="8" t="str">
        <f t="shared" si="196"/>
        <v/>
      </c>
      <c r="BN102" s="8" t="str">
        <f t="shared" si="196"/>
        <v/>
      </c>
      <c r="BO102" s="8" t="str">
        <f t="shared" si="196"/>
        <v/>
      </c>
      <c r="BP102" s="8" t="str">
        <f t="shared" si="196"/>
        <v/>
      </c>
      <c r="BQ102" s="8" t="str">
        <f t="shared" si="196"/>
        <v/>
      </c>
      <c r="BR102" s="8" t="str">
        <f t="shared" si="196"/>
        <v/>
      </c>
      <c r="BS102" s="8" t="str">
        <f t="shared" si="196"/>
        <v/>
      </c>
      <c r="BT102" s="8" t="str">
        <f t="shared" si="196"/>
        <v/>
      </c>
      <c r="BU102" s="8" t="str">
        <f t="shared" si="196"/>
        <v/>
      </c>
      <c r="BV102" s="8" t="str">
        <f t="shared" si="196"/>
        <v/>
      </c>
      <c r="BW102" s="8" t="str">
        <f t="shared" si="196"/>
        <v/>
      </c>
      <c r="BX102" s="8" t="str">
        <f t="shared" si="196"/>
        <v/>
      </c>
      <c r="BY102" s="8" t="str">
        <f t="shared" si="196"/>
        <v/>
      </c>
      <c r="BZ102" s="8" t="str">
        <f t="shared" si="196"/>
        <v/>
      </c>
      <c r="CA102" s="8" t="str">
        <f t="shared" si="196"/>
        <v/>
      </c>
      <c r="CB102" s="8" t="str">
        <f t="shared" si="196"/>
        <v/>
      </c>
      <c r="CC102" s="8" t="str">
        <f t="shared" si="196"/>
        <v/>
      </c>
      <c r="CD102" s="8" t="str">
        <f t="shared" si="196"/>
        <v/>
      </c>
      <c r="CE102" s="8" t="str">
        <f t="shared" si="196"/>
        <v/>
      </c>
      <c r="CF102" s="8" t="str">
        <f t="shared" si="196"/>
        <v/>
      </c>
      <c r="CG102" s="8" t="str">
        <f t="shared" si="196"/>
        <v/>
      </c>
      <c r="CH102" s="8" t="str">
        <f t="shared" si="196"/>
        <v/>
      </c>
      <c r="CI102" s="8" t="str">
        <f t="shared" ref="CI102:CL102" si="197">CI61</f>
        <v/>
      </c>
      <c r="CJ102" s="8" t="str">
        <f t="shared" si="197"/>
        <v/>
      </c>
      <c r="CK102" s="8" t="str">
        <f t="shared" si="197"/>
        <v/>
      </c>
      <c r="CL102" s="8" t="str">
        <f t="shared" si="197"/>
        <v/>
      </c>
    </row>
    <row r="103" spans="3:90" x14ac:dyDescent="0.2">
      <c r="E103" s="8">
        <f>E102+1</f>
        <v>2</v>
      </c>
      <c r="G103" s="8" t="str">
        <f t="shared" ref="G103:N105" si="198">IF(G62="",G102,IF(G102="",G62,G102&amp;", "&amp;G62))</f>
        <v/>
      </c>
      <c r="H103" s="8" t="str">
        <f t="shared" si="198"/>
        <v/>
      </c>
      <c r="I103" s="8" t="str">
        <f t="shared" si="198"/>
        <v>Dave Baldwin (2)</v>
      </c>
      <c r="J103" s="8" t="str">
        <f t="shared" si="198"/>
        <v>Justin Baranowski</v>
      </c>
      <c r="K103" s="8" t="str">
        <f t="shared" si="198"/>
        <v/>
      </c>
      <c r="L103" s="8" t="str">
        <f t="shared" si="198"/>
        <v/>
      </c>
      <c r="M103" s="8" t="str">
        <f t="shared" si="198"/>
        <v>Dave Baldwin (1)</v>
      </c>
      <c r="N103" s="8" t="str">
        <f t="shared" si="198"/>
        <v/>
      </c>
      <c r="O103" s="8" t="str">
        <f t="shared" ref="O103:R105" si="199">IF(O62="",O102,IF(O102="",O62,O102&amp;", "&amp;O62))</f>
        <v/>
      </c>
      <c r="P103" s="8" t="str">
        <f t="shared" si="199"/>
        <v/>
      </c>
      <c r="Q103" s="8" t="str">
        <f t="shared" si="199"/>
        <v>Dave Baldwin</v>
      </c>
      <c r="R103" s="8" t="str">
        <f t="shared" si="199"/>
        <v>Justin Baranowski</v>
      </c>
      <c r="S103" s="8" t="str">
        <f t="shared" ref="S103:AB105" si="200">IF(S62="",S102,IF(S102="",S62,S102&amp;", "&amp;S62))</f>
        <v/>
      </c>
      <c r="T103" s="8" t="str">
        <f t="shared" si="200"/>
        <v/>
      </c>
      <c r="U103" s="8" t="str">
        <f t="shared" si="200"/>
        <v>Dave Baldwin (1)</v>
      </c>
      <c r="V103" s="8" t="str">
        <f t="shared" si="200"/>
        <v>Justin Baranowski (2)</v>
      </c>
      <c r="W103" s="8" t="str">
        <f t="shared" si="200"/>
        <v/>
      </c>
      <c r="X103" s="8" t="str">
        <f t="shared" si="200"/>
        <v/>
      </c>
      <c r="Y103" s="8" t="str">
        <f t="shared" si="200"/>
        <v/>
      </c>
      <c r="Z103" s="8" t="str">
        <f t="shared" si="200"/>
        <v/>
      </c>
      <c r="AA103" s="8" t="str">
        <f t="shared" si="200"/>
        <v/>
      </c>
      <c r="AB103" s="8" t="str">
        <f t="shared" si="200"/>
        <v/>
      </c>
      <c r="AC103" s="8" t="str">
        <f t="shared" ref="AC103:AL105" si="201">IF(AC62="",AC102,IF(AC102="",AC62,AC102&amp;", "&amp;AC62))</f>
        <v>Dave Baldwin (1)</v>
      </c>
      <c r="AD103" s="8" t="str">
        <f t="shared" si="201"/>
        <v>Justin Baranowski</v>
      </c>
      <c r="AE103" s="8" t="str">
        <f t="shared" si="201"/>
        <v/>
      </c>
      <c r="AF103" s="8" t="str">
        <f t="shared" si="201"/>
        <v/>
      </c>
      <c r="AG103" s="8" t="str">
        <f t="shared" si="201"/>
        <v>Dave Baldwin (1)</v>
      </c>
      <c r="AH103" s="8" t="str">
        <f t="shared" si="201"/>
        <v>Justin Baranowski (1)</v>
      </c>
      <c r="AI103" s="8" t="str">
        <f t="shared" si="201"/>
        <v/>
      </c>
      <c r="AJ103" s="8" t="str">
        <f t="shared" si="201"/>
        <v/>
      </c>
      <c r="AK103" s="8" t="str">
        <f t="shared" si="201"/>
        <v/>
      </c>
      <c r="AL103" s="8" t="str">
        <f t="shared" si="201"/>
        <v/>
      </c>
      <c r="AM103" s="8" t="str">
        <f t="shared" ref="AM103:AV105" si="202">IF(AM62="",AM102,IF(AM102="",AM62,AM102&amp;", "&amp;AM62))</f>
        <v/>
      </c>
      <c r="AN103" s="8" t="str">
        <f t="shared" si="202"/>
        <v/>
      </c>
      <c r="AO103" s="8" t="str">
        <f t="shared" si="202"/>
        <v/>
      </c>
      <c r="AP103" s="8" t="str">
        <f t="shared" si="202"/>
        <v/>
      </c>
      <c r="AQ103" s="8" t="str">
        <f t="shared" si="202"/>
        <v/>
      </c>
      <c r="AR103" s="8" t="str">
        <f t="shared" si="202"/>
        <v/>
      </c>
      <c r="AS103" s="8" t="str">
        <f t="shared" si="202"/>
        <v/>
      </c>
      <c r="AT103" s="8" t="str">
        <f t="shared" si="202"/>
        <v/>
      </c>
      <c r="AU103" s="8" t="str">
        <f t="shared" si="202"/>
        <v/>
      </c>
      <c r="AV103" s="8" t="str">
        <f t="shared" si="202"/>
        <v/>
      </c>
      <c r="AW103" s="8" t="str">
        <f t="shared" ref="AW103:BF105" si="203">IF(AW62="",AW102,IF(AW102="",AW62,AW102&amp;", "&amp;AW62))</f>
        <v>Dave Baldwin</v>
      </c>
      <c r="AX103" s="8" t="str">
        <f t="shared" si="203"/>
        <v/>
      </c>
      <c r="AY103" s="8" t="str">
        <f t="shared" si="203"/>
        <v/>
      </c>
      <c r="AZ103" s="8" t="str">
        <f t="shared" si="203"/>
        <v/>
      </c>
      <c r="BA103" s="8" t="str">
        <f t="shared" si="203"/>
        <v>Dave Baldwin</v>
      </c>
      <c r="BB103" s="8" t="str">
        <f t="shared" si="203"/>
        <v/>
      </c>
      <c r="BC103" s="8" t="str">
        <f t="shared" si="203"/>
        <v/>
      </c>
      <c r="BD103" s="8" t="str">
        <f t="shared" si="203"/>
        <v/>
      </c>
      <c r="BE103" s="8" t="str">
        <f t="shared" si="203"/>
        <v/>
      </c>
      <c r="BF103" s="8" t="str">
        <f t="shared" si="203"/>
        <v/>
      </c>
      <c r="BG103" s="8" t="str">
        <f t="shared" ref="BG103:BP105" si="204">IF(BG62="",BG102,IF(BG102="",BG62,BG102&amp;", "&amp;BG62))</f>
        <v/>
      </c>
      <c r="BH103" s="8" t="str">
        <f t="shared" si="204"/>
        <v/>
      </c>
      <c r="BI103" s="8" t="str">
        <f t="shared" si="204"/>
        <v/>
      </c>
      <c r="BJ103" s="8" t="str">
        <f t="shared" si="204"/>
        <v/>
      </c>
      <c r="BK103" s="8" t="str">
        <f t="shared" si="204"/>
        <v/>
      </c>
      <c r="BL103" s="8" t="str">
        <f t="shared" si="204"/>
        <v/>
      </c>
      <c r="BM103" s="8" t="str">
        <f t="shared" si="204"/>
        <v/>
      </c>
      <c r="BN103" s="8" t="str">
        <f t="shared" si="204"/>
        <v/>
      </c>
      <c r="BO103" s="8" t="str">
        <f t="shared" si="204"/>
        <v/>
      </c>
      <c r="BP103" s="8" t="str">
        <f t="shared" si="204"/>
        <v/>
      </c>
      <c r="BQ103" s="8" t="str">
        <f t="shared" ref="BQ103:BZ105" si="205">IF(BQ62="",BQ102,IF(BQ102="",BQ62,BQ102&amp;", "&amp;BQ62))</f>
        <v/>
      </c>
      <c r="BR103" s="8" t="str">
        <f t="shared" si="205"/>
        <v/>
      </c>
      <c r="BS103" s="8" t="str">
        <f t="shared" si="205"/>
        <v/>
      </c>
      <c r="BT103" s="8" t="str">
        <f t="shared" si="205"/>
        <v/>
      </c>
      <c r="BU103" s="8" t="str">
        <f t="shared" si="205"/>
        <v/>
      </c>
      <c r="BV103" s="8" t="str">
        <f t="shared" si="205"/>
        <v/>
      </c>
      <c r="BW103" s="8" t="str">
        <f t="shared" si="205"/>
        <v/>
      </c>
      <c r="BX103" s="8" t="str">
        <f t="shared" si="205"/>
        <v/>
      </c>
      <c r="BY103" s="8" t="str">
        <f t="shared" si="205"/>
        <v/>
      </c>
      <c r="BZ103" s="8" t="str">
        <f t="shared" si="205"/>
        <v/>
      </c>
      <c r="CA103" s="8" t="str">
        <f t="shared" ref="CA103:CF105" si="206">IF(CA62="",CA102,IF(CA102="",CA62,CA102&amp;", "&amp;CA62))</f>
        <v/>
      </c>
      <c r="CB103" s="8" t="str">
        <f t="shared" si="206"/>
        <v/>
      </c>
      <c r="CC103" s="8" t="str">
        <f t="shared" si="206"/>
        <v/>
      </c>
      <c r="CD103" s="8" t="str">
        <f t="shared" si="206"/>
        <v/>
      </c>
      <c r="CE103" s="8" t="str">
        <f t="shared" si="206"/>
        <v/>
      </c>
      <c r="CF103" s="8" t="str">
        <f t="shared" si="206"/>
        <v/>
      </c>
      <c r="CG103" s="8" t="str">
        <f t="shared" ref="CG103:CJ105" si="207">IF(CG62="",CG102,IF(CG102="",CG62,CG102&amp;", "&amp;CG62))</f>
        <v/>
      </c>
      <c r="CH103" s="8" t="str">
        <f t="shared" si="207"/>
        <v/>
      </c>
      <c r="CI103" s="8" t="str">
        <f t="shared" si="207"/>
        <v/>
      </c>
      <c r="CJ103" s="8" t="str">
        <f t="shared" si="207"/>
        <v/>
      </c>
      <c r="CK103" s="8" t="str">
        <f t="shared" ref="CK103:CL103" si="208">IF(CK62="",CK102,IF(CK102="",CK62,CK102&amp;", "&amp;CK62))</f>
        <v/>
      </c>
      <c r="CL103" s="8" t="str">
        <f t="shared" si="208"/>
        <v/>
      </c>
    </row>
    <row r="104" spans="3:90" x14ac:dyDescent="0.2">
      <c r="E104" s="8">
        <f t="shared" ref="E104:E141" si="209">E103+1</f>
        <v>3</v>
      </c>
      <c r="G104" s="8" t="str">
        <f t="shared" si="198"/>
        <v/>
      </c>
      <c r="H104" s="8" t="str">
        <f t="shared" si="198"/>
        <v/>
      </c>
      <c r="I104" s="8" t="str">
        <f t="shared" si="198"/>
        <v>Dave Baldwin (2)</v>
      </c>
      <c r="J104" s="8" t="str">
        <f t="shared" si="198"/>
        <v>Justin Baranowski</v>
      </c>
      <c r="K104" s="8" t="str">
        <f t="shared" si="198"/>
        <v/>
      </c>
      <c r="L104" s="8" t="str">
        <f t="shared" si="198"/>
        <v/>
      </c>
      <c r="M104" s="8" t="str">
        <f t="shared" si="198"/>
        <v>Dave Baldwin (1)</v>
      </c>
      <c r="N104" s="8" t="str">
        <f t="shared" si="198"/>
        <v/>
      </c>
      <c r="O104" s="8" t="str">
        <f t="shared" si="199"/>
        <v/>
      </c>
      <c r="P104" s="8" t="str">
        <f t="shared" si="199"/>
        <v/>
      </c>
      <c r="Q104" s="8" t="str">
        <f t="shared" si="199"/>
        <v>Dave Baldwin</v>
      </c>
      <c r="R104" s="8" t="str">
        <f t="shared" si="199"/>
        <v>Justin Baranowski</v>
      </c>
      <c r="S104" s="8" t="str">
        <f t="shared" si="200"/>
        <v/>
      </c>
      <c r="T104" s="8" t="str">
        <f t="shared" si="200"/>
        <v/>
      </c>
      <c r="U104" s="8" t="str">
        <f t="shared" si="200"/>
        <v>Dave Baldwin (1)</v>
      </c>
      <c r="V104" s="8" t="str">
        <f t="shared" si="200"/>
        <v>Justin Baranowski (2)</v>
      </c>
      <c r="W104" s="8" t="str">
        <f t="shared" si="200"/>
        <v/>
      </c>
      <c r="X104" s="8" t="str">
        <f t="shared" si="200"/>
        <v/>
      </c>
      <c r="Y104" s="8" t="str">
        <f t="shared" si="200"/>
        <v/>
      </c>
      <c r="Z104" s="8" t="str">
        <f t="shared" si="200"/>
        <v/>
      </c>
      <c r="AA104" s="8" t="str">
        <f t="shared" si="200"/>
        <v/>
      </c>
      <c r="AB104" s="8" t="str">
        <f t="shared" si="200"/>
        <v/>
      </c>
      <c r="AC104" s="8" t="str">
        <f t="shared" si="201"/>
        <v>Dave Baldwin (1)</v>
      </c>
      <c r="AD104" s="8" t="str">
        <f t="shared" si="201"/>
        <v>Justin Baranowski</v>
      </c>
      <c r="AE104" s="8" t="str">
        <f t="shared" si="201"/>
        <v/>
      </c>
      <c r="AF104" s="8" t="str">
        <f t="shared" si="201"/>
        <v/>
      </c>
      <c r="AG104" s="8" t="str">
        <f t="shared" si="201"/>
        <v>Dave Baldwin (1)</v>
      </c>
      <c r="AH104" s="8" t="str">
        <f t="shared" si="201"/>
        <v>Justin Baranowski (1)</v>
      </c>
      <c r="AI104" s="8" t="str">
        <f t="shared" si="201"/>
        <v/>
      </c>
      <c r="AJ104" s="8" t="str">
        <f t="shared" si="201"/>
        <v/>
      </c>
      <c r="AK104" s="8" t="str">
        <f t="shared" si="201"/>
        <v/>
      </c>
      <c r="AL104" s="8" t="str">
        <f t="shared" si="201"/>
        <v/>
      </c>
      <c r="AM104" s="8" t="str">
        <f t="shared" si="202"/>
        <v/>
      </c>
      <c r="AN104" s="8" t="str">
        <f t="shared" si="202"/>
        <v/>
      </c>
      <c r="AO104" s="8" t="str">
        <f t="shared" si="202"/>
        <v/>
      </c>
      <c r="AP104" s="8" t="str">
        <f t="shared" si="202"/>
        <v/>
      </c>
      <c r="AQ104" s="8" t="str">
        <f t="shared" si="202"/>
        <v/>
      </c>
      <c r="AR104" s="8" t="str">
        <f t="shared" si="202"/>
        <v/>
      </c>
      <c r="AS104" s="8" t="str">
        <f t="shared" si="202"/>
        <v/>
      </c>
      <c r="AT104" s="8" t="str">
        <f t="shared" si="202"/>
        <v/>
      </c>
      <c r="AU104" s="8" t="str">
        <f t="shared" si="202"/>
        <v/>
      </c>
      <c r="AV104" s="8" t="str">
        <f t="shared" si="202"/>
        <v/>
      </c>
      <c r="AW104" s="8" t="str">
        <f t="shared" si="203"/>
        <v>Dave Baldwin</v>
      </c>
      <c r="AX104" s="8" t="str">
        <f t="shared" si="203"/>
        <v/>
      </c>
      <c r="AY104" s="8" t="str">
        <f t="shared" si="203"/>
        <v/>
      </c>
      <c r="AZ104" s="8" t="str">
        <f t="shared" si="203"/>
        <v/>
      </c>
      <c r="BA104" s="8" t="str">
        <f t="shared" si="203"/>
        <v>Dave Baldwin</v>
      </c>
      <c r="BB104" s="8" t="str">
        <f t="shared" si="203"/>
        <v/>
      </c>
      <c r="BC104" s="8" t="str">
        <f t="shared" si="203"/>
        <v/>
      </c>
      <c r="BD104" s="8" t="str">
        <f t="shared" si="203"/>
        <v/>
      </c>
      <c r="BE104" s="8" t="str">
        <f t="shared" si="203"/>
        <v/>
      </c>
      <c r="BF104" s="8" t="str">
        <f t="shared" si="203"/>
        <v/>
      </c>
      <c r="BG104" s="8" t="str">
        <f t="shared" si="204"/>
        <v/>
      </c>
      <c r="BH104" s="8" t="str">
        <f t="shared" si="204"/>
        <v/>
      </c>
      <c r="BI104" s="8" t="str">
        <f t="shared" si="204"/>
        <v/>
      </c>
      <c r="BJ104" s="8" t="str">
        <f t="shared" si="204"/>
        <v/>
      </c>
      <c r="BK104" s="8" t="str">
        <f t="shared" si="204"/>
        <v/>
      </c>
      <c r="BL104" s="8" t="str">
        <f t="shared" si="204"/>
        <v/>
      </c>
      <c r="BM104" s="8" t="str">
        <f t="shared" si="204"/>
        <v/>
      </c>
      <c r="BN104" s="8" t="str">
        <f t="shared" si="204"/>
        <v/>
      </c>
      <c r="BO104" s="8" t="str">
        <f t="shared" si="204"/>
        <v/>
      </c>
      <c r="BP104" s="8" t="str">
        <f t="shared" si="204"/>
        <v/>
      </c>
      <c r="BQ104" s="8" t="str">
        <f t="shared" si="205"/>
        <v/>
      </c>
      <c r="BR104" s="8" t="str">
        <f t="shared" si="205"/>
        <v/>
      </c>
      <c r="BS104" s="8" t="str">
        <f t="shared" si="205"/>
        <v/>
      </c>
      <c r="BT104" s="8" t="str">
        <f t="shared" si="205"/>
        <v/>
      </c>
      <c r="BU104" s="8" t="str">
        <f t="shared" si="205"/>
        <v/>
      </c>
      <c r="BV104" s="8" t="str">
        <f t="shared" si="205"/>
        <v/>
      </c>
      <c r="BW104" s="8" t="str">
        <f t="shared" si="205"/>
        <v/>
      </c>
      <c r="BX104" s="8" t="str">
        <f t="shared" si="205"/>
        <v/>
      </c>
      <c r="BY104" s="8" t="str">
        <f t="shared" si="205"/>
        <v/>
      </c>
      <c r="BZ104" s="8" t="str">
        <f t="shared" si="205"/>
        <v/>
      </c>
      <c r="CA104" s="8" t="str">
        <f t="shared" si="206"/>
        <v/>
      </c>
      <c r="CB104" s="8" t="str">
        <f t="shared" si="206"/>
        <v/>
      </c>
      <c r="CC104" s="8" t="str">
        <f t="shared" si="206"/>
        <v/>
      </c>
      <c r="CD104" s="8" t="str">
        <f t="shared" si="206"/>
        <v/>
      </c>
      <c r="CE104" s="8" t="str">
        <f t="shared" si="206"/>
        <v/>
      </c>
      <c r="CF104" s="8" t="str">
        <f t="shared" si="206"/>
        <v/>
      </c>
      <c r="CG104" s="8" t="str">
        <f t="shared" si="207"/>
        <v/>
      </c>
      <c r="CH104" s="8" t="str">
        <f t="shared" si="207"/>
        <v/>
      </c>
      <c r="CI104" s="8" t="str">
        <f t="shared" si="207"/>
        <v/>
      </c>
      <c r="CJ104" s="8" t="str">
        <f t="shared" si="207"/>
        <v/>
      </c>
      <c r="CK104" s="8" t="str">
        <f t="shared" ref="CK104:CL104" si="210">IF(CK63="",CK103,IF(CK103="",CK63,CK103&amp;", "&amp;CK63))</f>
        <v/>
      </c>
      <c r="CL104" s="8" t="str">
        <f t="shared" si="210"/>
        <v/>
      </c>
    </row>
    <row r="105" spans="3:90" x14ac:dyDescent="0.2">
      <c r="E105" s="8">
        <f t="shared" si="209"/>
        <v>4</v>
      </c>
      <c r="G105" s="8" t="str">
        <f t="shared" si="198"/>
        <v/>
      </c>
      <c r="H105" s="8" t="str">
        <f t="shared" si="198"/>
        <v/>
      </c>
      <c r="I105" s="8" t="str">
        <f t="shared" si="198"/>
        <v>Dave Baldwin (2)</v>
      </c>
      <c r="J105" s="8" t="str">
        <f t="shared" si="198"/>
        <v>Justin Baranowski</v>
      </c>
      <c r="K105" s="8" t="str">
        <f t="shared" si="198"/>
        <v/>
      </c>
      <c r="L105" s="8" t="str">
        <f t="shared" si="198"/>
        <v/>
      </c>
      <c r="M105" s="8" t="str">
        <f t="shared" si="198"/>
        <v>Dave Baldwin (1)</v>
      </c>
      <c r="N105" s="8" t="str">
        <f t="shared" si="198"/>
        <v/>
      </c>
      <c r="O105" s="8" t="str">
        <f t="shared" si="199"/>
        <v/>
      </c>
      <c r="P105" s="8" t="str">
        <f t="shared" si="199"/>
        <v/>
      </c>
      <c r="Q105" s="8" t="str">
        <f t="shared" si="199"/>
        <v>Dave Baldwin</v>
      </c>
      <c r="R105" s="8" t="str">
        <f t="shared" si="199"/>
        <v>Justin Baranowski</v>
      </c>
      <c r="S105" s="8" t="str">
        <f t="shared" si="200"/>
        <v/>
      </c>
      <c r="T105" s="8" t="str">
        <f t="shared" si="200"/>
        <v/>
      </c>
      <c r="U105" s="8" t="str">
        <f t="shared" si="200"/>
        <v>Dave Baldwin (1)</v>
      </c>
      <c r="V105" s="8" t="str">
        <f t="shared" si="200"/>
        <v>Justin Baranowski (2)</v>
      </c>
      <c r="W105" s="8" t="str">
        <f t="shared" si="200"/>
        <v/>
      </c>
      <c r="X105" s="8" t="str">
        <f t="shared" si="200"/>
        <v/>
      </c>
      <c r="Y105" s="8" t="str">
        <f t="shared" si="200"/>
        <v/>
      </c>
      <c r="Z105" s="8" t="str">
        <f t="shared" si="200"/>
        <v/>
      </c>
      <c r="AA105" s="8" t="str">
        <f t="shared" si="200"/>
        <v/>
      </c>
      <c r="AB105" s="8" t="str">
        <f t="shared" si="200"/>
        <v/>
      </c>
      <c r="AC105" s="8" t="str">
        <f t="shared" si="201"/>
        <v>Dave Baldwin (1)</v>
      </c>
      <c r="AD105" s="8" t="str">
        <f t="shared" si="201"/>
        <v>Justin Baranowski</v>
      </c>
      <c r="AE105" s="8" t="str">
        <f t="shared" si="201"/>
        <v/>
      </c>
      <c r="AF105" s="8" t="str">
        <f t="shared" si="201"/>
        <v/>
      </c>
      <c r="AG105" s="8" t="str">
        <f t="shared" si="201"/>
        <v>Dave Baldwin (1)</v>
      </c>
      <c r="AH105" s="8" t="str">
        <f t="shared" si="201"/>
        <v>Justin Baranowski (1)</v>
      </c>
      <c r="AI105" s="8" t="str">
        <f t="shared" si="201"/>
        <v/>
      </c>
      <c r="AJ105" s="8" t="str">
        <f t="shared" si="201"/>
        <v/>
      </c>
      <c r="AK105" s="8" t="str">
        <f t="shared" si="201"/>
        <v/>
      </c>
      <c r="AL105" s="8" t="str">
        <f t="shared" si="201"/>
        <v/>
      </c>
      <c r="AM105" s="8" t="str">
        <f t="shared" si="202"/>
        <v/>
      </c>
      <c r="AN105" s="8" t="str">
        <f t="shared" si="202"/>
        <v/>
      </c>
      <c r="AO105" s="8" t="str">
        <f t="shared" si="202"/>
        <v/>
      </c>
      <c r="AP105" s="8" t="str">
        <f t="shared" si="202"/>
        <v/>
      </c>
      <c r="AQ105" s="8" t="str">
        <f t="shared" si="202"/>
        <v/>
      </c>
      <c r="AR105" s="8" t="str">
        <f t="shared" si="202"/>
        <v/>
      </c>
      <c r="AS105" s="8" t="str">
        <f t="shared" si="202"/>
        <v/>
      </c>
      <c r="AT105" s="8" t="str">
        <f t="shared" si="202"/>
        <v/>
      </c>
      <c r="AU105" s="8" t="str">
        <f t="shared" si="202"/>
        <v/>
      </c>
      <c r="AV105" s="8" t="str">
        <f t="shared" si="202"/>
        <v/>
      </c>
      <c r="AW105" s="8" t="str">
        <f t="shared" si="203"/>
        <v>Dave Baldwin</v>
      </c>
      <c r="AX105" s="8" t="str">
        <f t="shared" si="203"/>
        <v/>
      </c>
      <c r="AY105" s="8" t="str">
        <f t="shared" si="203"/>
        <v/>
      </c>
      <c r="AZ105" s="8" t="str">
        <f t="shared" si="203"/>
        <v/>
      </c>
      <c r="BA105" s="8" t="str">
        <f t="shared" si="203"/>
        <v>Dave Baldwin</v>
      </c>
      <c r="BB105" s="8" t="str">
        <f t="shared" si="203"/>
        <v/>
      </c>
      <c r="BC105" s="8" t="str">
        <f t="shared" si="203"/>
        <v/>
      </c>
      <c r="BD105" s="8" t="str">
        <f t="shared" si="203"/>
        <v/>
      </c>
      <c r="BE105" s="8" t="str">
        <f t="shared" si="203"/>
        <v/>
      </c>
      <c r="BF105" s="8" t="str">
        <f t="shared" si="203"/>
        <v/>
      </c>
      <c r="BG105" s="8" t="str">
        <f t="shared" si="204"/>
        <v/>
      </c>
      <c r="BH105" s="8" t="str">
        <f t="shared" si="204"/>
        <v/>
      </c>
      <c r="BI105" s="8" t="str">
        <f t="shared" si="204"/>
        <v/>
      </c>
      <c r="BJ105" s="8" t="str">
        <f t="shared" si="204"/>
        <v/>
      </c>
      <c r="BK105" s="8" t="str">
        <f t="shared" si="204"/>
        <v/>
      </c>
      <c r="BL105" s="8" t="str">
        <f t="shared" si="204"/>
        <v/>
      </c>
      <c r="BM105" s="8" t="str">
        <f t="shared" si="204"/>
        <v/>
      </c>
      <c r="BN105" s="8" t="str">
        <f t="shared" si="204"/>
        <v/>
      </c>
      <c r="BO105" s="8" t="str">
        <f t="shared" si="204"/>
        <v/>
      </c>
      <c r="BP105" s="8" t="str">
        <f t="shared" si="204"/>
        <v/>
      </c>
      <c r="BQ105" s="8" t="str">
        <f t="shared" si="205"/>
        <v/>
      </c>
      <c r="BR105" s="8" t="str">
        <f t="shared" si="205"/>
        <v/>
      </c>
      <c r="BS105" s="8" t="str">
        <f t="shared" si="205"/>
        <v/>
      </c>
      <c r="BT105" s="8" t="str">
        <f t="shared" si="205"/>
        <v/>
      </c>
      <c r="BU105" s="8" t="str">
        <f t="shared" si="205"/>
        <v/>
      </c>
      <c r="BV105" s="8" t="str">
        <f t="shared" si="205"/>
        <v/>
      </c>
      <c r="BW105" s="8" t="str">
        <f t="shared" si="205"/>
        <v/>
      </c>
      <c r="BX105" s="8" t="str">
        <f t="shared" si="205"/>
        <v/>
      </c>
      <c r="BY105" s="8" t="str">
        <f t="shared" si="205"/>
        <v/>
      </c>
      <c r="BZ105" s="8" t="str">
        <f t="shared" si="205"/>
        <v/>
      </c>
      <c r="CA105" s="8" t="str">
        <f t="shared" si="206"/>
        <v/>
      </c>
      <c r="CB105" s="8" t="str">
        <f t="shared" si="206"/>
        <v/>
      </c>
      <c r="CC105" s="8" t="str">
        <f t="shared" si="206"/>
        <v/>
      </c>
      <c r="CD105" s="8" t="str">
        <f t="shared" si="206"/>
        <v/>
      </c>
      <c r="CE105" s="8" t="str">
        <f t="shared" si="206"/>
        <v/>
      </c>
      <c r="CF105" s="8" t="str">
        <f t="shared" si="206"/>
        <v/>
      </c>
      <c r="CG105" s="8" t="str">
        <f t="shared" si="207"/>
        <v/>
      </c>
      <c r="CH105" s="8" t="str">
        <f t="shared" si="207"/>
        <v/>
      </c>
      <c r="CI105" s="8" t="str">
        <f t="shared" si="207"/>
        <v/>
      </c>
      <c r="CJ105" s="8" t="str">
        <f t="shared" si="207"/>
        <v/>
      </c>
      <c r="CK105" s="8" t="str">
        <f t="shared" ref="CK105:CL105" si="211">IF(CK64="",CK104,IF(CK104="",CK64,CK104&amp;", "&amp;CK64))</f>
        <v/>
      </c>
      <c r="CL105" s="8" t="str">
        <f t="shared" si="211"/>
        <v/>
      </c>
    </row>
    <row r="106" spans="3:90" x14ac:dyDescent="0.2">
      <c r="E106" s="8">
        <f t="shared" si="209"/>
        <v>5</v>
      </c>
      <c r="G106" s="8" t="str">
        <f t="shared" ref="G106:BJ106" si="212">IF(G65="",G105,IF(G105="",G65,G105&amp;", "&amp;G65))</f>
        <v/>
      </c>
      <c r="H106" s="8" t="str">
        <f t="shared" si="212"/>
        <v>Andy Booth</v>
      </c>
      <c r="I106" s="8" t="str">
        <f t="shared" si="212"/>
        <v>Dave Baldwin (2)</v>
      </c>
      <c r="J106" s="8" t="str">
        <f t="shared" si="212"/>
        <v>Justin Baranowski</v>
      </c>
      <c r="K106" s="8" t="str">
        <f t="shared" si="212"/>
        <v/>
      </c>
      <c r="L106" s="8" t="str">
        <f t="shared" si="212"/>
        <v/>
      </c>
      <c r="M106" s="8" t="str">
        <f t="shared" si="212"/>
        <v>Dave Baldwin (1)</v>
      </c>
      <c r="N106" s="8" t="str">
        <f t="shared" si="212"/>
        <v>Andy Booth</v>
      </c>
      <c r="O106" s="8" t="str">
        <f t="shared" si="212"/>
        <v/>
      </c>
      <c r="P106" s="8" t="str">
        <f t="shared" si="212"/>
        <v>Andy Booth</v>
      </c>
      <c r="Q106" s="8" t="str">
        <f t="shared" si="212"/>
        <v>Dave Baldwin</v>
      </c>
      <c r="R106" s="8" t="str">
        <f t="shared" si="212"/>
        <v>Justin Baranowski</v>
      </c>
      <c r="S106" s="8" t="str">
        <f t="shared" si="212"/>
        <v/>
      </c>
      <c r="T106" s="8" t="str">
        <f t="shared" si="212"/>
        <v>Andy Booth</v>
      </c>
      <c r="U106" s="8" t="str">
        <f t="shared" si="212"/>
        <v>Dave Baldwin (1)</v>
      </c>
      <c r="V106" s="8" t="str">
        <f t="shared" si="212"/>
        <v>Justin Baranowski (2)</v>
      </c>
      <c r="W106" s="8" t="str">
        <f t="shared" si="212"/>
        <v/>
      </c>
      <c r="X106" s="8" t="str">
        <f t="shared" si="212"/>
        <v/>
      </c>
      <c r="Y106" s="8" t="str">
        <f t="shared" si="212"/>
        <v/>
      </c>
      <c r="Z106" s="8" t="str">
        <f t="shared" si="212"/>
        <v/>
      </c>
      <c r="AA106" s="8" t="str">
        <f t="shared" si="212"/>
        <v/>
      </c>
      <c r="AB106" s="8" t="str">
        <f t="shared" si="212"/>
        <v/>
      </c>
      <c r="AC106" s="8" t="str">
        <f t="shared" si="212"/>
        <v>Dave Baldwin (1)</v>
      </c>
      <c r="AD106" s="8" t="str">
        <f t="shared" si="212"/>
        <v>Justin Baranowski</v>
      </c>
      <c r="AE106" s="8" t="str">
        <f t="shared" si="212"/>
        <v/>
      </c>
      <c r="AF106" s="8" t="str">
        <f t="shared" si="212"/>
        <v/>
      </c>
      <c r="AG106" s="8" t="str">
        <f t="shared" si="212"/>
        <v>Dave Baldwin (1)</v>
      </c>
      <c r="AH106" s="8" t="str">
        <f t="shared" si="212"/>
        <v>Justin Baranowski (1)</v>
      </c>
      <c r="AI106" s="8" t="str">
        <f t="shared" si="212"/>
        <v/>
      </c>
      <c r="AJ106" s="8" t="str">
        <f t="shared" si="212"/>
        <v/>
      </c>
      <c r="AK106" s="8" t="str">
        <f t="shared" si="212"/>
        <v/>
      </c>
      <c r="AL106" s="8" t="str">
        <f t="shared" si="212"/>
        <v>Andy Booth</v>
      </c>
      <c r="AM106" s="8" t="str">
        <f t="shared" si="212"/>
        <v/>
      </c>
      <c r="AN106" s="8" t="str">
        <f t="shared" si="212"/>
        <v/>
      </c>
      <c r="AO106" s="8" t="str">
        <f t="shared" si="212"/>
        <v/>
      </c>
      <c r="AP106" s="8" t="str">
        <f t="shared" si="212"/>
        <v/>
      </c>
      <c r="AQ106" s="8" t="str">
        <f t="shared" si="212"/>
        <v/>
      </c>
      <c r="AR106" s="8" t="str">
        <f t="shared" si="212"/>
        <v/>
      </c>
      <c r="AS106" s="8" t="str">
        <f t="shared" si="212"/>
        <v/>
      </c>
      <c r="AT106" s="8" t="str">
        <f t="shared" si="212"/>
        <v>Andy Booth</v>
      </c>
      <c r="AU106" s="8" t="str">
        <f t="shared" si="212"/>
        <v/>
      </c>
      <c r="AV106" s="8" t="str">
        <f t="shared" si="212"/>
        <v/>
      </c>
      <c r="AW106" s="8" t="str">
        <f t="shared" si="212"/>
        <v>Dave Baldwin</v>
      </c>
      <c r="AX106" s="8" t="str">
        <f t="shared" si="212"/>
        <v/>
      </c>
      <c r="AY106" s="8" t="str">
        <f t="shared" si="212"/>
        <v/>
      </c>
      <c r="AZ106" s="8" t="str">
        <f t="shared" si="212"/>
        <v/>
      </c>
      <c r="BA106" s="8" t="str">
        <f t="shared" si="212"/>
        <v>Dave Baldwin</v>
      </c>
      <c r="BB106" s="8" t="str">
        <f t="shared" si="212"/>
        <v>Andy Booth</v>
      </c>
      <c r="BC106" s="8" t="str">
        <f t="shared" si="212"/>
        <v/>
      </c>
      <c r="BD106" s="8" t="str">
        <f t="shared" si="212"/>
        <v/>
      </c>
      <c r="BE106" s="8" t="str">
        <f t="shared" si="212"/>
        <v/>
      </c>
      <c r="BF106" s="8" t="str">
        <f t="shared" si="212"/>
        <v/>
      </c>
      <c r="BG106" s="8" t="str">
        <f t="shared" si="212"/>
        <v/>
      </c>
      <c r="BH106" s="8" t="str">
        <f t="shared" si="212"/>
        <v/>
      </c>
      <c r="BI106" s="8" t="str">
        <f t="shared" si="212"/>
        <v/>
      </c>
      <c r="BJ106" s="8" t="str">
        <f t="shared" si="212"/>
        <v/>
      </c>
      <c r="BK106" s="8" t="str">
        <f t="shared" ref="BK106:CH106" si="213">IF(BK65="",BK105,IF(BK105="",BK65,BK105&amp;", "&amp;BK65))</f>
        <v/>
      </c>
      <c r="BL106" s="8" t="str">
        <f t="shared" si="213"/>
        <v/>
      </c>
      <c r="BM106" s="8" t="str">
        <f t="shared" si="213"/>
        <v/>
      </c>
      <c r="BN106" s="8" t="str">
        <f t="shared" si="213"/>
        <v/>
      </c>
      <c r="BO106" s="8" t="str">
        <f t="shared" si="213"/>
        <v/>
      </c>
      <c r="BP106" s="8" t="str">
        <f t="shared" si="213"/>
        <v/>
      </c>
      <c r="BQ106" s="8" t="str">
        <f t="shared" si="213"/>
        <v/>
      </c>
      <c r="BR106" s="8" t="str">
        <f t="shared" si="213"/>
        <v/>
      </c>
      <c r="BS106" s="8" t="str">
        <f t="shared" si="213"/>
        <v/>
      </c>
      <c r="BT106" s="8" t="str">
        <f t="shared" si="213"/>
        <v/>
      </c>
      <c r="BU106" s="8" t="str">
        <f t="shared" si="213"/>
        <v/>
      </c>
      <c r="BV106" s="8" t="str">
        <f t="shared" si="213"/>
        <v/>
      </c>
      <c r="BW106" s="8" t="str">
        <f t="shared" si="213"/>
        <v/>
      </c>
      <c r="BX106" s="8" t="str">
        <f t="shared" si="213"/>
        <v/>
      </c>
      <c r="BY106" s="8" t="str">
        <f t="shared" si="213"/>
        <v/>
      </c>
      <c r="BZ106" s="8" t="str">
        <f t="shared" si="213"/>
        <v/>
      </c>
      <c r="CA106" s="8" t="str">
        <f t="shared" si="213"/>
        <v/>
      </c>
      <c r="CB106" s="8" t="str">
        <f t="shared" si="213"/>
        <v/>
      </c>
      <c r="CC106" s="8" t="str">
        <f t="shared" si="213"/>
        <v/>
      </c>
      <c r="CD106" s="8" t="str">
        <f t="shared" si="213"/>
        <v/>
      </c>
      <c r="CE106" s="8" t="str">
        <f t="shared" si="213"/>
        <v/>
      </c>
      <c r="CF106" s="8" t="str">
        <f t="shared" si="213"/>
        <v>Andy Booth</v>
      </c>
      <c r="CG106" s="8" t="str">
        <f t="shared" si="213"/>
        <v/>
      </c>
      <c r="CH106" s="8" t="str">
        <f t="shared" si="213"/>
        <v/>
      </c>
      <c r="CI106" s="8" t="str">
        <f t="shared" ref="CI106:CL106" si="214">IF(CI65="",CI105,IF(CI105="",CI65,CI105&amp;", "&amp;CI65))</f>
        <v/>
      </c>
      <c r="CJ106" s="8" t="str">
        <f t="shared" si="214"/>
        <v/>
      </c>
      <c r="CK106" s="8" t="str">
        <f t="shared" si="214"/>
        <v/>
      </c>
      <c r="CL106" s="8" t="str">
        <f t="shared" si="214"/>
        <v>Andy Booth</v>
      </c>
    </row>
    <row r="107" spans="3:90" x14ac:dyDescent="0.2">
      <c r="E107" s="8">
        <f t="shared" si="209"/>
        <v>6</v>
      </c>
      <c r="G107" s="8" t="str">
        <f t="shared" ref="G107:BJ107" si="215">IF(G66="",G106,IF(G106="",G66,G106&amp;", "&amp;G66))</f>
        <v/>
      </c>
      <c r="H107" s="8" t="str">
        <f t="shared" si="215"/>
        <v>Andy Booth</v>
      </c>
      <c r="I107" s="8" t="str">
        <f t="shared" si="215"/>
        <v>Dave Baldwin (2)</v>
      </c>
      <c r="J107" s="8" t="str">
        <f t="shared" si="215"/>
        <v>Justin Baranowski</v>
      </c>
      <c r="K107" s="8" t="str">
        <f t="shared" si="215"/>
        <v/>
      </c>
      <c r="L107" s="8" t="str">
        <f t="shared" si="215"/>
        <v/>
      </c>
      <c r="M107" s="8" t="str">
        <f t="shared" si="215"/>
        <v>Dave Baldwin (1)</v>
      </c>
      <c r="N107" s="8" t="str">
        <f t="shared" si="215"/>
        <v>Andy Booth</v>
      </c>
      <c r="O107" s="8" t="str">
        <f t="shared" si="215"/>
        <v/>
      </c>
      <c r="P107" s="8" t="str">
        <f t="shared" si="215"/>
        <v>Andy Booth</v>
      </c>
      <c r="Q107" s="8" t="str">
        <f t="shared" si="215"/>
        <v>Dave Baldwin</v>
      </c>
      <c r="R107" s="8" t="str">
        <f t="shared" si="215"/>
        <v>Justin Baranowski</v>
      </c>
      <c r="S107" s="8" t="str">
        <f t="shared" si="215"/>
        <v/>
      </c>
      <c r="T107" s="8" t="str">
        <f t="shared" si="215"/>
        <v>Andy Booth</v>
      </c>
      <c r="U107" s="8" t="str">
        <f t="shared" si="215"/>
        <v>Dave Baldwin (1)</v>
      </c>
      <c r="V107" s="8" t="str">
        <f t="shared" si="215"/>
        <v>Justin Baranowski (2)</v>
      </c>
      <c r="W107" s="8" t="str">
        <f t="shared" si="215"/>
        <v/>
      </c>
      <c r="X107" s="8" t="str">
        <f t="shared" si="215"/>
        <v/>
      </c>
      <c r="Y107" s="8" t="str">
        <f t="shared" si="215"/>
        <v/>
      </c>
      <c r="Z107" s="8" t="str">
        <f t="shared" si="215"/>
        <v/>
      </c>
      <c r="AA107" s="8" t="str">
        <f t="shared" si="215"/>
        <v/>
      </c>
      <c r="AB107" s="8" t="str">
        <f t="shared" si="215"/>
        <v/>
      </c>
      <c r="AC107" s="8" t="str">
        <f t="shared" si="215"/>
        <v>Dave Baldwin (1)</v>
      </c>
      <c r="AD107" s="8" t="str">
        <f t="shared" si="215"/>
        <v>Justin Baranowski</v>
      </c>
      <c r="AE107" s="8" t="str">
        <f t="shared" si="215"/>
        <v/>
      </c>
      <c r="AF107" s="8" t="str">
        <f t="shared" si="215"/>
        <v/>
      </c>
      <c r="AG107" s="8" t="str">
        <f t="shared" si="215"/>
        <v>Dave Baldwin (1)</v>
      </c>
      <c r="AH107" s="8" t="str">
        <f t="shared" si="215"/>
        <v>Justin Baranowski (1)</v>
      </c>
      <c r="AI107" s="8" t="str">
        <f t="shared" si="215"/>
        <v/>
      </c>
      <c r="AJ107" s="8" t="str">
        <f t="shared" si="215"/>
        <v/>
      </c>
      <c r="AK107" s="8" t="str">
        <f t="shared" si="215"/>
        <v/>
      </c>
      <c r="AL107" s="8" t="str">
        <f t="shared" si="215"/>
        <v>Andy Booth</v>
      </c>
      <c r="AM107" s="8" t="str">
        <f t="shared" si="215"/>
        <v/>
      </c>
      <c r="AN107" s="8" t="str">
        <f t="shared" si="215"/>
        <v/>
      </c>
      <c r="AO107" s="8" t="str">
        <f t="shared" si="215"/>
        <v/>
      </c>
      <c r="AP107" s="8" t="str">
        <f t="shared" si="215"/>
        <v/>
      </c>
      <c r="AQ107" s="8" t="str">
        <f t="shared" si="215"/>
        <v/>
      </c>
      <c r="AR107" s="8" t="str">
        <f t="shared" si="215"/>
        <v/>
      </c>
      <c r="AS107" s="8" t="str">
        <f t="shared" si="215"/>
        <v/>
      </c>
      <c r="AT107" s="8" t="str">
        <f t="shared" si="215"/>
        <v>Andy Booth</v>
      </c>
      <c r="AU107" s="8" t="str">
        <f t="shared" si="215"/>
        <v/>
      </c>
      <c r="AV107" s="8" t="str">
        <f t="shared" si="215"/>
        <v/>
      </c>
      <c r="AW107" s="8" t="str">
        <f t="shared" si="215"/>
        <v>Dave Baldwin</v>
      </c>
      <c r="AX107" s="8" t="str">
        <f t="shared" si="215"/>
        <v/>
      </c>
      <c r="AY107" s="8" t="str">
        <f t="shared" si="215"/>
        <v/>
      </c>
      <c r="AZ107" s="8" t="str">
        <f t="shared" si="215"/>
        <v/>
      </c>
      <c r="BA107" s="8" t="str">
        <f t="shared" si="215"/>
        <v>Dave Baldwin</v>
      </c>
      <c r="BB107" s="8" t="str">
        <f t="shared" si="215"/>
        <v>Andy Booth</v>
      </c>
      <c r="BC107" s="8" t="str">
        <f t="shared" si="215"/>
        <v/>
      </c>
      <c r="BD107" s="8" t="str">
        <f t="shared" si="215"/>
        <v/>
      </c>
      <c r="BE107" s="8" t="str">
        <f t="shared" si="215"/>
        <v/>
      </c>
      <c r="BF107" s="8" t="str">
        <f t="shared" si="215"/>
        <v/>
      </c>
      <c r="BG107" s="8" t="str">
        <f t="shared" si="215"/>
        <v/>
      </c>
      <c r="BH107" s="8" t="str">
        <f t="shared" si="215"/>
        <v/>
      </c>
      <c r="BI107" s="8" t="str">
        <f t="shared" si="215"/>
        <v/>
      </c>
      <c r="BJ107" s="8" t="str">
        <f t="shared" si="215"/>
        <v/>
      </c>
      <c r="BK107" s="8" t="str">
        <f t="shared" ref="BK107:CH107" si="216">IF(BK66="",BK106,IF(BK106="",BK66,BK106&amp;", "&amp;BK66))</f>
        <v/>
      </c>
      <c r="BL107" s="8" t="str">
        <f t="shared" si="216"/>
        <v/>
      </c>
      <c r="BM107" s="8" t="str">
        <f t="shared" si="216"/>
        <v/>
      </c>
      <c r="BN107" s="8" t="str">
        <f t="shared" si="216"/>
        <v/>
      </c>
      <c r="BO107" s="8" t="str">
        <f t="shared" si="216"/>
        <v/>
      </c>
      <c r="BP107" s="8" t="str">
        <f t="shared" si="216"/>
        <v/>
      </c>
      <c r="BQ107" s="8" t="str">
        <f t="shared" si="216"/>
        <v/>
      </c>
      <c r="BR107" s="8" t="str">
        <f t="shared" si="216"/>
        <v/>
      </c>
      <c r="BS107" s="8" t="str">
        <f t="shared" si="216"/>
        <v/>
      </c>
      <c r="BT107" s="8" t="str">
        <f t="shared" si="216"/>
        <v/>
      </c>
      <c r="BU107" s="8" t="str">
        <f t="shared" si="216"/>
        <v/>
      </c>
      <c r="BV107" s="8" t="str">
        <f t="shared" si="216"/>
        <v/>
      </c>
      <c r="BW107" s="8" t="str">
        <f t="shared" si="216"/>
        <v/>
      </c>
      <c r="BX107" s="8" t="str">
        <f t="shared" si="216"/>
        <v/>
      </c>
      <c r="BY107" s="8" t="str">
        <f t="shared" si="216"/>
        <v/>
      </c>
      <c r="BZ107" s="8" t="str">
        <f t="shared" si="216"/>
        <v/>
      </c>
      <c r="CA107" s="8" t="str">
        <f t="shared" si="216"/>
        <v/>
      </c>
      <c r="CB107" s="8" t="str">
        <f t="shared" si="216"/>
        <v/>
      </c>
      <c r="CC107" s="8" t="str">
        <f t="shared" si="216"/>
        <v/>
      </c>
      <c r="CD107" s="8" t="str">
        <f t="shared" si="216"/>
        <v/>
      </c>
      <c r="CE107" s="8" t="str">
        <f t="shared" si="216"/>
        <v/>
      </c>
      <c r="CF107" s="8" t="str">
        <f t="shared" si="216"/>
        <v>Andy Booth</v>
      </c>
      <c r="CG107" s="8" t="str">
        <f t="shared" si="216"/>
        <v/>
      </c>
      <c r="CH107" s="8" t="str">
        <f t="shared" si="216"/>
        <v/>
      </c>
      <c r="CI107" s="8" t="str">
        <f t="shared" ref="CI107:CL107" si="217">IF(CI66="",CI106,IF(CI106="",CI66,CI106&amp;", "&amp;CI66))</f>
        <v/>
      </c>
      <c r="CJ107" s="8" t="str">
        <f t="shared" si="217"/>
        <v/>
      </c>
      <c r="CK107" s="8" t="str">
        <f t="shared" si="217"/>
        <v/>
      </c>
      <c r="CL107" s="8" t="str">
        <f t="shared" si="217"/>
        <v>Andy Booth</v>
      </c>
    </row>
    <row r="108" spans="3:90" x14ac:dyDescent="0.2">
      <c r="E108" s="8">
        <f t="shared" si="209"/>
        <v>7</v>
      </c>
      <c r="G108" s="8" t="str">
        <f t="shared" ref="G108:BJ108" si="218">IF(G67="",G107,IF(G107="",G67,G107&amp;", "&amp;G67))</f>
        <v/>
      </c>
      <c r="H108" s="8" t="str">
        <f t="shared" si="218"/>
        <v>Andy Booth, Felix Bull</v>
      </c>
      <c r="I108" s="8" t="str">
        <f t="shared" si="218"/>
        <v>Dave Baldwin (2)</v>
      </c>
      <c r="J108" s="8" t="str">
        <f t="shared" si="218"/>
        <v>Justin Baranowski</v>
      </c>
      <c r="K108" s="8" t="str">
        <f t="shared" si="218"/>
        <v/>
      </c>
      <c r="L108" s="8" t="str">
        <f t="shared" si="218"/>
        <v>Felix Bull</v>
      </c>
      <c r="M108" s="8" t="str">
        <f t="shared" si="218"/>
        <v>Dave Baldwin (1)</v>
      </c>
      <c r="N108" s="8" t="str">
        <f t="shared" si="218"/>
        <v>Andy Booth</v>
      </c>
      <c r="O108" s="8" t="str">
        <f t="shared" si="218"/>
        <v/>
      </c>
      <c r="P108" s="8" t="str">
        <f t="shared" si="218"/>
        <v>Andy Booth, Felix Bull</v>
      </c>
      <c r="Q108" s="8" t="str">
        <f t="shared" si="218"/>
        <v>Dave Baldwin</v>
      </c>
      <c r="R108" s="8" t="str">
        <f t="shared" si="218"/>
        <v>Justin Baranowski</v>
      </c>
      <c r="S108" s="8" t="str">
        <f t="shared" si="218"/>
        <v/>
      </c>
      <c r="T108" s="8" t="str">
        <f t="shared" si="218"/>
        <v>Andy Booth, Felix Bull</v>
      </c>
      <c r="U108" s="8" t="str">
        <f t="shared" si="218"/>
        <v>Dave Baldwin (1)</v>
      </c>
      <c r="V108" s="8" t="str">
        <f t="shared" si="218"/>
        <v>Justin Baranowski (2)</v>
      </c>
      <c r="W108" s="8" t="str">
        <f t="shared" si="218"/>
        <v/>
      </c>
      <c r="X108" s="8" t="str">
        <f t="shared" si="218"/>
        <v/>
      </c>
      <c r="Y108" s="8" t="str">
        <f t="shared" si="218"/>
        <v/>
      </c>
      <c r="Z108" s="8" t="str">
        <f t="shared" si="218"/>
        <v/>
      </c>
      <c r="AA108" s="8" t="str">
        <f t="shared" si="218"/>
        <v/>
      </c>
      <c r="AB108" s="8" t="str">
        <f t="shared" si="218"/>
        <v>Felix Bull</v>
      </c>
      <c r="AC108" s="8" t="str">
        <f t="shared" si="218"/>
        <v>Dave Baldwin (1)</v>
      </c>
      <c r="AD108" s="8" t="str">
        <f t="shared" si="218"/>
        <v>Justin Baranowski</v>
      </c>
      <c r="AE108" s="8" t="str">
        <f t="shared" si="218"/>
        <v/>
      </c>
      <c r="AF108" s="8" t="str">
        <f t="shared" si="218"/>
        <v/>
      </c>
      <c r="AG108" s="8" t="str">
        <f t="shared" si="218"/>
        <v>Dave Baldwin (1)</v>
      </c>
      <c r="AH108" s="8" t="str">
        <f t="shared" si="218"/>
        <v>Justin Baranowski (1)</v>
      </c>
      <c r="AI108" s="8" t="str">
        <f t="shared" si="218"/>
        <v/>
      </c>
      <c r="AJ108" s="8" t="str">
        <f t="shared" si="218"/>
        <v>Felix Bull</v>
      </c>
      <c r="AK108" s="8" t="str">
        <f t="shared" si="218"/>
        <v/>
      </c>
      <c r="AL108" s="8" t="str">
        <f t="shared" si="218"/>
        <v>Andy Booth</v>
      </c>
      <c r="AM108" s="8" t="str">
        <f t="shared" si="218"/>
        <v/>
      </c>
      <c r="AN108" s="8" t="str">
        <f t="shared" si="218"/>
        <v/>
      </c>
      <c r="AO108" s="8" t="str">
        <f t="shared" si="218"/>
        <v/>
      </c>
      <c r="AP108" s="8" t="str">
        <f t="shared" si="218"/>
        <v/>
      </c>
      <c r="AQ108" s="8" t="str">
        <f t="shared" si="218"/>
        <v/>
      </c>
      <c r="AR108" s="8" t="str">
        <f t="shared" si="218"/>
        <v>Felix Bull</v>
      </c>
      <c r="AS108" s="8" t="str">
        <f t="shared" si="218"/>
        <v/>
      </c>
      <c r="AT108" s="8" t="str">
        <f t="shared" si="218"/>
        <v>Andy Booth</v>
      </c>
      <c r="AU108" s="8" t="str">
        <f t="shared" si="218"/>
        <v/>
      </c>
      <c r="AV108" s="8" t="str">
        <f t="shared" si="218"/>
        <v/>
      </c>
      <c r="AW108" s="8" t="str">
        <f t="shared" si="218"/>
        <v>Dave Baldwin</v>
      </c>
      <c r="AX108" s="8" t="str">
        <f t="shared" si="218"/>
        <v/>
      </c>
      <c r="AY108" s="8" t="str">
        <f t="shared" si="218"/>
        <v/>
      </c>
      <c r="AZ108" s="8" t="str">
        <f t="shared" si="218"/>
        <v>Felix Bull</v>
      </c>
      <c r="BA108" s="8" t="str">
        <f t="shared" si="218"/>
        <v>Dave Baldwin</v>
      </c>
      <c r="BB108" s="8" t="str">
        <f t="shared" si="218"/>
        <v>Andy Booth</v>
      </c>
      <c r="BC108" s="8" t="str">
        <f t="shared" si="218"/>
        <v/>
      </c>
      <c r="BD108" s="8" t="str">
        <f t="shared" si="218"/>
        <v/>
      </c>
      <c r="BE108" s="8" t="str">
        <f t="shared" si="218"/>
        <v/>
      </c>
      <c r="BF108" s="8" t="str">
        <f t="shared" si="218"/>
        <v/>
      </c>
      <c r="BG108" s="8" t="str">
        <f t="shared" si="218"/>
        <v/>
      </c>
      <c r="BH108" s="8" t="str">
        <f t="shared" si="218"/>
        <v/>
      </c>
      <c r="BI108" s="8" t="str">
        <f t="shared" si="218"/>
        <v/>
      </c>
      <c r="BJ108" s="8" t="str">
        <f t="shared" si="218"/>
        <v/>
      </c>
      <c r="BK108" s="8" t="str">
        <f t="shared" ref="BK108:CH108" si="219">IF(BK67="",BK107,IF(BK107="",BK67,BK107&amp;", "&amp;BK67))</f>
        <v/>
      </c>
      <c r="BL108" s="8" t="str">
        <f t="shared" si="219"/>
        <v/>
      </c>
      <c r="BM108" s="8" t="str">
        <f t="shared" si="219"/>
        <v/>
      </c>
      <c r="BN108" s="8" t="str">
        <f t="shared" si="219"/>
        <v/>
      </c>
      <c r="BO108" s="8" t="str">
        <f t="shared" si="219"/>
        <v/>
      </c>
      <c r="BP108" s="8" t="str">
        <f t="shared" si="219"/>
        <v>Felix Bull (1)</v>
      </c>
      <c r="BQ108" s="8" t="str">
        <f t="shared" si="219"/>
        <v/>
      </c>
      <c r="BR108" s="8" t="str">
        <f t="shared" si="219"/>
        <v/>
      </c>
      <c r="BS108" s="8" t="str">
        <f t="shared" si="219"/>
        <v/>
      </c>
      <c r="BT108" s="8" t="str">
        <f t="shared" si="219"/>
        <v>Felix Bull</v>
      </c>
      <c r="BU108" s="8" t="str">
        <f t="shared" si="219"/>
        <v/>
      </c>
      <c r="BV108" s="8" t="str">
        <f t="shared" si="219"/>
        <v/>
      </c>
      <c r="BW108" s="8" t="str">
        <f t="shared" si="219"/>
        <v/>
      </c>
      <c r="BX108" s="8" t="str">
        <f t="shared" si="219"/>
        <v>Felix Bull</v>
      </c>
      <c r="BY108" s="8" t="str">
        <f t="shared" si="219"/>
        <v/>
      </c>
      <c r="BZ108" s="8" t="str">
        <f t="shared" si="219"/>
        <v/>
      </c>
      <c r="CA108" s="8" t="str">
        <f t="shared" si="219"/>
        <v/>
      </c>
      <c r="CB108" s="8" t="str">
        <f t="shared" si="219"/>
        <v>Felix Bull (1)</v>
      </c>
      <c r="CC108" s="8" t="str">
        <f t="shared" si="219"/>
        <v/>
      </c>
      <c r="CD108" s="8" t="str">
        <f t="shared" si="219"/>
        <v/>
      </c>
      <c r="CE108" s="8" t="str">
        <f t="shared" si="219"/>
        <v/>
      </c>
      <c r="CF108" s="8" t="str">
        <f t="shared" si="219"/>
        <v>Andy Booth</v>
      </c>
      <c r="CG108" s="8" t="str">
        <f t="shared" si="219"/>
        <v/>
      </c>
      <c r="CH108" s="8" t="str">
        <f t="shared" si="219"/>
        <v/>
      </c>
      <c r="CI108" s="8" t="str">
        <f t="shared" ref="CI108:CL108" si="220">IF(CI67="",CI107,IF(CI107="",CI67,CI107&amp;", "&amp;CI67))</f>
        <v/>
      </c>
      <c r="CJ108" s="8" t="str">
        <f t="shared" si="220"/>
        <v>Felix Bull</v>
      </c>
      <c r="CK108" s="8" t="str">
        <f t="shared" si="220"/>
        <v/>
      </c>
      <c r="CL108" s="8" t="str">
        <f t="shared" si="220"/>
        <v>Andy Booth</v>
      </c>
    </row>
    <row r="109" spans="3:90" x14ac:dyDescent="0.2">
      <c r="E109" s="8">
        <f t="shared" si="209"/>
        <v>8</v>
      </c>
      <c r="G109" s="8" t="str">
        <f t="shared" ref="G109:BJ109" si="221">IF(G68="",G108,IF(G108="",G68,G108&amp;", "&amp;G68))</f>
        <v/>
      </c>
      <c r="H109" s="8" t="str">
        <f t="shared" si="221"/>
        <v>Andy Booth, Felix Bull</v>
      </c>
      <c r="I109" s="8" t="str">
        <f t="shared" si="221"/>
        <v>Dave Baldwin (2)</v>
      </c>
      <c r="J109" s="8" t="str">
        <f t="shared" si="221"/>
        <v>Justin Baranowski</v>
      </c>
      <c r="K109" s="8" t="str">
        <f t="shared" si="221"/>
        <v/>
      </c>
      <c r="L109" s="8" t="str">
        <f t="shared" si="221"/>
        <v>Felix Bull</v>
      </c>
      <c r="M109" s="8" t="str">
        <f t="shared" si="221"/>
        <v>Dave Baldwin (1)</v>
      </c>
      <c r="N109" s="8" t="str">
        <f t="shared" si="221"/>
        <v>Andy Booth</v>
      </c>
      <c r="O109" s="8" t="str">
        <f t="shared" si="221"/>
        <v/>
      </c>
      <c r="P109" s="8" t="str">
        <f t="shared" si="221"/>
        <v>Andy Booth, Felix Bull</v>
      </c>
      <c r="Q109" s="8" t="str">
        <f t="shared" si="221"/>
        <v>Dave Baldwin, Rob Clark</v>
      </c>
      <c r="R109" s="8" t="str">
        <f t="shared" si="221"/>
        <v>Justin Baranowski</v>
      </c>
      <c r="S109" s="8" t="str">
        <f t="shared" si="221"/>
        <v/>
      </c>
      <c r="T109" s="8" t="str">
        <f t="shared" si="221"/>
        <v>Andy Booth, Felix Bull</v>
      </c>
      <c r="U109" s="8" t="str">
        <f t="shared" si="221"/>
        <v>Dave Baldwin (1), Rob Clark</v>
      </c>
      <c r="V109" s="8" t="str">
        <f t="shared" si="221"/>
        <v>Justin Baranowski (2)</v>
      </c>
      <c r="W109" s="8" t="str">
        <f t="shared" si="221"/>
        <v/>
      </c>
      <c r="X109" s="8" t="str">
        <f t="shared" si="221"/>
        <v/>
      </c>
      <c r="Y109" s="8" t="str">
        <f t="shared" si="221"/>
        <v/>
      </c>
      <c r="Z109" s="8" t="str">
        <f t="shared" si="221"/>
        <v/>
      </c>
      <c r="AA109" s="8" t="str">
        <f t="shared" si="221"/>
        <v/>
      </c>
      <c r="AB109" s="8" t="str">
        <f t="shared" si="221"/>
        <v>Felix Bull</v>
      </c>
      <c r="AC109" s="8" t="str">
        <f t="shared" si="221"/>
        <v>Dave Baldwin (1), Rob Clark</v>
      </c>
      <c r="AD109" s="8" t="str">
        <f t="shared" si="221"/>
        <v>Justin Baranowski</v>
      </c>
      <c r="AE109" s="8" t="str">
        <f t="shared" si="221"/>
        <v/>
      </c>
      <c r="AF109" s="8" t="str">
        <f t="shared" si="221"/>
        <v/>
      </c>
      <c r="AG109" s="8" t="str">
        <f t="shared" si="221"/>
        <v>Dave Baldwin (1)</v>
      </c>
      <c r="AH109" s="8" t="str">
        <f t="shared" si="221"/>
        <v>Justin Baranowski (1)</v>
      </c>
      <c r="AI109" s="8" t="str">
        <f t="shared" si="221"/>
        <v/>
      </c>
      <c r="AJ109" s="8" t="str">
        <f t="shared" si="221"/>
        <v>Felix Bull</v>
      </c>
      <c r="AK109" s="8" t="str">
        <f t="shared" si="221"/>
        <v/>
      </c>
      <c r="AL109" s="8" t="str">
        <f t="shared" si="221"/>
        <v>Andy Booth</v>
      </c>
      <c r="AM109" s="8" t="str">
        <f t="shared" si="221"/>
        <v/>
      </c>
      <c r="AN109" s="8" t="str">
        <f t="shared" si="221"/>
        <v/>
      </c>
      <c r="AO109" s="8" t="str">
        <f t="shared" si="221"/>
        <v/>
      </c>
      <c r="AP109" s="8" t="str">
        <f t="shared" si="221"/>
        <v/>
      </c>
      <c r="AQ109" s="8" t="str">
        <f t="shared" si="221"/>
        <v/>
      </c>
      <c r="AR109" s="8" t="str">
        <f t="shared" si="221"/>
        <v>Felix Bull</v>
      </c>
      <c r="AS109" s="8" t="str">
        <f t="shared" si="221"/>
        <v/>
      </c>
      <c r="AT109" s="8" t="str">
        <f t="shared" si="221"/>
        <v>Andy Booth</v>
      </c>
      <c r="AU109" s="8" t="str">
        <f t="shared" si="221"/>
        <v/>
      </c>
      <c r="AV109" s="8" t="str">
        <f t="shared" si="221"/>
        <v/>
      </c>
      <c r="AW109" s="8" t="str">
        <f t="shared" si="221"/>
        <v>Dave Baldwin</v>
      </c>
      <c r="AX109" s="8" t="str">
        <f t="shared" si="221"/>
        <v/>
      </c>
      <c r="AY109" s="8" t="str">
        <f t="shared" si="221"/>
        <v/>
      </c>
      <c r="AZ109" s="8" t="str">
        <f t="shared" si="221"/>
        <v>Felix Bull</v>
      </c>
      <c r="BA109" s="8" t="str">
        <f t="shared" si="221"/>
        <v>Dave Baldwin</v>
      </c>
      <c r="BB109" s="8" t="str">
        <f t="shared" si="221"/>
        <v>Andy Booth</v>
      </c>
      <c r="BC109" s="8" t="str">
        <f t="shared" si="221"/>
        <v/>
      </c>
      <c r="BD109" s="8" t="str">
        <f t="shared" si="221"/>
        <v/>
      </c>
      <c r="BE109" s="8" t="str">
        <f t="shared" si="221"/>
        <v/>
      </c>
      <c r="BF109" s="8" t="str">
        <f t="shared" si="221"/>
        <v/>
      </c>
      <c r="BG109" s="8" t="str">
        <f t="shared" si="221"/>
        <v/>
      </c>
      <c r="BH109" s="8" t="str">
        <f t="shared" si="221"/>
        <v/>
      </c>
      <c r="BI109" s="8" t="str">
        <f t="shared" si="221"/>
        <v/>
      </c>
      <c r="BJ109" s="8" t="str">
        <f t="shared" si="221"/>
        <v/>
      </c>
      <c r="BK109" s="8" t="str">
        <f t="shared" ref="BK109:CH109" si="222">IF(BK68="",BK108,IF(BK108="",BK68,BK108&amp;", "&amp;BK68))</f>
        <v/>
      </c>
      <c r="BL109" s="8" t="str">
        <f t="shared" si="222"/>
        <v/>
      </c>
      <c r="BM109" s="8" t="str">
        <f t="shared" si="222"/>
        <v/>
      </c>
      <c r="BN109" s="8" t="str">
        <f t="shared" si="222"/>
        <v/>
      </c>
      <c r="BO109" s="8" t="str">
        <f t="shared" si="222"/>
        <v/>
      </c>
      <c r="BP109" s="8" t="str">
        <f t="shared" si="222"/>
        <v>Felix Bull (1)</v>
      </c>
      <c r="BQ109" s="8" t="str">
        <f t="shared" si="222"/>
        <v/>
      </c>
      <c r="BR109" s="8" t="str">
        <f t="shared" si="222"/>
        <v/>
      </c>
      <c r="BS109" s="8" t="str">
        <f t="shared" si="222"/>
        <v/>
      </c>
      <c r="BT109" s="8" t="str">
        <f t="shared" si="222"/>
        <v>Felix Bull</v>
      </c>
      <c r="BU109" s="8" t="str">
        <f t="shared" si="222"/>
        <v/>
      </c>
      <c r="BV109" s="8" t="str">
        <f t="shared" si="222"/>
        <v/>
      </c>
      <c r="BW109" s="8" t="str">
        <f t="shared" si="222"/>
        <v/>
      </c>
      <c r="BX109" s="8" t="str">
        <f t="shared" si="222"/>
        <v>Felix Bull</v>
      </c>
      <c r="BY109" s="8" t="str">
        <f t="shared" si="222"/>
        <v/>
      </c>
      <c r="BZ109" s="8" t="str">
        <f t="shared" si="222"/>
        <v/>
      </c>
      <c r="CA109" s="8" t="str">
        <f t="shared" si="222"/>
        <v/>
      </c>
      <c r="CB109" s="8" t="str">
        <f t="shared" si="222"/>
        <v>Felix Bull (1)</v>
      </c>
      <c r="CC109" s="8" t="str">
        <f t="shared" si="222"/>
        <v/>
      </c>
      <c r="CD109" s="8" t="str">
        <f t="shared" si="222"/>
        <v/>
      </c>
      <c r="CE109" s="8" t="str">
        <f t="shared" si="222"/>
        <v/>
      </c>
      <c r="CF109" s="8" t="str">
        <f t="shared" si="222"/>
        <v>Andy Booth</v>
      </c>
      <c r="CG109" s="8" t="str">
        <f t="shared" si="222"/>
        <v/>
      </c>
      <c r="CH109" s="8" t="str">
        <f t="shared" si="222"/>
        <v/>
      </c>
      <c r="CI109" s="8" t="str">
        <f t="shared" ref="CI109:CL109" si="223">IF(CI68="",CI108,IF(CI108="",CI68,CI108&amp;", "&amp;CI68))</f>
        <v/>
      </c>
      <c r="CJ109" s="8" t="str">
        <f t="shared" si="223"/>
        <v>Felix Bull</v>
      </c>
      <c r="CK109" s="8" t="str">
        <f t="shared" si="223"/>
        <v/>
      </c>
      <c r="CL109" s="8" t="str">
        <f t="shared" si="223"/>
        <v>Andy Booth</v>
      </c>
    </row>
    <row r="110" spans="3:90" x14ac:dyDescent="0.2">
      <c r="E110" s="8">
        <f t="shared" si="209"/>
        <v>9</v>
      </c>
      <c r="G110" s="8" t="str">
        <f t="shared" ref="G110:BJ110" si="224">IF(G69="",G109,IF(G109="",G69,G109&amp;", "&amp;G69))</f>
        <v/>
      </c>
      <c r="H110" s="8" t="str">
        <f t="shared" si="224"/>
        <v>Andy Booth, Felix Bull</v>
      </c>
      <c r="I110" s="8" t="str">
        <f t="shared" si="224"/>
        <v>Dave Baldwin (2)</v>
      </c>
      <c r="J110" s="8" t="str">
        <f t="shared" si="224"/>
        <v>Justin Baranowski</v>
      </c>
      <c r="K110" s="8" t="str">
        <f t="shared" si="224"/>
        <v/>
      </c>
      <c r="L110" s="8" t="str">
        <f t="shared" si="224"/>
        <v>Felix Bull</v>
      </c>
      <c r="M110" s="8" t="str">
        <f t="shared" si="224"/>
        <v>Dave Baldwin (1), Ben Colville (1)</v>
      </c>
      <c r="N110" s="8" t="str">
        <f t="shared" si="224"/>
        <v>Andy Booth</v>
      </c>
      <c r="O110" s="8" t="str">
        <f t="shared" si="224"/>
        <v/>
      </c>
      <c r="P110" s="8" t="str">
        <f t="shared" si="224"/>
        <v>Andy Booth, Felix Bull</v>
      </c>
      <c r="Q110" s="8" t="str">
        <f t="shared" si="224"/>
        <v>Dave Baldwin, Rob Clark</v>
      </c>
      <c r="R110" s="8" t="str">
        <f t="shared" si="224"/>
        <v>Justin Baranowski</v>
      </c>
      <c r="S110" s="8" t="str">
        <f t="shared" si="224"/>
        <v/>
      </c>
      <c r="T110" s="8" t="str">
        <f t="shared" si="224"/>
        <v>Andy Booth, Felix Bull</v>
      </c>
      <c r="U110" s="8" t="str">
        <f t="shared" si="224"/>
        <v>Dave Baldwin (1), Rob Clark</v>
      </c>
      <c r="V110" s="8" t="str">
        <f t="shared" si="224"/>
        <v>Justin Baranowski (2)</v>
      </c>
      <c r="W110" s="8" t="str">
        <f t="shared" si="224"/>
        <v/>
      </c>
      <c r="X110" s="8" t="str">
        <f t="shared" si="224"/>
        <v/>
      </c>
      <c r="Y110" s="8" t="str">
        <f t="shared" si="224"/>
        <v/>
      </c>
      <c r="Z110" s="8" t="str">
        <f t="shared" si="224"/>
        <v/>
      </c>
      <c r="AA110" s="8" t="str">
        <f t="shared" si="224"/>
        <v/>
      </c>
      <c r="AB110" s="8" t="str">
        <f t="shared" si="224"/>
        <v>Felix Bull</v>
      </c>
      <c r="AC110" s="8" t="str">
        <f t="shared" si="224"/>
        <v>Dave Baldwin (1), Rob Clark</v>
      </c>
      <c r="AD110" s="8" t="str">
        <f t="shared" si="224"/>
        <v>Justin Baranowski</v>
      </c>
      <c r="AE110" s="8" t="str">
        <f t="shared" si="224"/>
        <v/>
      </c>
      <c r="AF110" s="8" t="str">
        <f t="shared" si="224"/>
        <v/>
      </c>
      <c r="AG110" s="8" t="str">
        <f t="shared" si="224"/>
        <v>Dave Baldwin (1)</v>
      </c>
      <c r="AH110" s="8" t="str">
        <f t="shared" si="224"/>
        <v>Justin Baranowski (1)</v>
      </c>
      <c r="AI110" s="8" t="str">
        <f t="shared" si="224"/>
        <v/>
      </c>
      <c r="AJ110" s="8" t="str">
        <f t="shared" si="224"/>
        <v>Felix Bull, Ben Colville</v>
      </c>
      <c r="AK110" s="8" t="str">
        <f t="shared" si="224"/>
        <v/>
      </c>
      <c r="AL110" s="8" t="str">
        <f t="shared" si="224"/>
        <v>Andy Booth</v>
      </c>
      <c r="AM110" s="8" t="str">
        <f t="shared" si="224"/>
        <v/>
      </c>
      <c r="AN110" s="8" t="str">
        <f t="shared" si="224"/>
        <v/>
      </c>
      <c r="AO110" s="8" t="str">
        <f t="shared" si="224"/>
        <v/>
      </c>
      <c r="AP110" s="8" t="str">
        <f t="shared" si="224"/>
        <v/>
      </c>
      <c r="AQ110" s="8" t="str">
        <f t="shared" si="224"/>
        <v/>
      </c>
      <c r="AR110" s="8" t="str">
        <f t="shared" si="224"/>
        <v>Felix Bull</v>
      </c>
      <c r="AS110" s="8" t="str">
        <f t="shared" si="224"/>
        <v/>
      </c>
      <c r="AT110" s="8" t="str">
        <f t="shared" si="224"/>
        <v>Andy Booth</v>
      </c>
      <c r="AU110" s="8" t="str">
        <f t="shared" si="224"/>
        <v/>
      </c>
      <c r="AV110" s="8" t="str">
        <f t="shared" si="224"/>
        <v/>
      </c>
      <c r="AW110" s="8" t="str">
        <f t="shared" si="224"/>
        <v>Dave Baldwin</v>
      </c>
      <c r="AX110" s="8" t="str">
        <f t="shared" si="224"/>
        <v/>
      </c>
      <c r="AY110" s="8" t="str">
        <f t="shared" si="224"/>
        <v/>
      </c>
      <c r="AZ110" s="8" t="str">
        <f t="shared" si="224"/>
        <v>Felix Bull</v>
      </c>
      <c r="BA110" s="8" t="str">
        <f t="shared" si="224"/>
        <v>Dave Baldwin</v>
      </c>
      <c r="BB110" s="8" t="str">
        <f t="shared" si="224"/>
        <v>Andy Booth</v>
      </c>
      <c r="BC110" s="8" t="str">
        <f t="shared" si="224"/>
        <v/>
      </c>
      <c r="BD110" s="8" t="str">
        <f t="shared" si="224"/>
        <v/>
      </c>
      <c r="BE110" s="8" t="str">
        <f t="shared" si="224"/>
        <v/>
      </c>
      <c r="BF110" s="8" t="str">
        <f t="shared" si="224"/>
        <v/>
      </c>
      <c r="BG110" s="8" t="str">
        <f t="shared" si="224"/>
        <v/>
      </c>
      <c r="BH110" s="8" t="str">
        <f t="shared" si="224"/>
        <v/>
      </c>
      <c r="BI110" s="8" t="str">
        <f t="shared" si="224"/>
        <v/>
      </c>
      <c r="BJ110" s="8" t="str">
        <f t="shared" si="224"/>
        <v/>
      </c>
      <c r="BK110" s="8" t="str">
        <f t="shared" ref="BK110:CH110" si="225">IF(BK69="",BK109,IF(BK109="",BK69,BK109&amp;", "&amp;BK69))</f>
        <v/>
      </c>
      <c r="BL110" s="8" t="str">
        <f t="shared" si="225"/>
        <v/>
      </c>
      <c r="BM110" s="8" t="str">
        <f t="shared" si="225"/>
        <v/>
      </c>
      <c r="BN110" s="8" t="str">
        <f t="shared" si="225"/>
        <v/>
      </c>
      <c r="BO110" s="8" t="str">
        <f t="shared" si="225"/>
        <v/>
      </c>
      <c r="BP110" s="8" t="str">
        <f t="shared" si="225"/>
        <v>Felix Bull (1)</v>
      </c>
      <c r="BQ110" s="8" t="str">
        <f t="shared" si="225"/>
        <v/>
      </c>
      <c r="BR110" s="8" t="str">
        <f t="shared" si="225"/>
        <v/>
      </c>
      <c r="BS110" s="8" t="str">
        <f t="shared" si="225"/>
        <v/>
      </c>
      <c r="BT110" s="8" t="str">
        <f t="shared" si="225"/>
        <v>Felix Bull</v>
      </c>
      <c r="BU110" s="8" t="str">
        <f t="shared" si="225"/>
        <v/>
      </c>
      <c r="BV110" s="8" t="str">
        <f t="shared" si="225"/>
        <v/>
      </c>
      <c r="BW110" s="8" t="str">
        <f t="shared" si="225"/>
        <v/>
      </c>
      <c r="BX110" s="8" t="str">
        <f t="shared" si="225"/>
        <v>Felix Bull</v>
      </c>
      <c r="BY110" s="8" t="str">
        <f t="shared" si="225"/>
        <v/>
      </c>
      <c r="BZ110" s="8" t="str">
        <f t="shared" si="225"/>
        <v/>
      </c>
      <c r="CA110" s="8" t="str">
        <f t="shared" si="225"/>
        <v/>
      </c>
      <c r="CB110" s="8" t="str">
        <f t="shared" si="225"/>
        <v>Felix Bull (1)</v>
      </c>
      <c r="CC110" s="8" t="str">
        <f t="shared" si="225"/>
        <v/>
      </c>
      <c r="CD110" s="8" t="str">
        <f t="shared" si="225"/>
        <v/>
      </c>
      <c r="CE110" s="8" t="str">
        <f t="shared" si="225"/>
        <v/>
      </c>
      <c r="CF110" s="8" t="str">
        <f t="shared" si="225"/>
        <v>Andy Booth</v>
      </c>
      <c r="CG110" s="8" t="str">
        <f t="shared" si="225"/>
        <v/>
      </c>
      <c r="CH110" s="8" t="str">
        <f t="shared" si="225"/>
        <v/>
      </c>
      <c r="CI110" s="8" t="str">
        <f t="shared" ref="CI110:CL110" si="226">IF(CI69="",CI109,IF(CI109="",CI69,CI109&amp;", "&amp;CI69))</f>
        <v/>
      </c>
      <c r="CJ110" s="8" t="str">
        <f t="shared" si="226"/>
        <v>Felix Bull</v>
      </c>
      <c r="CK110" s="8" t="str">
        <f t="shared" si="226"/>
        <v/>
      </c>
      <c r="CL110" s="8" t="str">
        <f t="shared" si="226"/>
        <v>Andy Booth</v>
      </c>
    </row>
    <row r="111" spans="3:90" x14ac:dyDescent="0.2">
      <c r="E111" s="8">
        <f t="shared" si="209"/>
        <v>10</v>
      </c>
      <c r="G111" s="8" t="str">
        <f t="shared" ref="G111:BJ111" si="227">IF(G70="",G110,IF(G110="",G70,G110&amp;", "&amp;G70))</f>
        <v/>
      </c>
      <c r="H111" s="8" t="str">
        <f t="shared" si="227"/>
        <v>Andy Booth, Felix Bull</v>
      </c>
      <c r="I111" s="8" t="str">
        <f t="shared" si="227"/>
        <v>Dave Baldwin (2)</v>
      </c>
      <c r="J111" s="8" t="str">
        <f t="shared" si="227"/>
        <v>Justin Baranowski</v>
      </c>
      <c r="K111" s="8" t="str">
        <f t="shared" si="227"/>
        <v/>
      </c>
      <c r="L111" s="8" t="str">
        <f t="shared" si="227"/>
        <v>Felix Bull</v>
      </c>
      <c r="M111" s="8" t="str">
        <f t="shared" si="227"/>
        <v>Dave Baldwin (1), Ben Colville (1)</v>
      </c>
      <c r="N111" s="8" t="str">
        <f t="shared" si="227"/>
        <v>Andy Booth</v>
      </c>
      <c r="O111" s="8" t="str">
        <f t="shared" si="227"/>
        <v/>
      </c>
      <c r="P111" s="8" t="str">
        <f t="shared" si="227"/>
        <v>Andy Booth, Felix Bull</v>
      </c>
      <c r="Q111" s="8" t="str">
        <f t="shared" si="227"/>
        <v>Dave Baldwin, Rob Clark</v>
      </c>
      <c r="R111" s="8" t="str">
        <f t="shared" si="227"/>
        <v>Justin Baranowski</v>
      </c>
      <c r="S111" s="8" t="str">
        <f t="shared" si="227"/>
        <v/>
      </c>
      <c r="T111" s="8" t="str">
        <f t="shared" si="227"/>
        <v>Andy Booth, Felix Bull</v>
      </c>
      <c r="U111" s="8" t="str">
        <f t="shared" si="227"/>
        <v>Dave Baldwin (1), Rob Clark</v>
      </c>
      <c r="V111" s="8" t="str">
        <f t="shared" si="227"/>
        <v>Justin Baranowski (2)</v>
      </c>
      <c r="W111" s="8" t="str">
        <f t="shared" si="227"/>
        <v/>
      </c>
      <c r="X111" s="8" t="str">
        <f t="shared" si="227"/>
        <v/>
      </c>
      <c r="Y111" s="8" t="str">
        <f t="shared" si="227"/>
        <v/>
      </c>
      <c r="Z111" s="8" t="str">
        <f t="shared" si="227"/>
        <v/>
      </c>
      <c r="AA111" s="8" t="str">
        <f t="shared" si="227"/>
        <v/>
      </c>
      <c r="AB111" s="8" t="str">
        <f t="shared" si="227"/>
        <v>Felix Bull</v>
      </c>
      <c r="AC111" s="8" t="str">
        <f t="shared" si="227"/>
        <v>Dave Baldwin (1), Rob Clark</v>
      </c>
      <c r="AD111" s="8" t="str">
        <f t="shared" si="227"/>
        <v>Justin Baranowski</v>
      </c>
      <c r="AE111" s="8" t="str">
        <f t="shared" si="227"/>
        <v/>
      </c>
      <c r="AF111" s="8" t="str">
        <f t="shared" si="227"/>
        <v/>
      </c>
      <c r="AG111" s="8" t="str">
        <f t="shared" si="227"/>
        <v>Dave Baldwin (1)</v>
      </c>
      <c r="AH111" s="8" t="str">
        <f t="shared" si="227"/>
        <v>Justin Baranowski (1)</v>
      </c>
      <c r="AI111" s="8" t="e">
        <f t="shared" si="227"/>
        <v>#REF!</v>
      </c>
      <c r="AJ111" s="8" t="e">
        <f t="shared" si="227"/>
        <v>#REF!</v>
      </c>
      <c r="AK111" s="8" t="e">
        <f t="shared" si="227"/>
        <v>#REF!</v>
      </c>
      <c r="AL111" s="8" t="e">
        <f t="shared" si="227"/>
        <v>#REF!</v>
      </c>
      <c r="AM111" s="8" t="str">
        <f t="shared" si="227"/>
        <v/>
      </c>
      <c r="AN111" s="8" t="str">
        <f t="shared" si="227"/>
        <v/>
      </c>
      <c r="AO111" s="8" t="str">
        <f t="shared" si="227"/>
        <v/>
      </c>
      <c r="AP111" s="8" t="str">
        <f t="shared" si="227"/>
        <v/>
      </c>
      <c r="AQ111" s="8" t="str">
        <f t="shared" si="227"/>
        <v/>
      </c>
      <c r="AR111" s="8" t="str">
        <f t="shared" si="227"/>
        <v>Felix Bull</v>
      </c>
      <c r="AS111" s="8" t="str">
        <f t="shared" si="227"/>
        <v/>
      </c>
      <c r="AT111" s="8" t="str">
        <f t="shared" si="227"/>
        <v>Andy Booth</v>
      </c>
      <c r="AU111" s="8" t="str">
        <f t="shared" si="227"/>
        <v/>
      </c>
      <c r="AV111" s="8" t="str">
        <f t="shared" si="227"/>
        <v>Dave Copple</v>
      </c>
      <c r="AW111" s="8" t="str">
        <f t="shared" si="227"/>
        <v>Dave Baldwin</v>
      </c>
      <c r="AX111" s="8" t="str">
        <f t="shared" si="227"/>
        <v/>
      </c>
      <c r="AY111" s="8" t="str">
        <f t="shared" si="227"/>
        <v/>
      </c>
      <c r="AZ111" s="8" t="str">
        <f t="shared" si="227"/>
        <v>Felix Bull, Dave Copple</v>
      </c>
      <c r="BA111" s="8" t="str">
        <f t="shared" si="227"/>
        <v>Dave Baldwin</v>
      </c>
      <c r="BB111" s="8" t="str">
        <f t="shared" si="227"/>
        <v>Andy Booth</v>
      </c>
      <c r="BC111" s="8" t="str">
        <f t="shared" si="227"/>
        <v/>
      </c>
      <c r="BD111" s="8" t="str">
        <f t="shared" si="227"/>
        <v/>
      </c>
      <c r="BE111" s="8" t="str">
        <f t="shared" si="227"/>
        <v/>
      </c>
      <c r="BF111" s="8" t="str">
        <f t="shared" si="227"/>
        <v/>
      </c>
      <c r="BG111" s="8" t="str">
        <f t="shared" si="227"/>
        <v/>
      </c>
      <c r="BH111" s="8" t="str">
        <f t="shared" si="227"/>
        <v/>
      </c>
      <c r="BI111" s="8" t="str">
        <f t="shared" si="227"/>
        <v/>
      </c>
      <c r="BJ111" s="8" t="str">
        <f t="shared" si="227"/>
        <v/>
      </c>
      <c r="BK111" s="8" t="str">
        <f t="shared" ref="BK111:CH111" si="228">IF(BK70="",BK110,IF(BK110="",BK70,BK110&amp;", "&amp;BK70))</f>
        <v/>
      </c>
      <c r="BL111" s="8" t="str">
        <f t="shared" si="228"/>
        <v/>
      </c>
      <c r="BM111" s="8" t="str">
        <f t="shared" si="228"/>
        <v/>
      </c>
      <c r="BN111" s="8" t="str">
        <f t="shared" si="228"/>
        <v/>
      </c>
      <c r="BO111" s="8" t="str">
        <f t="shared" si="228"/>
        <v/>
      </c>
      <c r="BP111" s="8" t="str">
        <f t="shared" si="228"/>
        <v>Felix Bull (1), Dave Copple</v>
      </c>
      <c r="BQ111" s="8" t="str">
        <f t="shared" si="228"/>
        <v/>
      </c>
      <c r="BR111" s="8" t="str">
        <f t="shared" si="228"/>
        <v/>
      </c>
      <c r="BS111" s="8" t="str">
        <f t="shared" si="228"/>
        <v/>
      </c>
      <c r="BT111" s="8" t="str">
        <f t="shared" si="228"/>
        <v>Felix Bull, Dave Copple</v>
      </c>
      <c r="BU111" s="8" t="str">
        <f t="shared" si="228"/>
        <v/>
      </c>
      <c r="BV111" s="8" t="str">
        <f t="shared" si="228"/>
        <v/>
      </c>
      <c r="BW111" s="8" t="str">
        <f t="shared" si="228"/>
        <v/>
      </c>
      <c r="BX111" s="8" t="str">
        <f t="shared" si="228"/>
        <v>Felix Bull</v>
      </c>
      <c r="BY111" s="8" t="str">
        <f t="shared" si="228"/>
        <v/>
      </c>
      <c r="BZ111" s="8" t="str">
        <f t="shared" si="228"/>
        <v/>
      </c>
      <c r="CA111" s="8" t="str">
        <f t="shared" si="228"/>
        <v/>
      </c>
      <c r="CB111" s="8" t="str">
        <f t="shared" si="228"/>
        <v>Felix Bull (1)</v>
      </c>
      <c r="CC111" s="8" t="str">
        <f t="shared" si="228"/>
        <v/>
      </c>
      <c r="CD111" s="8" t="str">
        <f t="shared" si="228"/>
        <v/>
      </c>
      <c r="CE111" s="8" t="str">
        <f t="shared" si="228"/>
        <v/>
      </c>
      <c r="CF111" s="8" t="str">
        <f t="shared" si="228"/>
        <v>Andy Booth</v>
      </c>
      <c r="CG111" s="8" t="str">
        <f t="shared" si="228"/>
        <v/>
      </c>
      <c r="CH111" s="8" t="str">
        <f t="shared" si="228"/>
        <v/>
      </c>
      <c r="CI111" s="8" t="str">
        <f t="shared" ref="CI111:CL111" si="229">IF(CI70="",CI110,IF(CI110="",CI70,CI110&amp;", "&amp;CI70))</f>
        <v/>
      </c>
      <c r="CJ111" s="8" t="str">
        <f t="shared" si="229"/>
        <v>Felix Bull, Dave Copple</v>
      </c>
      <c r="CK111" s="8" t="str">
        <f t="shared" si="229"/>
        <v/>
      </c>
      <c r="CL111" s="8" t="str">
        <f t="shared" si="229"/>
        <v>Andy Booth</v>
      </c>
    </row>
    <row r="112" spans="3:90" x14ac:dyDescent="0.2">
      <c r="E112" s="8">
        <f t="shared" si="209"/>
        <v>11</v>
      </c>
      <c r="G112" s="8" t="str">
        <f t="shared" ref="G112:BJ112" si="230">IF(G71="",G111,IF(G111="",G71,G111&amp;", "&amp;G71))</f>
        <v/>
      </c>
      <c r="H112" s="8" t="str">
        <f t="shared" si="230"/>
        <v>Andy Booth, Felix Bull</v>
      </c>
      <c r="I112" s="8" t="str">
        <f t="shared" si="230"/>
        <v>Dave Baldwin (2), Andy Fernando</v>
      </c>
      <c r="J112" s="8" t="str">
        <f t="shared" si="230"/>
        <v>Justin Baranowski</v>
      </c>
      <c r="K112" s="8" t="str">
        <f t="shared" si="230"/>
        <v/>
      </c>
      <c r="L112" s="8" t="str">
        <f t="shared" si="230"/>
        <v>Felix Bull</v>
      </c>
      <c r="M112" s="8" t="str">
        <f t="shared" si="230"/>
        <v>Dave Baldwin (1), Ben Colville (1), Andy Fernando</v>
      </c>
      <c r="N112" s="8" t="str">
        <f t="shared" si="230"/>
        <v>Andy Booth</v>
      </c>
      <c r="O112" s="8" t="str">
        <f t="shared" si="230"/>
        <v/>
      </c>
      <c r="P112" s="8" t="str">
        <f t="shared" si="230"/>
        <v>Andy Booth, Felix Bull</v>
      </c>
      <c r="Q112" s="8" t="str">
        <f t="shared" si="230"/>
        <v>Dave Baldwin, Rob Clark, Andy Fernando</v>
      </c>
      <c r="R112" s="8" t="str">
        <f t="shared" si="230"/>
        <v>Justin Baranowski</v>
      </c>
      <c r="S112" s="8" t="str">
        <f t="shared" si="230"/>
        <v/>
      </c>
      <c r="T112" s="8" t="str">
        <f t="shared" si="230"/>
        <v>Andy Booth, Felix Bull</v>
      </c>
      <c r="U112" s="8" t="str">
        <f t="shared" si="230"/>
        <v>Dave Baldwin (1), Rob Clark, Andy Fernando</v>
      </c>
      <c r="V112" s="8" t="str">
        <f t="shared" si="230"/>
        <v>Justin Baranowski (2)</v>
      </c>
      <c r="W112" s="8" t="str">
        <f t="shared" si="230"/>
        <v/>
      </c>
      <c r="X112" s="8" t="str">
        <f t="shared" si="230"/>
        <v/>
      </c>
      <c r="Y112" s="8" t="str">
        <f t="shared" si="230"/>
        <v/>
      </c>
      <c r="Z112" s="8" t="str">
        <f t="shared" si="230"/>
        <v/>
      </c>
      <c r="AA112" s="8" t="str">
        <f t="shared" si="230"/>
        <v/>
      </c>
      <c r="AB112" s="8" t="str">
        <f t="shared" si="230"/>
        <v>Felix Bull</v>
      </c>
      <c r="AC112" s="8" t="str">
        <f t="shared" si="230"/>
        <v>Dave Baldwin (1), Rob Clark, Andy Fernando</v>
      </c>
      <c r="AD112" s="8" t="str">
        <f t="shared" si="230"/>
        <v>Justin Baranowski</v>
      </c>
      <c r="AE112" s="8" t="str">
        <f t="shared" si="230"/>
        <v/>
      </c>
      <c r="AF112" s="8" t="str">
        <f t="shared" si="230"/>
        <v/>
      </c>
      <c r="AG112" s="8" t="str">
        <f t="shared" si="230"/>
        <v>Dave Baldwin (1)</v>
      </c>
      <c r="AH112" s="8" t="str">
        <f t="shared" si="230"/>
        <v>Justin Baranowski (1)</v>
      </c>
      <c r="AI112" s="8" t="e">
        <f t="shared" si="230"/>
        <v>#REF!</v>
      </c>
      <c r="AJ112" s="8" t="e">
        <f t="shared" si="230"/>
        <v>#REF!</v>
      </c>
      <c r="AK112" s="8" t="e">
        <f t="shared" si="230"/>
        <v>#REF!</v>
      </c>
      <c r="AL112" s="8" t="e">
        <f t="shared" si="230"/>
        <v>#REF!</v>
      </c>
      <c r="AM112" s="8" t="str">
        <f t="shared" si="230"/>
        <v/>
      </c>
      <c r="AN112" s="8" t="str">
        <f t="shared" si="230"/>
        <v/>
      </c>
      <c r="AO112" s="8" t="str">
        <f t="shared" si="230"/>
        <v/>
      </c>
      <c r="AP112" s="8" t="str">
        <f t="shared" si="230"/>
        <v/>
      </c>
      <c r="AQ112" s="8" t="str">
        <f t="shared" si="230"/>
        <v/>
      </c>
      <c r="AR112" s="8" t="str">
        <f t="shared" si="230"/>
        <v>Felix Bull</v>
      </c>
      <c r="AS112" s="8" t="str">
        <f t="shared" si="230"/>
        <v/>
      </c>
      <c r="AT112" s="8" t="str">
        <f t="shared" si="230"/>
        <v>Andy Booth</v>
      </c>
      <c r="AU112" s="8" t="str">
        <f t="shared" si="230"/>
        <v/>
      </c>
      <c r="AV112" s="8" t="str">
        <f t="shared" si="230"/>
        <v>Dave Copple</v>
      </c>
      <c r="AW112" s="8" t="str">
        <f t="shared" si="230"/>
        <v>Dave Baldwin, Andy Fernando</v>
      </c>
      <c r="AX112" s="8" t="str">
        <f t="shared" si="230"/>
        <v/>
      </c>
      <c r="AY112" s="8" t="str">
        <f t="shared" si="230"/>
        <v/>
      </c>
      <c r="AZ112" s="8" t="str">
        <f t="shared" si="230"/>
        <v>Felix Bull, Dave Copple</v>
      </c>
      <c r="BA112" s="8" t="str">
        <f t="shared" si="230"/>
        <v>Dave Baldwin, Andy Fernando</v>
      </c>
      <c r="BB112" s="8" t="str">
        <f t="shared" si="230"/>
        <v>Andy Booth</v>
      </c>
      <c r="BC112" s="8" t="str">
        <f t="shared" si="230"/>
        <v/>
      </c>
      <c r="BD112" s="8" t="str">
        <f t="shared" si="230"/>
        <v/>
      </c>
      <c r="BE112" s="8" t="str">
        <f t="shared" si="230"/>
        <v/>
      </c>
      <c r="BF112" s="8" t="str">
        <f t="shared" si="230"/>
        <v/>
      </c>
      <c r="BG112" s="8" t="str">
        <f t="shared" si="230"/>
        <v/>
      </c>
      <c r="BH112" s="8" t="str">
        <f t="shared" si="230"/>
        <v/>
      </c>
      <c r="BI112" s="8" t="str">
        <f t="shared" si="230"/>
        <v/>
      </c>
      <c r="BJ112" s="8" t="str">
        <f t="shared" si="230"/>
        <v/>
      </c>
      <c r="BK112" s="8" t="str">
        <f t="shared" ref="BK112:CH112" si="231">IF(BK71="",BK111,IF(BK111="",BK71,BK111&amp;", "&amp;BK71))</f>
        <v/>
      </c>
      <c r="BL112" s="8" t="str">
        <f t="shared" si="231"/>
        <v/>
      </c>
      <c r="BM112" s="8" t="str">
        <f t="shared" si="231"/>
        <v/>
      </c>
      <c r="BN112" s="8" t="str">
        <f t="shared" si="231"/>
        <v/>
      </c>
      <c r="BO112" s="8" t="str">
        <f t="shared" si="231"/>
        <v/>
      </c>
      <c r="BP112" s="8" t="str">
        <f t="shared" si="231"/>
        <v>Felix Bull (1), Dave Copple</v>
      </c>
      <c r="BQ112" s="8" t="str">
        <f t="shared" si="231"/>
        <v>Andy Fernando</v>
      </c>
      <c r="BR112" s="8" t="str">
        <f t="shared" si="231"/>
        <v/>
      </c>
      <c r="BS112" s="8" t="str">
        <f t="shared" si="231"/>
        <v/>
      </c>
      <c r="BT112" s="8" t="str">
        <f t="shared" si="231"/>
        <v>Felix Bull, Dave Copple</v>
      </c>
      <c r="BU112" s="8" t="str">
        <f t="shared" si="231"/>
        <v/>
      </c>
      <c r="BV112" s="8" t="str">
        <f t="shared" si="231"/>
        <v/>
      </c>
      <c r="BW112" s="8" t="str">
        <f t="shared" si="231"/>
        <v/>
      </c>
      <c r="BX112" s="8" t="str">
        <f t="shared" si="231"/>
        <v>Felix Bull</v>
      </c>
      <c r="BY112" s="8" t="str">
        <f t="shared" si="231"/>
        <v/>
      </c>
      <c r="BZ112" s="8" t="str">
        <f t="shared" si="231"/>
        <v/>
      </c>
      <c r="CA112" s="8" t="str">
        <f t="shared" si="231"/>
        <v/>
      </c>
      <c r="CB112" s="8" t="str">
        <f t="shared" si="231"/>
        <v>Felix Bull (1)</v>
      </c>
      <c r="CC112" s="8" t="str">
        <f t="shared" si="231"/>
        <v>Andy Fernando</v>
      </c>
      <c r="CD112" s="8" t="str">
        <f t="shared" si="231"/>
        <v/>
      </c>
      <c r="CE112" s="8" t="str">
        <f t="shared" si="231"/>
        <v/>
      </c>
      <c r="CF112" s="8" t="str">
        <f t="shared" si="231"/>
        <v>Andy Booth</v>
      </c>
      <c r="CG112" s="8" t="str">
        <f t="shared" si="231"/>
        <v>Andy Fernando</v>
      </c>
      <c r="CH112" s="8" t="str">
        <f t="shared" si="231"/>
        <v/>
      </c>
      <c r="CI112" s="8" t="str">
        <f t="shared" ref="CI112:CL112" si="232">IF(CI71="",CI111,IF(CI111="",CI71,CI111&amp;", "&amp;CI71))</f>
        <v/>
      </c>
      <c r="CJ112" s="8" t="str">
        <f t="shared" si="232"/>
        <v>Felix Bull, Dave Copple</v>
      </c>
      <c r="CK112" s="8" t="str">
        <f t="shared" si="232"/>
        <v>Andy Fernando</v>
      </c>
      <c r="CL112" s="8" t="str">
        <f t="shared" si="232"/>
        <v>Andy Booth</v>
      </c>
    </row>
    <row r="113" spans="5:90" x14ac:dyDescent="0.2">
      <c r="E113" s="8">
        <f t="shared" si="209"/>
        <v>12</v>
      </c>
      <c r="G113" s="8" t="str">
        <f t="shared" ref="G113:BJ113" si="233">IF(G72="",G112,IF(G112="",G72,G112&amp;", "&amp;G72))</f>
        <v/>
      </c>
      <c r="H113" s="8" t="str">
        <f t="shared" si="233"/>
        <v>Andy Booth, Felix Bull</v>
      </c>
      <c r="I113" s="8" t="str">
        <f t="shared" si="233"/>
        <v>Dave Baldwin (2), Andy Fernando</v>
      </c>
      <c r="J113" s="8" t="str">
        <f t="shared" si="233"/>
        <v>Justin Baranowski</v>
      </c>
      <c r="K113" s="8" t="str">
        <f t="shared" si="233"/>
        <v/>
      </c>
      <c r="L113" s="8" t="str">
        <f t="shared" si="233"/>
        <v>Felix Bull</v>
      </c>
      <c r="M113" s="8" t="str">
        <f t="shared" si="233"/>
        <v>Dave Baldwin (1), Ben Colville (1), Andy Fernando</v>
      </c>
      <c r="N113" s="8" t="str">
        <f t="shared" si="233"/>
        <v>Andy Booth</v>
      </c>
      <c r="O113" s="8" t="str">
        <f t="shared" si="233"/>
        <v/>
      </c>
      <c r="P113" s="8" t="str">
        <f t="shared" si="233"/>
        <v>Andy Booth, Felix Bull, Elliot Fry</v>
      </c>
      <c r="Q113" s="8" t="str">
        <f t="shared" si="233"/>
        <v>Dave Baldwin, Rob Clark, Andy Fernando</v>
      </c>
      <c r="R113" s="8" t="str">
        <f t="shared" si="233"/>
        <v>Justin Baranowski</v>
      </c>
      <c r="S113" s="8" t="str">
        <f t="shared" si="233"/>
        <v/>
      </c>
      <c r="T113" s="8" t="str">
        <f t="shared" si="233"/>
        <v>Andy Booth, Felix Bull, Elliot Fry</v>
      </c>
      <c r="U113" s="8" t="str">
        <f t="shared" si="233"/>
        <v>Dave Baldwin (1), Rob Clark, Andy Fernando</v>
      </c>
      <c r="V113" s="8" t="str">
        <f t="shared" si="233"/>
        <v>Justin Baranowski (2)</v>
      </c>
      <c r="W113" s="8" t="str">
        <f t="shared" si="233"/>
        <v/>
      </c>
      <c r="X113" s="8" t="str">
        <f t="shared" si="233"/>
        <v/>
      </c>
      <c r="Y113" s="8" t="str">
        <f t="shared" si="233"/>
        <v/>
      </c>
      <c r="Z113" s="8" t="str">
        <f t="shared" si="233"/>
        <v/>
      </c>
      <c r="AA113" s="8" t="str">
        <f t="shared" si="233"/>
        <v/>
      </c>
      <c r="AB113" s="8" t="str">
        <f t="shared" si="233"/>
        <v>Felix Bull, Elliot Fry</v>
      </c>
      <c r="AC113" s="8" t="str">
        <f t="shared" si="233"/>
        <v>Dave Baldwin (1), Rob Clark, Andy Fernando</v>
      </c>
      <c r="AD113" s="8" t="str">
        <f t="shared" si="233"/>
        <v>Justin Baranowski</v>
      </c>
      <c r="AE113" s="8" t="str">
        <f t="shared" si="233"/>
        <v/>
      </c>
      <c r="AF113" s="8" t="str">
        <f t="shared" si="233"/>
        <v>Elliot Fry</v>
      </c>
      <c r="AG113" s="8" t="str">
        <f t="shared" si="233"/>
        <v>Dave Baldwin (1)</v>
      </c>
      <c r="AH113" s="8" t="str">
        <f t="shared" si="233"/>
        <v>Justin Baranowski (1)</v>
      </c>
      <c r="AI113" s="8" t="e">
        <f t="shared" si="233"/>
        <v>#REF!</v>
      </c>
      <c r="AJ113" s="8" t="e">
        <f t="shared" si="233"/>
        <v>#REF!</v>
      </c>
      <c r="AK113" s="8" t="e">
        <f t="shared" si="233"/>
        <v>#REF!</v>
      </c>
      <c r="AL113" s="8" t="e">
        <f t="shared" si="233"/>
        <v>#REF!</v>
      </c>
      <c r="AM113" s="8" t="str">
        <f t="shared" si="233"/>
        <v/>
      </c>
      <c r="AN113" s="8" t="str">
        <f t="shared" si="233"/>
        <v/>
      </c>
      <c r="AO113" s="8" t="str">
        <f t="shared" si="233"/>
        <v/>
      </c>
      <c r="AP113" s="8" t="str">
        <f t="shared" si="233"/>
        <v/>
      </c>
      <c r="AQ113" s="8" t="str">
        <f t="shared" si="233"/>
        <v/>
      </c>
      <c r="AR113" s="8" t="str">
        <f t="shared" si="233"/>
        <v>Felix Bull, Elliot Fry</v>
      </c>
      <c r="AS113" s="8" t="str">
        <f t="shared" si="233"/>
        <v/>
      </c>
      <c r="AT113" s="8" t="str">
        <f t="shared" si="233"/>
        <v>Andy Booth</v>
      </c>
      <c r="AU113" s="8" t="str">
        <f t="shared" si="233"/>
        <v/>
      </c>
      <c r="AV113" s="8" t="str">
        <f t="shared" si="233"/>
        <v>Dave Copple, Elliot Fry</v>
      </c>
      <c r="AW113" s="8" t="str">
        <f t="shared" si="233"/>
        <v>Dave Baldwin, Andy Fernando</v>
      </c>
      <c r="AX113" s="8" t="str">
        <f t="shared" si="233"/>
        <v/>
      </c>
      <c r="AY113" s="8" t="str">
        <f t="shared" si="233"/>
        <v/>
      </c>
      <c r="AZ113" s="8" t="str">
        <f t="shared" si="233"/>
        <v>Felix Bull, Dave Copple, Elliot Fry</v>
      </c>
      <c r="BA113" s="8" t="str">
        <f t="shared" si="233"/>
        <v>Dave Baldwin, Andy Fernando</v>
      </c>
      <c r="BB113" s="8" t="str">
        <f t="shared" si="233"/>
        <v>Andy Booth</v>
      </c>
      <c r="BC113" s="8" t="str">
        <f t="shared" si="233"/>
        <v/>
      </c>
      <c r="BD113" s="8" t="str">
        <f t="shared" si="233"/>
        <v/>
      </c>
      <c r="BE113" s="8" t="str">
        <f t="shared" si="233"/>
        <v/>
      </c>
      <c r="BF113" s="8" t="str">
        <f t="shared" si="233"/>
        <v/>
      </c>
      <c r="BG113" s="8" t="str">
        <f t="shared" si="233"/>
        <v/>
      </c>
      <c r="BH113" s="8" t="str">
        <f t="shared" si="233"/>
        <v/>
      </c>
      <c r="BI113" s="8" t="str">
        <f t="shared" si="233"/>
        <v/>
      </c>
      <c r="BJ113" s="8" t="str">
        <f t="shared" si="233"/>
        <v/>
      </c>
      <c r="BK113" s="8" t="str">
        <f t="shared" ref="BK113:CH113" si="234">IF(BK72="",BK112,IF(BK112="",BK72,BK112&amp;", "&amp;BK72))</f>
        <v/>
      </c>
      <c r="BL113" s="8" t="str">
        <f t="shared" si="234"/>
        <v/>
      </c>
      <c r="BM113" s="8" t="str">
        <f t="shared" si="234"/>
        <v/>
      </c>
      <c r="BN113" s="8" t="str">
        <f t="shared" si="234"/>
        <v/>
      </c>
      <c r="BO113" s="8" t="str">
        <f t="shared" si="234"/>
        <v/>
      </c>
      <c r="BP113" s="8" t="str">
        <f t="shared" si="234"/>
        <v>Felix Bull (1), Dave Copple, Elliot Fry</v>
      </c>
      <c r="BQ113" s="8" t="str">
        <f t="shared" si="234"/>
        <v>Andy Fernando</v>
      </c>
      <c r="BR113" s="8" t="str">
        <f t="shared" si="234"/>
        <v/>
      </c>
      <c r="BS113" s="8" t="str">
        <f t="shared" si="234"/>
        <v/>
      </c>
      <c r="BT113" s="8" t="str">
        <f t="shared" si="234"/>
        <v>Felix Bull, Dave Copple, Elliot Fry</v>
      </c>
      <c r="BU113" s="8" t="str">
        <f t="shared" si="234"/>
        <v/>
      </c>
      <c r="BV113" s="8" t="str">
        <f t="shared" si="234"/>
        <v/>
      </c>
      <c r="BW113" s="8" t="str">
        <f t="shared" si="234"/>
        <v/>
      </c>
      <c r="BX113" s="8" t="str">
        <f t="shared" si="234"/>
        <v>Felix Bull, Elliot Fry</v>
      </c>
      <c r="BY113" s="8" t="str">
        <f t="shared" si="234"/>
        <v/>
      </c>
      <c r="BZ113" s="8" t="str">
        <f t="shared" si="234"/>
        <v/>
      </c>
      <c r="CA113" s="8" t="str">
        <f t="shared" si="234"/>
        <v/>
      </c>
      <c r="CB113" s="8" t="str">
        <f t="shared" si="234"/>
        <v>Felix Bull (1)</v>
      </c>
      <c r="CC113" s="8" t="str">
        <f t="shared" si="234"/>
        <v>Andy Fernando</v>
      </c>
      <c r="CD113" s="8" t="str">
        <f t="shared" si="234"/>
        <v/>
      </c>
      <c r="CE113" s="8" t="str">
        <f t="shared" si="234"/>
        <v/>
      </c>
      <c r="CF113" s="8" t="str">
        <f t="shared" si="234"/>
        <v>Andy Booth</v>
      </c>
      <c r="CG113" s="8" t="str">
        <f t="shared" si="234"/>
        <v>Andy Fernando</v>
      </c>
      <c r="CH113" s="8" t="str">
        <f t="shared" si="234"/>
        <v/>
      </c>
      <c r="CI113" s="8" t="str">
        <f t="shared" ref="CI113:CL113" si="235">IF(CI72="",CI112,IF(CI112="",CI72,CI112&amp;", "&amp;CI72))</f>
        <v/>
      </c>
      <c r="CJ113" s="8" t="str">
        <f t="shared" si="235"/>
        <v>Felix Bull, Dave Copple, Elliot Fry</v>
      </c>
      <c r="CK113" s="8" t="str">
        <f t="shared" si="235"/>
        <v>Andy Fernando</v>
      </c>
      <c r="CL113" s="8" t="str">
        <f t="shared" si="235"/>
        <v>Andy Booth</v>
      </c>
    </row>
    <row r="114" spans="5:90" x14ac:dyDescent="0.2">
      <c r="E114" s="8">
        <f t="shared" si="209"/>
        <v>13</v>
      </c>
      <c r="G114" s="8" t="str">
        <f t="shared" ref="G114:BJ114" si="236">IF(G73="",G113,IF(G113="",G73,G113&amp;", "&amp;G73))</f>
        <v/>
      </c>
      <c r="H114" s="8" t="str">
        <f t="shared" si="236"/>
        <v>Andy Booth, Felix Bull</v>
      </c>
      <c r="I114" s="8" t="str">
        <f t="shared" si="236"/>
        <v>Dave Baldwin (2), Andy Fernando, Alex Griffiths</v>
      </c>
      <c r="J114" s="8" t="str">
        <f t="shared" si="236"/>
        <v>Justin Baranowski</v>
      </c>
      <c r="K114" s="8" t="str">
        <f t="shared" si="236"/>
        <v/>
      </c>
      <c r="L114" s="8" t="str">
        <f t="shared" si="236"/>
        <v>Felix Bull</v>
      </c>
      <c r="M114" s="8" t="str">
        <f t="shared" si="236"/>
        <v>Dave Baldwin (1), Ben Colville (1), Andy Fernando</v>
      </c>
      <c r="N114" s="8" t="str">
        <f t="shared" si="236"/>
        <v>Andy Booth</v>
      </c>
      <c r="O114" s="8" t="str">
        <f t="shared" si="236"/>
        <v/>
      </c>
      <c r="P114" s="8" t="str">
        <f t="shared" si="236"/>
        <v>Andy Booth, Felix Bull, Elliot Fry</v>
      </c>
      <c r="Q114" s="8" t="str">
        <f t="shared" si="236"/>
        <v>Dave Baldwin, Rob Clark, Andy Fernando, Alex Griffiths</v>
      </c>
      <c r="R114" s="8" t="str">
        <f t="shared" si="236"/>
        <v>Justin Baranowski</v>
      </c>
      <c r="S114" s="8" t="str">
        <f t="shared" si="236"/>
        <v/>
      </c>
      <c r="T114" s="8" t="str">
        <f t="shared" si="236"/>
        <v>Andy Booth, Felix Bull, Elliot Fry</v>
      </c>
      <c r="U114" s="8" t="str">
        <f t="shared" si="236"/>
        <v>Dave Baldwin (1), Rob Clark, Andy Fernando, Alex Griffiths</v>
      </c>
      <c r="V114" s="8" t="str">
        <f t="shared" si="236"/>
        <v>Justin Baranowski (2)</v>
      </c>
      <c r="W114" s="8" t="str">
        <f t="shared" si="236"/>
        <v/>
      </c>
      <c r="X114" s="8" t="str">
        <f t="shared" si="236"/>
        <v/>
      </c>
      <c r="Y114" s="8" t="str">
        <f t="shared" si="236"/>
        <v/>
      </c>
      <c r="Z114" s="8" t="str">
        <f t="shared" si="236"/>
        <v/>
      </c>
      <c r="AA114" s="8" t="str">
        <f t="shared" si="236"/>
        <v/>
      </c>
      <c r="AB114" s="8" t="str">
        <f t="shared" si="236"/>
        <v>Felix Bull, Elliot Fry</v>
      </c>
      <c r="AC114" s="8" t="str">
        <f t="shared" si="236"/>
        <v>Dave Baldwin (1), Rob Clark, Andy Fernando, Alex Griffiths</v>
      </c>
      <c r="AD114" s="8" t="str">
        <f t="shared" si="236"/>
        <v>Justin Baranowski</v>
      </c>
      <c r="AE114" s="8" t="str">
        <f t="shared" si="236"/>
        <v/>
      </c>
      <c r="AF114" s="8" t="str">
        <f t="shared" si="236"/>
        <v>Elliot Fry</v>
      </c>
      <c r="AG114" s="8" t="str">
        <f t="shared" si="236"/>
        <v>Dave Baldwin (1), Alex Griffiths</v>
      </c>
      <c r="AH114" s="8" t="str">
        <f t="shared" si="236"/>
        <v>Justin Baranowski (1)</v>
      </c>
      <c r="AI114" s="8" t="e">
        <f t="shared" si="236"/>
        <v>#REF!</v>
      </c>
      <c r="AJ114" s="8" t="e">
        <f t="shared" si="236"/>
        <v>#REF!</v>
      </c>
      <c r="AK114" s="8" t="e">
        <f t="shared" si="236"/>
        <v>#REF!</v>
      </c>
      <c r="AL114" s="8" t="e">
        <f t="shared" si="236"/>
        <v>#REF!</v>
      </c>
      <c r="AM114" s="8" t="str">
        <f t="shared" si="236"/>
        <v/>
      </c>
      <c r="AN114" s="8" t="str">
        <f t="shared" si="236"/>
        <v/>
      </c>
      <c r="AO114" s="8" t="str">
        <f t="shared" si="236"/>
        <v/>
      </c>
      <c r="AP114" s="8" t="str">
        <f t="shared" si="236"/>
        <v/>
      </c>
      <c r="AQ114" s="8" t="str">
        <f t="shared" si="236"/>
        <v/>
      </c>
      <c r="AR114" s="8" t="str">
        <f t="shared" si="236"/>
        <v>Felix Bull, Elliot Fry</v>
      </c>
      <c r="AS114" s="8" t="str">
        <f t="shared" si="236"/>
        <v>Alex Griffiths (1)</v>
      </c>
      <c r="AT114" s="8" t="str">
        <f t="shared" si="236"/>
        <v>Andy Booth</v>
      </c>
      <c r="AU114" s="8" t="str">
        <f t="shared" si="236"/>
        <v/>
      </c>
      <c r="AV114" s="8" t="str">
        <f t="shared" si="236"/>
        <v>Dave Copple, Elliot Fry</v>
      </c>
      <c r="AW114" s="8" t="str">
        <f t="shared" si="236"/>
        <v>Dave Baldwin, Andy Fernando, Alex Griffiths</v>
      </c>
      <c r="AX114" s="8" t="str">
        <f t="shared" si="236"/>
        <v/>
      </c>
      <c r="AY114" s="8" t="str">
        <f t="shared" si="236"/>
        <v/>
      </c>
      <c r="AZ114" s="8" t="str">
        <f t="shared" si="236"/>
        <v>Felix Bull, Dave Copple, Elliot Fry</v>
      </c>
      <c r="BA114" s="8" t="str">
        <f t="shared" si="236"/>
        <v>Dave Baldwin, Andy Fernando</v>
      </c>
      <c r="BB114" s="8" t="str">
        <f t="shared" si="236"/>
        <v>Andy Booth, Alex Griffiths</v>
      </c>
      <c r="BC114" s="8" t="str">
        <f t="shared" si="236"/>
        <v/>
      </c>
      <c r="BD114" s="8" t="str">
        <f t="shared" si="236"/>
        <v/>
      </c>
      <c r="BE114" s="8" t="str">
        <f t="shared" si="236"/>
        <v/>
      </c>
      <c r="BF114" s="8" t="str">
        <f t="shared" si="236"/>
        <v/>
      </c>
      <c r="BG114" s="8" t="str">
        <f t="shared" si="236"/>
        <v/>
      </c>
      <c r="BH114" s="8" t="str">
        <f t="shared" si="236"/>
        <v/>
      </c>
      <c r="BI114" s="8" t="str">
        <f t="shared" si="236"/>
        <v/>
      </c>
      <c r="BJ114" s="8" t="str">
        <f t="shared" si="236"/>
        <v/>
      </c>
      <c r="BK114" s="8" t="str">
        <f t="shared" ref="BK114:CH114" si="237">IF(BK73="",BK113,IF(BK113="",BK73,BK113&amp;", "&amp;BK73))</f>
        <v/>
      </c>
      <c r="BL114" s="8" t="str">
        <f t="shared" si="237"/>
        <v/>
      </c>
      <c r="BM114" s="8" t="str">
        <f t="shared" si="237"/>
        <v/>
      </c>
      <c r="BN114" s="8" t="str">
        <f t="shared" si="237"/>
        <v/>
      </c>
      <c r="BO114" s="8" t="str">
        <f t="shared" si="237"/>
        <v/>
      </c>
      <c r="BP114" s="8" t="str">
        <f t="shared" si="237"/>
        <v>Felix Bull (1), Dave Copple, Elliot Fry</v>
      </c>
      <c r="BQ114" s="8" t="str">
        <f t="shared" si="237"/>
        <v>Andy Fernando, Alex Griffiths</v>
      </c>
      <c r="BR114" s="8" t="str">
        <f t="shared" si="237"/>
        <v/>
      </c>
      <c r="BS114" s="8" t="str">
        <f t="shared" si="237"/>
        <v/>
      </c>
      <c r="BT114" s="8" t="str">
        <f t="shared" si="237"/>
        <v>Felix Bull, Dave Copple, Elliot Fry</v>
      </c>
      <c r="BU114" s="8" t="str">
        <f t="shared" si="237"/>
        <v>Alex Griffiths</v>
      </c>
      <c r="BV114" s="8" t="str">
        <f t="shared" si="237"/>
        <v/>
      </c>
      <c r="BW114" s="8" t="str">
        <f t="shared" si="237"/>
        <v/>
      </c>
      <c r="BX114" s="8" t="str">
        <f t="shared" si="237"/>
        <v>Felix Bull, Elliot Fry</v>
      </c>
      <c r="BY114" s="8" t="str">
        <f t="shared" si="237"/>
        <v/>
      </c>
      <c r="BZ114" s="8" t="str">
        <f t="shared" si="237"/>
        <v/>
      </c>
      <c r="CA114" s="8" t="str">
        <f t="shared" si="237"/>
        <v/>
      </c>
      <c r="CB114" s="8" t="str">
        <f t="shared" si="237"/>
        <v>Felix Bull (1)</v>
      </c>
      <c r="CC114" s="8" t="str">
        <f t="shared" si="237"/>
        <v>Andy Fernando</v>
      </c>
      <c r="CD114" s="8" t="str">
        <f t="shared" si="237"/>
        <v/>
      </c>
      <c r="CE114" s="8" t="str">
        <f t="shared" si="237"/>
        <v/>
      </c>
      <c r="CF114" s="8" t="str">
        <f t="shared" si="237"/>
        <v>Andy Booth</v>
      </c>
      <c r="CG114" s="8" t="str">
        <f t="shared" si="237"/>
        <v>Andy Fernando</v>
      </c>
      <c r="CH114" s="8" t="str">
        <f t="shared" si="237"/>
        <v>Alex Griffiths</v>
      </c>
      <c r="CI114" s="8" t="str">
        <f t="shared" ref="CI114:CL114" si="238">IF(CI73="",CI113,IF(CI113="",CI73,CI113&amp;", "&amp;CI73))</f>
        <v/>
      </c>
      <c r="CJ114" s="8" t="str">
        <f t="shared" si="238"/>
        <v>Felix Bull, Dave Copple, Elliot Fry</v>
      </c>
      <c r="CK114" s="8" t="str">
        <f t="shared" si="238"/>
        <v>Andy Fernando</v>
      </c>
      <c r="CL114" s="8" t="str">
        <f t="shared" si="238"/>
        <v>Andy Booth</v>
      </c>
    </row>
    <row r="115" spans="5:90" x14ac:dyDescent="0.2">
      <c r="E115" s="8">
        <f t="shared" si="209"/>
        <v>14</v>
      </c>
      <c r="G115" s="8" t="str">
        <f t="shared" ref="G115:BJ115" si="239">IF(G74="",G114,IF(G114="",G74,G114&amp;", "&amp;G74))</f>
        <v/>
      </c>
      <c r="H115" s="8" t="str">
        <f t="shared" si="239"/>
        <v>Andy Booth, Felix Bull</v>
      </c>
      <c r="I115" s="8" t="str">
        <f t="shared" si="239"/>
        <v>Dave Baldwin (2), Andy Fernando, Alex Griffiths</v>
      </c>
      <c r="J115" s="8" t="str">
        <f t="shared" si="239"/>
        <v>Justin Baranowski</v>
      </c>
      <c r="K115" s="8" t="str">
        <f t="shared" si="239"/>
        <v/>
      </c>
      <c r="L115" s="8" t="str">
        <f t="shared" si="239"/>
        <v>Felix Bull</v>
      </c>
      <c r="M115" s="8" t="str">
        <f t="shared" si="239"/>
        <v>Dave Baldwin (1), Ben Colville (1), Andy Fernando</v>
      </c>
      <c r="N115" s="8" t="str">
        <f t="shared" si="239"/>
        <v>Andy Booth</v>
      </c>
      <c r="O115" s="8" t="str">
        <f t="shared" si="239"/>
        <v/>
      </c>
      <c r="P115" s="8" t="str">
        <f t="shared" si="239"/>
        <v>Andy Booth, Felix Bull, Elliot Fry</v>
      </c>
      <c r="Q115" s="8" t="str">
        <f t="shared" si="239"/>
        <v>Dave Baldwin, Rob Clark, Andy Fernando, Alex Griffiths</v>
      </c>
      <c r="R115" s="8" t="str">
        <f t="shared" si="239"/>
        <v>Justin Baranowski</v>
      </c>
      <c r="S115" s="8" t="str">
        <f t="shared" si="239"/>
        <v/>
      </c>
      <c r="T115" s="8" t="str">
        <f t="shared" si="239"/>
        <v>Andy Booth, Felix Bull, Elliot Fry, Jussi Grut</v>
      </c>
      <c r="U115" s="8" t="str">
        <f t="shared" si="239"/>
        <v>Dave Baldwin (1), Rob Clark, Andy Fernando, Alex Griffiths</v>
      </c>
      <c r="V115" s="8" t="str">
        <f t="shared" si="239"/>
        <v>Justin Baranowski (2)</v>
      </c>
      <c r="W115" s="8" t="str">
        <f t="shared" si="239"/>
        <v/>
      </c>
      <c r="X115" s="8" t="str">
        <f t="shared" si="239"/>
        <v/>
      </c>
      <c r="Y115" s="8" t="str">
        <f t="shared" si="239"/>
        <v/>
      </c>
      <c r="Z115" s="8" t="str">
        <f t="shared" si="239"/>
        <v/>
      </c>
      <c r="AA115" s="8" t="str">
        <f t="shared" si="239"/>
        <v/>
      </c>
      <c r="AB115" s="8" t="str">
        <f t="shared" si="239"/>
        <v>Felix Bull, Elliot Fry</v>
      </c>
      <c r="AC115" s="8" t="str">
        <f t="shared" si="239"/>
        <v>Dave Baldwin (1), Rob Clark, Andy Fernando, Alex Griffiths</v>
      </c>
      <c r="AD115" s="8" t="str">
        <f t="shared" si="239"/>
        <v>Justin Baranowski</v>
      </c>
      <c r="AE115" s="8" t="str">
        <f t="shared" si="239"/>
        <v/>
      </c>
      <c r="AF115" s="8" t="str">
        <f t="shared" si="239"/>
        <v>Elliot Fry</v>
      </c>
      <c r="AG115" s="8" t="str">
        <f t="shared" si="239"/>
        <v>Dave Baldwin (1), Alex Griffiths, Jussi Grut</v>
      </c>
      <c r="AH115" s="8" t="str">
        <f t="shared" si="239"/>
        <v>Justin Baranowski (1)</v>
      </c>
      <c r="AI115" s="8" t="e">
        <f t="shared" si="239"/>
        <v>#REF!</v>
      </c>
      <c r="AJ115" s="8" t="e">
        <f t="shared" si="239"/>
        <v>#REF!</v>
      </c>
      <c r="AK115" s="8" t="e">
        <f t="shared" si="239"/>
        <v>#REF!</v>
      </c>
      <c r="AL115" s="8" t="e">
        <f t="shared" si="239"/>
        <v>#REF!</v>
      </c>
      <c r="AM115" s="8" t="str">
        <f t="shared" si="239"/>
        <v/>
      </c>
      <c r="AN115" s="8" t="str">
        <f t="shared" si="239"/>
        <v/>
      </c>
      <c r="AO115" s="8" t="str">
        <f t="shared" si="239"/>
        <v/>
      </c>
      <c r="AP115" s="8" t="str">
        <f t="shared" si="239"/>
        <v/>
      </c>
      <c r="AQ115" s="8" t="str">
        <f t="shared" si="239"/>
        <v/>
      </c>
      <c r="AR115" s="8" t="str">
        <f t="shared" si="239"/>
        <v>Felix Bull, Elliot Fry</v>
      </c>
      <c r="AS115" s="8" t="str">
        <f t="shared" si="239"/>
        <v>Alex Griffiths (1)</v>
      </c>
      <c r="AT115" s="8" t="str">
        <f t="shared" si="239"/>
        <v>Andy Booth, Jussi Grut</v>
      </c>
      <c r="AU115" s="8" t="str">
        <f t="shared" si="239"/>
        <v/>
      </c>
      <c r="AV115" s="8" t="str">
        <f t="shared" si="239"/>
        <v>Dave Copple, Elliot Fry</v>
      </c>
      <c r="AW115" s="8" t="str">
        <f t="shared" si="239"/>
        <v>Dave Baldwin, Andy Fernando, Alex Griffiths</v>
      </c>
      <c r="AX115" s="8" t="str">
        <f t="shared" si="239"/>
        <v/>
      </c>
      <c r="AY115" s="8" t="str">
        <f t="shared" si="239"/>
        <v/>
      </c>
      <c r="AZ115" s="8" t="str">
        <f t="shared" si="239"/>
        <v>Felix Bull, Dave Copple, Elliot Fry</v>
      </c>
      <c r="BA115" s="8" t="str">
        <f t="shared" si="239"/>
        <v>Dave Baldwin, Andy Fernando</v>
      </c>
      <c r="BB115" s="8" t="str">
        <f t="shared" si="239"/>
        <v>Andy Booth, Alex Griffiths</v>
      </c>
      <c r="BC115" s="8" t="str">
        <f t="shared" si="239"/>
        <v/>
      </c>
      <c r="BD115" s="8" t="str">
        <f t="shared" si="239"/>
        <v/>
      </c>
      <c r="BE115" s="8" t="str">
        <f t="shared" si="239"/>
        <v/>
      </c>
      <c r="BF115" s="8" t="str">
        <f t="shared" si="239"/>
        <v/>
      </c>
      <c r="BG115" s="8" t="str">
        <f t="shared" si="239"/>
        <v/>
      </c>
      <c r="BH115" s="8" t="str">
        <f t="shared" si="239"/>
        <v/>
      </c>
      <c r="BI115" s="8" t="str">
        <f t="shared" si="239"/>
        <v/>
      </c>
      <c r="BJ115" s="8" t="str">
        <f t="shared" si="239"/>
        <v/>
      </c>
      <c r="BK115" s="8" t="str">
        <f t="shared" ref="BK115:CH115" si="240">IF(BK74="",BK114,IF(BK114="",BK74,BK114&amp;", "&amp;BK74))</f>
        <v/>
      </c>
      <c r="BL115" s="8" t="str">
        <f t="shared" si="240"/>
        <v/>
      </c>
      <c r="BM115" s="8" t="str">
        <f t="shared" si="240"/>
        <v/>
      </c>
      <c r="BN115" s="8" t="str">
        <f t="shared" si="240"/>
        <v/>
      </c>
      <c r="BO115" s="8" t="str">
        <f t="shared" si="240"/>
        <v/>
      </c>
      <c r="BP115" s="8" t="str">
        <f t="shared" si="240"/>
        <v>Felix Bull (1), Dave Copple, Elliot Fry</v>
      </c>
      <c r="BQ115" s="8" t="str">
        <f t="shared" si="240"/>
        <v>Andy Fernando, Alex Griffiths</v>
      </c>
      <c r="BR115" s="8" t="str">
        <f t="shared" si="240"/>
        <v/>
      </c>
      <c r="BS115" s="8" t="str">
        <f t="shared" si="240"/>
        <v/>
      </c>
      <c r="BT115" s="8" t="str">
        <f t="shared" si="240"/>
        <v>Felix Bull, Dave Copple, Elliot Fry</v>
      </c>
      <c r="BU115" s="8" t="str">
        <f t="shared" si="240"/>
        <v>Alex Griffiths</v>
      </c>
      <c r="BV115" s="8" t="str">
        <f t="shared" si="240"/>
        <v/>
      </c>
      <c r="BW115" s="8" t="str">
        <f t="shared" si="240"/>
        <v/>
      </c>
      <c r="BX115" s="8" t="str">
        <f t="shared" si="240"/>
        <v>Felix Bull, Elliot Fry</v>
      </c>
      <c r="BY115" s="8" t="str">
        <f t="shared" si="240"/>
        <v/>
      </c>
      <c r="BZ115" s="8" t="str">
        <f t="shared" si="240"/>
        <v/>
      </c>
      <c r="CA115" s="8" t="str">
        <f t="shared" si="240"/>
        <v/>
      </c>
      <c r="CB115" s="8" t="str">
        <f t="shared" si="240"/>
        <v>Felix Bull (1)</v>
      </c>
      <c r="CC115" s="8" t="str">
        <f t="shared" si="240"/>
        <v>Andy Fernando</v>
      </c>
      <c r="CD115" s="8" t="str">
        <f t="shared" si="240"/>
        <v/>
      </c>
      <c r="CE115" s="8" t="str">
        <f t="shared" si="240"/>
        <v/>
      </c>
      <c r="CF115" s="8" t="str">
        <f t="shared" si="240"/>
        <v>Andy Booth</v>
      </c>
      <c r="CG115" s="8" t="str">
        <f t="shared" si="240"/>
        <v>Andy Fernando</v>
      </c>
      <c r="CH115" s="8" t="str">
        <f t="shared" si="240"/>
        <v>Alex Griffiths</v>
      </c>
      <c r="CI115" s="8" t="str">
        <f t="shared" ref="CI115:CL115" si="241">IF(CI74="",CI114,IF(CI114="",CI74,CI114&amp;", "&amp;CI74))</f>
        <v/>
      </c>
      <c r="CJ115" s="8" t="str">
        <f t="shared" si="241"/>
        <v>Felix Bull, Dave Copple, Elliot Fry</v>
      </c>
      <c r="CK115" s="8" t="str">
        <f t="shared" si="241"/>
        <v>Andy Fernando</v>
      </c>
      <c r="CL115" s="8" t="str">
        <f t="shared" si="241"/>
        <v>Andy Booth</v>
      </c>
    </row>
    <row r="116" spans="5:90" x14ac:dyDescent="0.2">
      <c r="E116" s="8">
        <f t="shared" si="209"/>
        <v>15</v>
      </c>
      <c r="G116" s="8" t="str">
        <f t="shared" ref="G116:BJ116" si="242">IF(G75="",G115,IF(G115="",G75,G115&amp;", "&amp;G75))</f>
        <v/>
      </c>
      <c r="H116" s="8" t="str">
        <f t="shared" si="242"/>
        <v>Andy Booth, Felix Bull</v>
      </c>
      <c r="I116" s="8" t="str">
        <f t="shared" si="242"/>
        <v>Dave Baldwin (2), Andy Fernando, Alex Griffiths, Tom Hatton (5)</v>
      </c>
      <c r="J116" s="8" t="str">
        <f t="shared" si="242"/>
        <v>Justin Baranowski</v>
      </c>
      <c r="K116" s="8" t="str">
        <f t="shared" si="242"/>
        <v/>
      </c>
      <c r="L116" s="8" t="str">
        <f t="shared" si="242"/>
        <v>Felix Bull</v>
      </c>
      <c r="M116" s="8" t="str">
        <f t="shared" si="242"/>
        <v>Dave Baldwin (1), Ben Colville (1), Andy Fernando, Tom Hatton</v>
      </c>
      <c r="N116" s="8" t="str">
        <f t="shared" si="242"/>
        <v>Andy Booth</v>
      </c>
      <c r="O116" s="8" t="str">
        <f t="shared" si="242"/>
        <v/>
      </c>
      <c r="P116" s="8" t="str">
        <f t="shared" si="242"/>
        <v>Andy Booth, Felix Bull, Elliot Fry</v>
      </c>
      <c r="Q116" s="8" t="str">
        <f t="shared" si="242"/>
        <v>Dave Baldwin, Rob Clark, Andy Fernando, Alex Griffiths, Tom Hatton</v>
      </c>
      <c r="R116" s="8" t="str">
        <f t="shared" si="242"/>
        <v>Justin Baranowski</v>
      </c>
      <c r="S116" s="8" t="str">
        <f t="shared" si="242"/>
        <v/>
      </c>
      <c r="T116" s="8" t="str">
        <f t="shared" si="242"/>
        <v>Andy Booth, Felix Bull, Elliot Fry, Jussi Grut</v>
      </c>
      <c r="U116" s="8" t="str">
        <f t="shared" si="242"/>
        <v>Dave Baldwin (1), Rob Clark, Andy Fernando, Alex Griffiths, Tom Hatton</v>
      </c>
      <c r="V116" s="8" t="str">
        <f t="shared" si="242"/>
        <v>Justin Baranowski (2)</v>
      </c>
      <c r="W116" s="8" t="str">
        <f t="shared" si="242"/>
        <v/>
      </c>
      <c r="X116" s="8" t="str">
        <f t="shared" si="242"/>
        <v/>
      </c>
      <c r="Y116" s="8" t="str">
        <f t="shared" si="242"/>
        <v/>
      </c>
      <c r="Z116" s="8" t="str">
        <f t="shared" si="242"/>
        <v/>
      </c>
      <c r="AA116" s="8" t="str">
        <f t="shared" si="242"/>
        <v/>
      </c>
      <c r="AB116" s="8" t="str">
        <f t="shared" si="242"/>
        <v>Felix Bull, Elliot Fry</v>
      </c>
      <c r="AC116" s="8" t="str">
        <f t="shared" si="242"/>
        <v>Dave Baldwin (1), Rob Clark, Andy Fernando, Alex Griffiths</v>
      </c>
      <c r="AD116" s="8" t="str">
        <f t="shared" si="242"/>
        <v>Justin Baranowski, Tom Hatton (1)</v>
      </c>
      <c r="AE116" s="8" t="str">
        <f t="shared" si="242"/>
        <v/>
      </c>
      <c r="AF116" s="8" t="str">
        <f t="shared" si="242"/>
        <v>Elliot Fry</v>
      </c>
      <c r="AG116" s="8" t="str">
        <f t="shared" si="242"/>
        <v>Dave Baldwin (1), Alex Griffiths, Jussi Grut</v>
      </c>
      <c r="AH116" s="8" t="str">
        <f t="shared" si="242"/>
        <v>Justin Baranowski (1), Tom Hatton</v>
      </c>
      <c r="AI116" s="8" t="e">
        <f t="shared" si="242"/>
        <v>#REF!</v>
      </c>
      <c r="AJ116" s="8" t="e">
        <f t="shared" si="242"/>
        <v>#REF!</v>
      </c>
      <c r="AK116" s="8" t="e">
        <f t="shared" si="242"/>
        <v>#REF!</v>
      </c>
      <c r="AL116" s="8" t="e">
        <f t="shared" si="242"/>
        <v>#REF!</v>
      </c>
      <c r="AM116" s="8" t="str">
        <f t="shared" si="242"/>
        <v/>
      </c>
      <c r="AN116" s="8" t="str">
        <f t="shared" si="242"/>
        <v/>
      </c>
      <c r="AO116" s="8" t="str">
        <f t="shared" si="242"/>
        <v/>
      </c>
      <c r="AP116" s="8" t="str">
        <f t="shared" si="242"/>
        <v/>
      </c>
      <c r="AQ116" s="8" t="str">
        <f t="shared" si="242"/>
        <v/>
      </c>
      <c r="AR116" s="8" t="str">
        <f t="shared" si="242"/>
        <v>Felix Bull, Elliot Fry</v>
      </c>
      <c r="AS116" s="8" t="str">
        <f t="shared" si="242"/>
        <v>Alex Griffiths (1)</v>
      </c>
      <c r="AT116" s="8" t="str">
        <f t="shared" si="242"/>
        <v>Andy Booth, Jussi Grut</v>
      </c>
      <c r="AU116" s="8" t="str">
        <f t="shared" si="242"/>
        <v/>
      </c>
      <c r="AV116" s="8" t="str">
        <f t="shared" si="242"/>
        <v>Dave Copple, Elliot Fry</v>
      </c>
      <c r="AW116" s="8" t="str">
        <f t="shared" si="242"/>
        <v>Dave Baldwin, Andy Fernando, Alex Griffiths</v>
      </c>
      <c r="AX116" s="8" t="str">
        <f t="shared" si="242"/>
        <v>Tom Hatton (1,4A)</v>
      </c>
      <c r="AY116" s="8" t="str">
        <f t="shared" si="242"/>
        <v/>
      </c>
      <c r="AZ116" s="8" t="str">
        <f t="shared" si="242"/>
        <v>Felix Bull, Dave Copple, Elliot Fry</v>
      </c>
      <c r="BA116" s="8" t="str">
        <f t="shared" si="242"/>
        <v>Dave Baldwin, Andy Fernando</v>
      </c>
      <c r="BB116" s="8" t="str">
        <f t="shared" si="242"/>
        <v>Andy Booth, Alex Griffiths</v>
      </c>
      <c r="BC116" s="8" t="str">
        <f t="shared" si="242"/>
        <v/>
      </c>
      <c r="BD116" s="8" t="str">
        <f t="shared" si="242"/>
        <v/>
      </c>
      <c r="BE116" s="8" t="str">
        <f t="shared" si="242"/>
        <v/>
      </c>
      <c r="BF116" s="8" t="str">
        <f t="shared" si="242"/>
        <v/>
      </c>
      <c r="BG116" s="8" t="str">
        <f t="shared" si="242"/>
        <v/>
      </c>
      <c r="BH116" s="8" t="str">
        <f t="shared" si="242"/>
        <v/>
      </c>
      <c r="BI116" s="8" t="str">
        <f t="shared" si="242"/>
        <v/>
      </c>
      <c r="BJ116" s="8" t="str">
        <f t="shared" si="242"/>
        <v/>
      </c>
      <c r="BK116" s="8" t="str">
        <f t="shared" ref="BK116:CH116" si="243">IF(BK75="",BK115,IF(BK115="",BK75,BK115&amp;", "&amp;BK75))</f>
        <v/>
      </c>
      <c r="BL116" s="8" t="str">
        <f t="shared" si="243"/>
        <v/>
      </c>
      <c r="BM116" s="8" t="str">
        <f t="shared" si="243"/>
        <v/>
      </c>
      <c r="BN116" s="8" t="str">
        <f t="shared" si="243"/>
        <v/>
      </c>
      <c r="BO116" s="8" t="str">
        <f t="shared" si="243"/>
        <v/>
      </c>
      <c r="BP116" s="8" t="str">
        <f t="shared" si="243"/>
        <v>Felix Bull (1), Dave Copple, Elliot Fry</v>
      </c>
      <c r="BQ116" s="8" t="str">
        <f t="shared" si="243"/>
        <v>Andy Fernando, Alex Griffiths</v>
      </c>
      <c r="BR116" s="8" t="str">
        <f t="shared" si="243"/>
        <v>Tom Hatton</v>
      </c>
      <c r="BS116" s="8" t="str">
        <f t="shared" si="243"/>
        <v/>
      </c>
      <c r="BT116" s="8" t="str">
        <f t="shared" si="243"/>
        <v>Felix Bull, Dave Copple, Elliot Fry</v>
      </c>
      <c r="BU116" s="8" t="str">
        <f t="shared" si="243"/>
        <v>Alex Griffiths</v>
      </c>
      <c r="BV116" s="8" t="str">
        <f t="shared" si="243"/>
        <v>Tom Hatton (1)</v>
      </c>
      <c r="BW116" s="8" t="str">
        <f t="shared" si="243"/>
        <v/>
      </c>
      <c r="BX116" s="8" t="str">
        <f t="shared" si="243"/>
        <v>Felix Bull, Elliot Fry</v>
      </c>
      <c r="BY116" s="8" t="str">
        <f t="shared" si="243"/>
        <v/>
      </c>
      <c r="BZ116" s="8" t="str">
        <f t="shared" si="243"/>
        <v/>
      </c>
      <c r="CA116" s="8" t="str">
        <f t="shared" si="243"/>
        <v/>
      </c>
      <c r="CB116" s="8" t="str">
        <f t="shared" si="243"/>
        <v>Felix Bull (1)</v>
      </c>
      <c r="CC116" s="8" t="str">
        <f t="shared" si="243"/>
        <v>Andy Fernando</v>
      </c>
      <c r="CD116" s="8" t="str">
        <f t="shared" si="243"/>
        <v>Tom Hatton</v>
      </c>
      <c r="CE116" s="8" t="str">
        <f t="shared" si="243"/>
        <v/>
      </c>
      <c r="CF116" s="8" t="str">
        <f t="shared" si="243"/>
        <v>Andy Booth</v>
      </c>
      <c r="CG116" s="8" t="str">
        <f t="shared" si="243"/>
        <v>Andy Fernando</v>
      </c>
      <c r="CH116" s="8" t="str">
        <f t="shared" si="243"/>
        <v>Alex Griffiths, Tom Hatton</v>
      </c>
      <c r="CI116" s="8" t="str">
        <f t="shared" ref="CI116:CL116" si="244">IF(CI75="",CI115,IF(CI115="",CI75,CI115&amp;", "&amp;CI75))</f>
        <v/>
      </c>
      <c r="CJ116" s="8" t="str">
        <f t="shared" si="244"/>
        <v>Felix Bull, Dave Copple, Elliot Fry</v>
      </c>
      <c r="CK116" s="8" t="str">
        <f t="shared" si="244"/>
        <v>Andy Fernando</v>
      </c>
      <c r="CL116" s="8" t="str">
        <f t="shared" si="244"/>
        <v>Andy Booth</v>
      </c>
    </row>
    <row r="117" spans="5:90" x14ac:dyDescent="0.2">
      <c r="E117" s="8">
        <f t="shared" si="209"/>
        <v>16</v>
      </c>
      <c r="G117" s="8" t="str">
        <f t="shared" ref="G117:BJ117" si="245">IF(G76="",G116,IF(G116="",G76,G116&amp;", "&amp;G76))</f>
        <v/>
      </c>
      <c r="H117" s="8" t="str">
        <f t="shared" si="245"/>
        <v>Andy Booth, Felix Bull</v>
      </c>
      <c r="I117" s="8" t="str">
        <f t="shared" si="245"/>
        <v>Dave Baldwin (2), Andy Fernando, Alex Griffiths, Tom Hatton (5)</v>
      </c>
      <c r="J117" s="8" t="str">
        <f t="shared" si="245"/>
        <v>Justin Baranowski</v>
      </c>
      <c r="K117" s="8" t="str">
        <f t="shared" si="245"/>
        <v/>
      </c>
      <c r="L117" s="8" t="str">
        <f t="shared" si="245"/>
        <v>Felix Bull</v>
      </c>
      <c r="M117" s="8" t="str">
        <f t="shared" si="245"/>
        <v>Dave Baldwin (1), Ben Colville (1), Andy Fernando, Tom Hatton</v>
      </c>
      <c r="N117" s="8" t="str">
        <f t="shared" si="245"/>
        <v>Andy Booth</v>
      </c>
      <c r="O117" s="8" t="str">
        <f t="shared" si="245"/>
        <v/>
      </c>
      <c r="P117" s="8" t="str">
        <f t="shared" si="245"/>
        <v>Andy Booth, Felix Bull, Elliot Fry</v>
      </c>
      <c r="Q117" s="8" t="str">
        <f t="shared" si="245"/>
        <v>Dave Baldwin, Rob Clark, Andy Fernando, Alex Griffiths, Tom Hatton</v>
      </c>
      <c r="R117" s="8" t="str">
        <f t="shared" si="245"/>
        <v>Justin Baranowski</v>
      </c>
      <c r="S117" s="8" t="str">
        <f t="shared" si="245"/>
        <v/>
      </c>
      <c r="T117" s="8" t="str">
        <f t="shared" si="245"/>
        <v>Andy Booth, Felix Bull, Elliot Fry, Jussi Grut</v>
      </c>
      <c r="U117" s="8" t="str">
        <f t="shared" si="245"/>
        <v>Dave Baldwin (1), Rob Clark, Andy Fernando, Alex Griffiths, Tom Hatton</v>
      </c>
      <c r="V117" s="8" t="str">
        <f t="shared" si="245"/>
        <v>Justin Baranowski (2)</v>
      </c>
      <c r="W117" s="8" t="str">
        <f t="shared" si="245"/>
        <v/>
      </c>
      <c r="X117" s="8" t="str">
        <f t="shared" si="245"/>
        <v/>
      </c>
      <c r="Y117" s="8" t="str">
        <f t="shared" si="245"/>
        <v/>
      </c>
      <c r="Z117" s="8" t="str">
        <f t="shared" si="245"/>
        <v/>
      </c>
      <c r="AA117" s="8" t="str">
        <f t="shared" si="245"/>
        <v/>
      </c>
      <c r="AB117" s="8" t="str">
        <f t="shared" si="245"/>
        <v>Felix Bull, Elliot Fry</v>
      </c>
      <c r="AC117" s="8" t="str">
        <f t="shared" si="245"/>
        <v>Dave Baldwin (1), Rob Clark, Andy Fernando, Alex Griffiths</v>
      </c>
      <c r="AD117" s="8" t="str">
        <f t="shared" si="245"/>
        <v>Justin Baranowski, Tom Hatton (1)</v>
      </c>
      <c r="AE117" s="8" t="str">
        <f t="shared" si="245"/>
        <v/>
      </c>
      <c r="AF117" s="8" t="str">
        <f t="shared" si="245"/>
        <v>Elliot Fry</v>
      </c>
      <c r="AG117" s="8" t="str">
        <f t="shared" si="245"/>
        <v>Dave Baldwin (1), Alex Griffiths, Jussi Grut</v>
      </c>
      <c r="AH117" s="8" t="str">
        <f t="shared" si="245"/>
        <v>Justin Baranowski (1), Tom Hatton</v>
      </c>
      <c r="AI117" s="8" t="e">
        <f t="shared" si="245"/>
        <v>#REF!</v>
      </c>
      <c r="AJ117" s="8" t="e">
        <f t="shared" si="245"/>
        <v>#REF!</v>
      </c>
      <c r="AK117" s="8" t="e">
        <f t="shared" si="245"/>
        <v>#REF!</v>
      </c>
      <c r="AL117" s="8" t="e">
        <f t="shared" si="245"/>
        <v>#REF!</v>
      </c>
      <c r="AM117" s="8" t="str">
        <f t="shared" si="245"/>
        <v/>
      </c>
      <c r="AN117" s="8" t="str">
        <f t="shared" si="245"/>
        <v/>
      </c>
      <c r="AO117" s="8" t="str">
        <f t="shared" si="245"/>
        <v/>
      </c>
      <c r="AP117" s="8" t="str">
        <f t="shared" si="245"/>
        <v/>
      </c>
      <c r="AQ117" s="8" t="str">
        <f t="shared" si="245"/>
        <v/>
      </c>
      <c r="AR117" s="8" t="str">
        <f t="shared" si="245"/>
        <v>Felix Bull, Elliot Fry</v>
      </c>
      <c r="AS117" s="8" t="str">
        <f t="shared" si="245"/>
        <v>Alex Griffiths (1)</v>
      </c>
      <c r="AT117" s="8" t="str">
        <f t="shared" si="245"/>
        <v>Andy Booth, Jussi Grut</v>
      </c>
      <c r="AU117" s="8" t="str">
        <f t="shared" si="245"/>
        <v/>
      </c>
      <c r="AV117" s="8" t="str">
        <f t="shared" si="245"/>
        <v>Dave Copple, Elliot Fry</v>
      </c>
      <c r="AW117" s="8" t="str">
        <f t="shared" si="245"/>
        <v>Dave Baldwin, Andy Fernando, Alex Griffiths</v>
      </c>
      <c r="AX117" s="8" t="str">
        <f t="shared" si="245"/>
        <v>Tom Hatton (1,4A)</v>
      </c>
      <c r="AY117" s="8" t="str">
        <f t="shared" si="245"/>
        <v/>
      </c>
      <c r="AZ117" s="8" t="str">
        <f t="shared" si="245"/>
        <v>Felix Bull, Dave Copple, Elliot Fry</v>
      </c>
      <c r="BA117" s="8" t="str">
        <f t="shared" si="245"/>
        <v>Dave Baldwin, Andy Fernando</v>
      </c>
      <c r="BB117" s="8" t="str">
        <f t="shared" si="245"/>
        <v>Andy Booth, Alex Griffiths</v>
      </c>
      <c r="BC117" s="8" t="str">
        <f t="shared" si="245"/>
        <v/>
      </c>
      <c r="BD117" s="8" t="str">
        <f t="shared" si="245"/>
        <v/>
      </c>
      <c r="BE117" s="8" t="str">
        <f t="shared" si="245"/>
        <v/>
      </c>
      <c r="BF117" s="8" t="str">
        <f t="shared" si="245"/>
        <v/>
      </c>
      <c r="BG117" s="8" t="str">
        <f t="shared" si="245"/>
        <v/>
      </c>
      <c r="BH117" s="8" t="str">
        <f t="shared" si="245"/>
        <v/>
      </c>
      <c r="BI117" s="8" t="str">
        <f t="shared" si="245"/>
        <v/>
      </c>
      <c r="BJ117" s="8" t="str">
        <f t="shared" si="245"/>
        <v/>
      </c>
      <c r="BK117" s="8" t="str">
        <f t="shared" ref="BK117:CH117" si="246">IF(BK76="",BK116,IF(BK116="",BK76,BK116&amp;", "&amp;BK76))</f>
        <v/>
      </c>
      <c r="BL117" s="8" t="str">
        <f t="shared" si="246"/>
        <v/>
      </c>
      <c r="BM117" s="8" t="str">
        <f t="shared" si="246"/>
        <v/>
      </c>
      <c r="BN117" s="8" t="str">
        <f t="shared" si="246"/>
        <v/>
      </c>
      <c r="BO117" s="8" t="str">
        <f t="shared" si="246"/>
        <v/>
      </c>
      <c r="BP117" s="8" t="str">
        <f t="shared" si="246"/>
        <v>Felix Bull (1), Dave Copple, Elliot Fry</v>
      </c>
      <c r="BQ117" s="8" t="str">
        <f t="shared" si="246"/>
        <v>Andy Fernando, Alex Griffiths</v>
      </c>
      <c r="BR117" s="8" t="str">
        <f t="shared" si="246"/>
        <v>Tom Hatton</v>
      </c>
      <c r="BS117" s="8" t="str">
        <f t="shared" si="246"/>
        <v/>
      </c>
      <c r="BT117" s="8" t="str">
        <f t="shared" si="246"/>
        <v>Felix Bull, Dave Copple, Elliot Fry</v>
      </c>
      <c r="BU117" s="8" t="str">
        <f t="shared" si="246"/>
        <v>Alex Griffiths</v>
      </c>
      <c r="BV117" s="8" t="str">
        <f t="shared" si="246"/>
        <v>Tom Hatton (1)</v>
      </c>
      <c r="BW117" s="8" t="str">
        <f t="shared" si="246"/>
        <v/>
      </c>
      <c r="BX117" s="8" t="str">
        <f t="shared" si="246"/>
        <v>Felix Bull, Elliot Fry</v>
      </c>
      <c r="BY117" s="8" t="str">
        <f t="shared" si="246"/>
        <v/>
      </c>
      <c r="BZ117" s="8" t="str">
        <f t="shared" si="246"/>
        <v/>
      </c>
      <c r="CA117" s="8" t="str">
        <f t="shared" si="246"/>
        <v/>
      </c>
      <c r="CB117" s="8" t="str">
        <f t="shared" si="246"/>
        <v>Felix Bull (1)</v>
      </c>
      <c r="CC117" s="8" t="str">
        <f t="shared" si="246"/>
        <v>Andy Fernando</v>
      </c>
      <c r="CD117" s="8" t="str">
        <f t="shared" si="246"/>
        <v>Tom Hatton</v>
      </c>
      <c r="CE117" s="8" t="str">
        <f t="shared" si="246"/>
        <v/>
      </c>
      <c r="CF117" s="8" t="str">
        <f t="shared" si="246"/>
        <v>Andy Booth</v>
      </c>
      <c r="CG117" s="8" t="str">
        <f t="shared" si="246"/>
        <v>Andy Fernando</v>
      </c>
      <c r="CH117" s="8" t="str">
        <f t="shared" si="246"/>
        <v>Alex Griffiths, Tom Hatton</v>
      </c>
      <c r="CI117" s="8" t="str">
        <f t="shared" ref="CI117:CL117" si="247">IF(CI76="",CI116,IF(CI116="",CI76,CI116&amp;", "&amp;CI76))</f>
        <v/>
      </c>
      <c r="CJ117" s="8" t="str">
        <f t="shared" si="247"/>
        <v>Felix Bull, Dave Copple, Elliot Fry</v>
      </c>
      <c r="CK117" s="8" t="str">
        <f t="shared" si="247"/>
        <v>Andy Fernando</v>
      </c>
      <c r="CL117" s="8" t="str">
        <f t="shared" si="247"/>
        <v>Andy Booth</v>
      </c>
    </row>
    <row r="118" spans="5:90" x14ac:dyDescent="0.2">
      <c r="E118" s="8">
        <f t="shared" si="209"/>
        <v>17</v>
      </c>
      <c r="G118" s="8" t="str">
        <f t="shared" ref="G118:BJ118" si="248">IF(G77="",G117,IF(G117="",G77,G117&amp;", "&amp;G77))</f>
        <v/>
      </c>
      <c r="H118" s="8" t="str">
        <f t="shared" si="248"/>
        <v>Andy Booth, Felix Bull</v>
      </c>
      <c r="I118" s="8" t="str">
        <f t="shared" si="248"/>
        <v>Dave Baldwin (2), Andy Fernando, Alex Griffiths, Tom Hatton (5)</v>
      </c>
      <c r="J118" s="8" t="str">
        <f t="shared" si="248"/>
        <v>Justin Baranowski</v>
      </c>
      <c r="K118" s="8" t="str">
        <f t="shared" si="248"/>
        <v/>
      </c>
      <c r="L118" s="8" t="str">
        <f t="shared" si="248"/>
        <v>Felix Bull</v>
      </c>
      <c r="M118" s="8" t="str">
        <f t="shared" si="248"/>
        <v>Dave Baldwin (1), Ben Colville (1), Andy Fernando, Tom Hatton</v>
      </c>
      <c r="N118" s="8" t="str">
        <f t="shared" si="248"/>
        <v>Andy Booth</v>
      </c>
      <c r="O118" s="8" t="str">
        <f t="shared" si="248"/>
        <v/>
      </c>
      <c r="P118" s="8" t="str">
        <f t="shared" si="248"/>
        <v>Andy Booth, Felix Bull, Elliot Fry</v>
      </c>
      <c r="Q118" s="8" t="str">
        <f t="shared" si="248"/>
        <v>Dave Baldwin, Rob Clark, Andy Fernando, Alex Griffiths, Tom Hatton</v>
      </c>
      <c r="R118" s="8" t="str">
        <f t="shared" si="248"/>
        <v>Justin Baranowski</v>
      </c>
      <c r="S118" s="8" t="str">
        <f t="shared" si="248"/>
        <v/>
      </c>
      <c r="T118" s="8" t="str">
        <f t="shared" si="248"/>
        <v>Andy Booth, Felix Bull, Elliot Fry, Jussi Grut</v>
      </c>
      <c r="U118" s="8" t="str">
        <f t="shared" si="248"/>
        <v>Dave Baldwin (1), Rob Clark, Andy Fernando, Alex Griffiths, Tom Hatton</v>
      </c>
      <c r="V118" s="8" t="str">
        <f t="shared" si="248"/>
        <v>Justin Baranowski (2)</v>
      </c>
      <c r="W118" s="8" t="str">
        <f t="shared" si="248"/>
        <v/>
      </c>
      <c r="X118" s="8" t="str">
        <f t="shared" si="248"/>
        <v/>
      </c>
      <c r="Y118" s="8" t="str">
        <f t="shared" si="248"/>
        <v/>
      </c>
      <c r="Z118" s="8" t="str">
        <f t="shared" si="248"/>
        <v/>
      </c>
      <c r="AA118" s="8" t="str">
        <f t="shared" si="248"/>
        <v/>
      </c>
      <c r="AB118" s="8" t="str">
        <f t="shared" si="248"/>
        <v>Felix Bull, Elliot Fry</v>
      </c>
      <c r="AC118" s="8" t="str">
        <f t="shared" si="248"/>
        <v>Dave Baldwin (1), Rob Clark, Andy Fernando, Alex Griffiths</v>
      </c>
      <c r="AD118" s="8" t="str">
        <f t="shared" si="248"/>
        <v>Justin Baranowski, Tom Hatton (1)</v>
      </c>
      <c r="AE118" s="8" t="str">
        <f t="shared" si="248"/>
        <v/>
      </c>
      <c r="AF118" s="8" t="str">
        <f t="shared" si="248"/>
        <v>Elliot Fry</v>
      </c>
      <c r="AG118" s="8" t="str">
        <f t="shared" si="248"/>
        <v>Dave Baldwin (1), Alex Griffiths, Jussi Grut</v>
      </c>
      <c r="AH118" s="8" t="str">
        <f t="shared" si="248"/>
        <v>Justin Baranowski (1), Tom Hatton</v>
      </c>
      <c r="AI118" s="8" t="e">
        <f t="shared" si="248"/>
        <v>#REF!</v>
      </c>
      <c r="AJ118" s="8" t="e">
        <f t="shared" si="248"/>
        <v>#REF!</v>
      </c>
      <c r="AK118" s="8" t="e">
        <f t="shared" si="248"/>
        <v>#REF!</v>
      </c>
      <c r="AL118" s="8" t="e">
        <f t="shared" si="248"/>
        <v>#REF!</v>
      </c>
      <c r="AM118" s="8" t="str">
        <f t="shared" si="248"/>
        <v/>
      </c>
      <c r="AN118" s="8" t="str">
        <f t="shared" si="248"/>
        <v/>
      </c>
      <c r="AO118" s="8" t="str">
        <f t="shared" si="248"/>
        <v/>
      </c>
      <c r="AP118" s="8" t="str">
        <f t="shared" si="248"/>
        <v/>
      </c>
      <c r="AQ118" s="8" t="str">
        <f t="shared" si="248"/>
        <v/>
      </c>
      <c r="AR118" s="8" t="str">
        <f t="shared" si="248"/>
        <v>Felix Bull, Elliot Fry</v>
      </c>
      <c r="AS118" s="8" t="str">
        <f t="shared" si="248"/>
        <v>Alex Griffiths (1)</v>
      </c>
      <c r="AT118" s="8" t="str">
        <f t="shared" si="248"/>
        <v>Andy Booth, Jussi Grut</v>
      </c>
      <c r="AU118" s="8" t="str">
        <f t="shared" si="248"/>
        <v/>
      </c>
      <c r="AV118" s="8" t="str">
        <f t="shared" si="248"/>
        <v>Dave Copple, Elliot Fry</v>
      </c>
      <c r="AW118" s="8" t="str">
        <f t="shared" si="248"/>
        <v>Dave Baldwin, Andy Fernando, Alex Griffiths</v>
      </c>
      <c r="AX118" s="8" t="str">
        <f t="shared" si="248"/>
        <v>Tom Hatton (1,4A)</v>
      </c>
      <c r="AY118" s="8" t="str">
        <f t="shared" si="248"/>
        <v/>
      </c>
      <c r="AZ118" s="8" t="str">
        <f t="shared" si="248"/>
        <v>Felix Bull, Dave Copple, Elliot Fry</v>
      </c>
      <c r="BA118" s="8" t="str">
        <f t="shared" si="248"/>
        <v>Dave Baldwin, Andy Fernando</v>
      </c>
      <c r="BB118" s="8" t="str">
        <f t="shared" si="248"/>
        <v>Andy Booth, Alex Griffiths</v>
      </c>
      <c r="BC118" s="8" t="str">
        <f t="shared" si="248"/>
        <v/>
      </c>
      <c r="BD118" s="8" t="str">
        <f t="shared" si="248"/>
        <v/>
      </c>
      <c r="BE118" s="8" t="str">
        <f t="shared" si="248"/>
        <v/>
      </c>
      <c r="BF118" s="8" t="str">
        <f t="shared" si="248"/>
        <v/>
      </c>
      <c r="BG118" s="8" t="str">
        <f t="shared" si="248"/>
        <v/>
      </c>
      <c r="BH118" s="8" t="str">
        <f t="shared" si="248"/>
        <v/>
      </c>
      <c r="BI118" s="8" t="str">
        <f t="shared" si="248"/>
        <v/>
      </c>
      <c r="BJ118" s="8" t="str">
        <f t="shared" si="248"/>
        <v/>
      </c>
      <c r="BK118" s="8" t="str">
        <f t="shared" ref="BK118:CH118" si="249">IF(BK77="",BK117,IF(BK117="",BK77,BK117&amp;", "&amp;BK77))</f>
        <v/>
      </c>
      <c r="BL118" s="8" t="str">
        <f t="shared" si="249"/>
        <v/>
      </c>
      <c r="BM118" s="8" t="str">
        <f t="shared" si="249"/>
        <v/>
      </c>
      <c r="BN118" s="8" t="str">
        <f t="shared" si="249"/>
        <v/>
      </c>
      <c r="BO118" s="8" t="str">
        <f t="shared" si="249"/>
        <v/>
      </c>
      <c r="BP118" s="8" t="str">
        <f t="shared" si="249"/>
        <v>Felix Bull (1), Dave Copple, Elliot Fry</v>
      </c>
      <c r="BQ118" s="8" t="str">
        <f t="shared" si="249"/>
        <v>Andy Fernando, Alex Griffiths</v>
      </c>
      <c r="BR118" s="8" t="str">
        <f t="shared" si="249"/>
        <v>Tom Hatton</v>
      </c>
      <c r="BS118" s="8" t="str">
        <f t="shared" si="249"/>
        <v/>
      </c>
      <c r="BT118" s="8" t="str">
        <f t="shared" si="249"/>
        <v>Felix Bull, Dave Copple, Elliot Fry</v>
      </c>
      <c r="BU118" s="8" t="str">
        <f t="shared" si="249"/>
        <v>Alex Griffiths</v>
      </c>
      <c r="BV118" s="8" t="str">
        <f t="shared" si="249"/>
        <v>Tom Hatton (1)</v>
      </c>
      <c r="BW118" s="8" t="str">
        <f t="shared" si="249"/>
        <v/>
      </c>
      <c r="BX118" s="8" t="str">
        <f t="shared" si="249"/>
        <v>Felix Bull, Elliot Fry</v>
      </c>
      <c r="BY118" s="8" t="str">
        <f t="shared" si="249"/>
        <v/>
      </c>
      <c r="BZ118" s="8" t="str">
        <f t="shared" si="249"/>
        <v/>
      </c>
      <c r="CA118" s="8" t="str">
        <f t="shared" si="249"/>
        <v/>
      </c>
      <c r="CB118" s="8" t="str">
        <f t="shared" si="249"/>
        <v>Felix Bull (1)</v>
      </c>
      <c r="CC118" s="8" t="str">
        <f t="shared" si="249"/>
        <v>Andy Fernando</v>
      </c>
      <c r="CD118" s="8" t="str">
        <f t="shared" si="249"/>
        <v>Tom Hatton</v>
      </c>
      <c r="CE118" s="8" t="str">
        <f t="shared" si="249"/>
        <v/>
      </c>
      <c r="CF118" s="8" t="str">
        <f t="shared" si="249"/>
        <v>Andy Booth</v>
      </c>
      <c r="CG118" s="8" t="str">
        <f t="shared" si="249"/>
        <v>Andy Fernando</v>
      </c>
      <c r="CH118" s="8" t="str">
        <f t="shared" si="249"/>
        <v>Alex Griffiths, Tom Hatton</v>
      </c>
      <c r="CI118" s="8" t="str">
        <f t="shared" ref="CI118:CL118" si="250">IF(CI77="",CI117,IF(CI117="",CI77,CI117&amp;", "&amp;CI77))</f>
        <v/>
      </c>
      <c r="CJ118" s="8" t="str">
        <f t="shared" si="250"/>
        <v>Felix Bull, Dave Copple, Elliot Fry</v>
      </c>
      <c r="CK118" s="8" t="str">
        <f t="shared" si="250"/>
        <v>Andy Fernando</v>
      </c>
      <c r="CL118" s="8" t="str">
        <f t="shared" si="250"/>
        <v>Andy Booth</v>
      </c>
    </row>
    <row r="119" spans="5:90" x14ac:dyDescent="0.2">
      <c r="E119" s="8">
        <f t="shared" si="209"/>
        <v>18</v>
      </c>
      <c r="G119" s="8" t="str">
        <f t="shared" ref="G119:BJ119" si="251">IF(G78="",G118,IF(G118="",G78,G118&amp;", "&amp;G78))</f>
        <v/>
      </c>
      <c r="H119" s="8" t="str">
        <f t="shared" si="251"/>
        <v>Andy Booth, Felix Bull</v>
      </c>
      <c r="I119" s="8" t="str">
        <f t="shared" si="251"/>
        <v>Dave Baldwin (2), Andy Fernando, Alex Griffiths, Tom Hatton (5)</v>
      </c>
      <c r="J119" s="8" t="str">
        <f t="shared" si="251"/>
        <v>Justin Baranowski</v>
      </c>
      <c r="K119" s="8" t="str">
        <f t="shared" si="251"/>
        <v/>
      </c>
      <c r="L119" s="8" t="str">
        <f t="shared" si="251"/>
        <v>Felix Bull</v>
      </c>
      <c r="M119" s="8" t="str">
        <f t="shared" si="251"/>
        <v>Dave Baldwin (1), Ben Colville (1), Andy Fernando, Tom Hatton</v>
      </c>
      <c r="N119" s="8" t="str">
        <f t="shared" si="251"/>
        <v>Andy Booth</v>
      </c>
      <c r="O119" s="8" t="str">
        <f t="shared" si="251"/>
        <v/>
      </c>
      <c r="P119" s="8" t="str">
        <f t="shared" si="251"/>
        <v>Andy Booth, Felix Bull, Elliot Fry</v>
      </c>
      <c r="Q119" s="8" t="str">
        <f t="shared" si="251"/>
        <v>Dave Baldwin, Rob Clark, Andy Fernando, Alex Griffiths, Tom Hatton</v>
      </c>
      <c r="R119" s="8" t="str">
        <f t="shared" si="251"/>
        <v>Justin Baranowski</v>
      </c>
      <c r="S119" s="8" t="str">
        <f t="shared" si="251"/>
        <v/>
      </c>
      <c r="T119" s="8" t="str">
        <f t="shared" si="251"/>
        <v>Andy Booth, Felix Bull, Elliot Fry, Jussi Grut</v>
      </c>
      <c r="U119" s="8" t="str">
        <f t="shared" si="251"/>
        <v>Dave Baldwin (1), Rob Clark, Andy Fernando, Alex Griffiths, Tom Hatton</v>
      </c>
      <c r="V119" s="8" t="str">
        <f t="shared" si="251"/>
        <v>Justin Baranowski (2)</v>
      </c>
      <c r="W119" s="8" t="str">
        <f t="shared" si="251"/>
        <v/>
      </c>
      <c r="X119" s="8" t="str">
        <f t="shared" si="251"/>
        <v/>
      </c>
      <c r="Y119" s="8" t="str">
        <f t="shared" si="251"/>
        <v/>
      </c>
      <c r="Z119" s="8" t="str">
        <f t="shared" si="251"/>
        <v/>
      </c>
      <c r="AA119" s="8" t="str">
        <f t="shared" si="251"/>
        <v/>
      </c>
      <c r="AB119" s="8" t="str">
        <f t="shared" si="251"/>
        <v>Felix Bull, Elliot Fry</v>
      </c>
      <c r="AC119" s="8" t="str">
        <f t="shared" si="251"/>
        <v>Dave Baldwin (1), Rob Clark, Andy Fernando, Alex Griffiths</v>
      </c>
      <c r="AD119" s="8" t="str">
        <f t="shared" si="251"/>
        <v>Justin Baranowski, Tom Hatton (1)</v>
      </c>
      <c r="AE119" s="8" t="str">
        <f t="shared" si="251"/>
        <v/>
      </c>
      <c r="AF119" s="8" t="str">
        <f t="shared" si="251"/>
        <v>Elliot Fry</v>
      </c>
      <c r="AG119" s="8" t="str">
        <f t="shared" si="251"/>
        <v>Dave Baldwin (1), Alex Griffiths, Jussi Grut</v>
      </c>
      <c r="AH119" s="8" t="str">
        <f t="shared" si="251"/>
        <v>Justin Baranowski (1), Tom Hatton</v>
      </c>
      <c r="AI119" s="8" t="e">
        <f t="shared" si="251"/>
        <v>#REF!</v>
      </c>
      <c r="AJ119" s="8" t="e">
        <f t="shared" si="251"/>
        <v>#REF!</v>
      </c>
      <c r="AK119" s="8" t="e">
        <f t="shared" si="251"/>
        <v>#REF!</v>
      </c>
      <c r="AL119" s="8" t="e">
        <f t="shared" si="251"/>
        <v>#REF!</v>
      </c>
      <c r="AM119" s="8" t="str">
        <f t="shared" si="251"/>
        <v/>
      </c>
      <c r="AN119" s="8" t="str">
        <f t="shared" si="251"/>
        <v/>
      </c>
      <c r="AO119" s="8" t="str">
        <f t="shared" si="251"/>
        <v/>
      </c>
      <c r="AP119" s="8" t="str">
        <f t="shared" si="251"/>
        <v/>
      </c>
      <c r="AQ119" s="8" t="str">
        <f t="shared" si="251"/>
        <v/>
      </c>
      <c r="AR119" s="8" t="str">
        <f t="shared" si="251"/>
        <v>Felix Bull, Elliot Fry</v>
      </c>
      <c r="AS119" s="8" t="str">
        <f t="shared" si="251"/>
        <v>Alex Griffiths (1)</v>
      </c>
      <c r="AT119" s="8" t="str">
        <f t="shared" si="251"/>
        <v>Andy Booth, Jussi Grut</v>
      </c>
      <c r="AU119" s="8" t="str">
        <f t="shared" si="251"/>
        <v/>
      </c>
      <c r="AV119" s="8" t="str">
        <f t="shared" si="251"/>
        <v>Dave Copple, Elliot Fry</v>
      </c>
      <c r="AW119" s="8" t="str">
        <f t="shared" si="251"/>
        <v>Dave Baldwin, Andy Fernando, Alex Griffiths</v>
      </c>
      <c r="AX119" s="8" t="str">
        <f t="shared" si="251"/>
        <v>Tom Hatton (1,4A)</v>
      </c>
      <c r="AY119" s="8" t="str">
        <f t="shared" si="251"/>
        <v/>
      </c>
      <c r="AZ119" s="8" t="str">
        <f t="shared" si="251"/>
        <v>Felix Bull, Dave Copple, Elliot Fry</v>
      </c>
      <c r="BA119" s="8" t="str">
        <f t="shared" si="251"/>
        <v>Dave Baldwin, Andy Fernando</v>
      </c>
      <c r="BB119" s="8" t="str">
        <f t="shared" si="251"/>
        <v>Andy Booth, Alex Griffiths</v>
      </c>
      <c r="BC119" s="8" t="str">
        <f t="shared" si="251"/>
        <v/>
      </c>
      <c r="BD119" s="8" t="str">
        <f t="shared" si="251"/>
        <v/>
      </c>
      <c r="BE119" s="8" t="str">
        <f t="shared" si="251"/>
        <v/>
      </c>
      <c r="BF119" s="8" t="str">
        <f t="shared" si="251"/>
        <v/>
      </c>
      <c r="BG119" s="8" t="str">
        <f t="shared" si="251"/>
        <v/>
      </c>
      <c r="BH119" s="8" t="str">
        <f t="shared" si="251"/>
        <v/>
      </c>
      <c r="BI119" s="8" t="str">
        <f t="shared" si="251"/>
        <v/>
      </c>
      <c r="BJ119" s="8" t="str">
        <f t="shared" si="251"/>
        <v/>
      </c>
      <c r="BK119" s="8" t="str">
        <f t="shared" ref="BK119:CH119" si="252">IF(BK78="",BK118,IF(BK118="",BK78,BK118&amp;", "&amp;BK78))</f>
        <v/>
      </c>
      <c r="BL119" s="8" t="str">
        <f t="shared" si="252"/>
        <v/>
      </c>
      <c r="BM119" s="8" t="str">
        <f t="shared" si="252"/>
        <v/>
      </c>
      <c r="BN119" s="8" t="str">
        <f t="shared" si="252"/>
        <v/>
      </c>
      <c r="BO119" s="8" t="str">
        <f t="shared" si="252"/>
        <v/>
      </c>
      <c r="BP119" s="8" t="str">
        <f t="shared" si="252"/>
        <v>Felix Bull (1), Dave Copple, Elliot Fry</v>
      </c>
      <c r="BQ119" s="8" t="str">
        <f t="shared" si="252"/>
        <v>Andy Fernando, Alex Griffiths</v>
      </c>
      <c r="BR119" s="8" t="str">
        <f t="shared" si="252"/>
        <v>Tom Hatton</v>
      </c>
      <c r="BS119" s="8" t="str">
        <f t="shared" si="252"/>
        <v/>
      </c>
      <c r="BT119" s="8" t="str">
        <f t="shared" si="252"/>
        <v>Felix Bull, Dave Copple, Elliot Fry</v>
      </c>
      <c r="BU119" s="8" t="str">
        <f t="shared" si="252"/>
        <v>Alex Griffiths</v>
      </c>
      <c r="BV119" s="8" t="str">
        <f t="shared" si="252"/>
        <v>Tom Hatton (1)</v>
      </c>
      <c r="BW119" s="8" t="str">
        <f t="shared" si="252"/>
        <v/>
      </c>
      <c r="BX119" s="8" t="str">
        <f t="shared" si="252"/>
        <v>Felix Bull, Elliot Fry</v>
      </c>
      <c r="BY119" s="8" t="str">
        <f t="shared" si="252"/>
        <v/>
      </c>
      <c r="BZ119" s="8" t="str">
        <f t="shared" si="252"/>
        <v/>
      </c>
      <c r="CA119" s="8" t="str">
        <f t="shared" si="252"/>
        <v/>
      </c>
      <c r="CB119" s="8" t="str">
        <f t="shared" si="252"/>
        <v>Felix Bull (1)</v>
      </c>
      <c r="CC119" s="8" t="str">
        <f t="shared" si="252"/>
        <v>Andy Fernando</v>
      </c>
      <c r="CD119" s="8" t="str">
        <f t="shared" si="252"/>
        <v>Tom Hatton</v>
      </c>
      <c r="CE119" s="8" t="str">
        <f t="shared" si="252"/>
        <v/>
      </c>
      <c r="CF119" s="8" t="str">
        <f t="shared" si="252"/>
        <v>Andy Booth</v>
      </c>
      <c r="CG119" s="8" t="str">
        <f t="shared" si="252"/>
        <v>Andy Fernando</v>
      </c>
      <c r="CH119" s="8" t="str">
        <f t="shared" si="252"/>
        <v>Alex Griffiths, Tom Hatton</v>
      </c>
      <c r="CI119" s="8" t="str">
        <f t="shared" ref="CI119:CL119" si="253">IF(CI78="",CI118,IF(CI118="",CI78,CI118&amp;", "&amp;CI78))</f>
        <v/>
      </c>
      <c r="CJ119" s="8" t="str">
        <f t="shared" si="253"/>
        <v>Felix Bull, Dave Copple, Elliot Fry</v>
      </c>
      <c r="CK119" s="8" t="str">
        <f t="shared" si="253"/>
        <v>Andy Fernando</v>
      </c>
      <c r="CL119" s="8" t="str">
        <f t="shared" si="253"/>
        <v>Andy Booth</v>
      </c>
    </row>
    <row r="120" spans="5:90" x14ac:dyDescent="0.2">
      <c r="E120" s="8">
        <f t="shared" si="209"/>
        <v>19</v>
      </c>
      <c r="G120" s="8" t="str">
        <f t="shared" ref="G120:BJ120" si="254">IF(G79="",G119,IF(G119="",G79,G119&amp;", "&amp;G79))</f>
        <v/>
      </c>
      <c r="H120" s="8" t="str">
        <f t="shared" si="254"/>
        <v>Andy Booth, Felix Bull</v>
      </c>
      <c r="I120" s="8" t="str">
        <f t="shared" si="254"/>
        <v>Dave Baldwin (2), Andy Fernando, Alex Griffiths, Tom Hatton (5)</v>
      </c>
      <c r="J120" s="8" t="str">
        <f t="shared" si="254"/>
        <v>Justin Baranowski</v>
      </c>
      <c r="K120" s="8" t="str">
        <f t="shared" si="254"/>
        <v/>
      </c>
      <c r="L120" s="8" t="str">
        <f t="shared" si="254"/>
        <v>Felix Bull</v>
      </c>
      <c r="M120" s="8" t="str">
        <f t="shared" si="254"/>
        <v>Dave Baldwin (1), Ben Colville (1), Andy Fernando, Tom Hatton</v>
      </c>
      <c r="N120" s="8" t="str">
        <f t="shared" si="254"/>
        <v>Andy Booth</v>
      </c>
      <c r="O120" s="8" t="str">
        <f t="shared" si="254"/>
        <v/>
      </c>
      <c r="P120" s="8" t="str">
        <f t="shared" si="254"/>
        <v>Andy Booth, Felix Bull, Elliot Fry</v>
      </c>
      <c r="Q120" s="8" t="str">
        <f t="shared" si="254"/>
        <v>Dave Baldwin, Rob Clark, Andy Fernando, Alex Griffiths, Tom Hatton</v>
      </c>
      <c r="R120" s="8" t="str">
        <f t="shared" si="254"/>
        <v>Justin Baranowski</v>
      </c>
      <c r="S120" s="8" t="str">
        <f t="shared" si="254"/>
        <v/>
      </c>
      <c r="T120" s="8" t="str">
        <f t="shared" si="254"/>
        <v>Andy Booth, Felix Bull, Elliot Fry, Jussi Grut</v>
      </c>
      <c r="U120" s="8" t="str">
        <f t="shared" si="254"/>
        <v>Dave Baldwin (1), Rob Clark, Andy Fernando, Alex Griffiths, Tom Hatton</v>
      </c>
      <c r="V120" s="8" t="str">
        <f t="shared" si="254"/>
        <v>Justin Baranowski (2)</v>
      </c>
      <c r="W120" s="8" t="str">
        <f t="shared" si="254"/>
        <v/>
      </c>
      <c r="X120" s="8" t="str">
        <f t="shared" si="254"/>
        <v/>
      </c>
      <c r="Y120" s="8" t="str">
        <f t="shared" si="254"/>
        <v/>
      </c>
      <c r="Z120" s="8" t="str">
        <f t="shared" si="254"/>
        <v/>
      </c>
      <c r="AA120" s="8" t="str">
        <f t="shared" si="254"/>
        <v/>
      </c>
      <c r="AB120" s="8" t="str">
        <f t="shared" si="254"/>
        <v>Felix Bull, Elliot Fry</v>
      </c>
      <c r="AC120" s="8" t="str">
        <f t="shared" si="254"/>
        <v>Dave Baldwin (1), Rob Clark, Andy Fernando, Alex Griffiths</v>
      </c>
      <c r="AD120" s="8" t="str">
        <f t="shared" si="254"/>
        <v>Justin Baranowski, Tom Hatton (1)</v>
      </c>
      <c r="AE120" s="8" t="str">
        <f t="shared" si="254"/>
        <v/>
      </c>
      <c r="AF120" s="8" t="str">
        <f t="shared" si="254"/>
        <v>Elliot Fry</v>
      </c>
      <c r="AG120" s="8" t="str">
        <f t="shared" si="254"/>
        <v>Dave Baldwin (1), Alex Griffiths, Jussi Grut</v>
      </c>
      <c r="AH120" s="8" t="str">
        <f t="shared" si="254"/>
        <v>Justin Baranowski (1), Tom Hatton</v>
      </c>
      <c r="AI120" s="8" t="e">
        <f t="shared" si="254"/>
        <v>#REF!</v>
      </c>
      <c r="AJ120" s="8" t="e">
        <f t="shared" si="254"/>
        <v>#REF!</v>
      </c>
      <c r="AK120" s="8" t="e">
        <f t="shared" si="254"/>
        <v>#REF!</v>
      </c>
      <c r="AL120" s="8" t="e">
        <f t="shared" si="254"/>
        <v>#REF!</v>
      </c>
      <c r="AM120" s="8" t="str">
        <f t="shared" si="254"/>
        <v/>
      </c>
      <c r="AN120" s="8" t="str">
        <f t="shared" si="254"/>
        <v/>
      </c>
      <c r="AO120" s="8" t="str">
        <f t="shared" si="254"/>
        <v/>
      </c>
      <c r="AP120" s="8" t="str">
        <f t="shared" si="254"/>
        <v/>
      </c>
      <c r="AQ120" s="8" t="str">
        <f t="shared" si="254"/>
        <v/>
      </c>
      <c r="AR120" s="8" t="str">
        <f t="shared" si="254"/>
        <v>Felix Bull, Elliot Fry</v>
      </c>
      <c r="AS120" s="8" t="str">
        <f t="shared" si="254"/>
        <v>Alex Griffiths (1)</v>
      </c>
      <c r="AT120" s="8" t="str">
        <f t="shared" si="254"/>
        <v>Andy Booth, Jussi Grut</v>
      </c>
      <c r="AU120" s="8" t="str">
        <f t="shared" si="254"/>
        <v/>
      </c>
      <c r="AV120" s="8" t="str">
        <f t="shared" si="254"/>
        <v>Dave Copple, Elliot Fry</v>
      </c>
      <c r="AW120" s="8" t="str">
        <f t="shared" si="254"/>
        <v>Dave Baldwin, Andy Fernando, Alex Griffiths</v>
      </c>
      <c r="AX120" s="8" t="str">
        <f t="shared" si="254"/>
        <v>Tom Hatton (1,4A)</v>
      </c>
      <c r="AY120" s="8" t="str">
        <f t="shared" si="254"/>
        <v/>
      </c>
      <c r="AZ120" s="8" t="str">
        <f t="shared" si="254"/>
        <v>Felix Bull, Dave Copple, Elliot Fry</v>
      </c>
      <c r="BA120" s="8" t="str">
        <f t="shared" si="254"/>
        <v>Dave Baldwin, Andy Fernando</v>
      </c>
      <c r="BB120" s="8" t="str">
        <f t="shared" si="254"/>
        <v>Andy Booth, Alex Griffiths</v>
      </c>
      <c r="BC120" s="8" t="str">
        <f t="shared" si="254"/>
        <v/>
      </c>
      <c r="BD120" s="8" t="str">
        <f t="shared" si="254"/>
        <v/>
      </c>
      <c r="BE120" s="8" t="str">
        <f t="shared" si="254"/>
        <v/>
      </c>
      <c r="BF120" s="8" t="str">
        <f t="shared" si="254"/>
        <v/>
      </c>
      <c r="BG120" s="8" t="str">
        <f t="shared" si="254"/>
        <v/>
      </c>
      <c r="BH120" s="8" t="str">
        <f t="shared" si="254"/>
        <v/>
      </c>
      <c r="BI120" s="8" t="str">
        <f t="shared" si="254"/>
        <v/>
      </c>
      <c r="BJ120" s="8" t="str">
        <f t="shared" si="254"/>
        <v/>
      </c>
      <c r="BK120" s="8" t="str">
        <f t="shared" ref="BK120:CH120" si="255">IF(BK79="",BK119,IF(BK119="",BK79,BK119&amp;", "&amp;BK79))</f>
        <v/>
      </c>
      <c r="BL120" s="8" t="str">
        <f t="shared" si="255"/>
        <v/>
      </c>
      <c r="BM120" s="8" t="str">
        <f t="shared" si="255"/>
        <v/>
      </c>
      <c r="BN120" s="8" t="str">
        <f t="shared" si="255"/>
        <v/>
      </c>
      <c r="BO120" s="8" t="str">
        <f t="shared" si="255"/>
        <v/>
      </c>
      <c r="BP120" s="8" t="str">
        <f t="shared" si="255"/>
        <v>Felix Bull (1), Dave Copple, Elliot Fry</v>
      </c>
      <c r="BQ120" s="8" t="str">
        <f t="shared" si="255"/>
        <v>Andy Fernando, Alex Griffiths</v>
      </c>
      <c r="BR120" s="8" t="str">
        <f t="shared" si="255"/>
        <v>Tom Hatton</v>
      </c>
      <c r="BS120" s="8" t="str">
        <f t="shared" si="255"/>
        <v/>
      </c>
      <c r="BT120" s="8" t="str">
        <f t="shared" si="255"/>
        <v>Felix Bull, Dave Copple, Elliot Fry</v>
      </c>
      <c r="BU120" s="8" t="str">
        <f t="shared" si="255"/>
        <v>Alex Griffiths</v>
      </c>
      <c r="BV120" s="8" t="str">
        <f t="shared" si="255"/>
        <v>Tom Hatton (1)</v>
      </c>
      <c r="BW120" s="8" t="str">
        <f t="shared" si="255"/>
        <v/>
      </c>
      <c r="BX120" s="8" t="str">
        <f t="shared" si="255"/>
        <v>Felix Bull, Elliot Fry</v>
      </c>
      <c r="BY120" s="8" t="str">
        <f t="shared" si="255"/>
        <v/>
      </c>
      <c r="BZ120" s="8" t="str">
        <f t="shared" si="255"/>
        <v/>
      </c>
      <c r="CA120" s="8" t="str">
        <f t="shared" si="255"/>
        <v/>
      </c>
      <c r="CB120" s="8" t="str">
        <f t="shared" si="255"/>
        <v>Felix Bull (1)</v>
      </c>
      <c r="CC120" s="8" t="str">
        <f t="shared" si="255"/>
        <v>Andy Fernando</v>
      </c>
      <c r="CD120" s="8" t="str">
        <f t="shared" si="255"/>
        <v>Tom Hatton</v>
      </c>
      <c r="CE120" s="8" t="str">
        <f t="shared" si="255"/>
        <v/>
      </c>
      <c r="CF120" s="8" t="str">
        <f t="shared" si="255"/>
        <v>Andy Booth</v>
      </c>
      <c r="CG120" s="8" t="str">
        <f t="shared" si="255"/>
        <v>Andy Fernando</v>
      </c>
      <c r="CH120" s="8" t="str">
        <f t="shared" si="255"/>
        <v>Alex Griffiths, Tom Hatton</v>
      </c>
      <c r="CI120" s="8" t="str">
        <f t="shared" ref="CI120:CL120" si="256">IF(CI79="",CI119,IF(CI119="",CI79,CI119&amp;", "&amp;CI79))</f>
        <v/>
      </c>
      <c r="CJ120" s="8" t="str">
        <f t="shared" si="256"/>
        <v>Felix Bull, Dave Copple, Elliot Fry</v>
      </c>
      <c r="CK120" s="8" t="str">
        <f t="shared" si="256"/>
        <v>Andy Fernando</v>
      </c>
      <c r="CL120" s="8" t="str">
        <f t="shared" si="256"/>
        <v>Andy Booth</v>
      </c>
    </row>
    <row r="121" spans="5:90" x14ac:dyDescent="0.2">
      <c r="E121" s="8">
        <f t="shared" si="209"/>
        <v>20</v>
      </c>
      <c r="G121" s="8" t="str">
        <f t="shared" ref="G121:BJ121" si="257">IF(G80="",G120,IF(G120="",G80,G120&amp;", "&amp;G80))</f>
        <v/>
      </c>
      <c r="H121" s="8" t="str">
        <f t="shared" si="257"/>
        <v>Andy Booth, Felix Bull</v>
      </c>
      <c r="I121" s="8" t="str">
        <f t="shared" si="257"/>
        <v>Dave Baldwin (2), Andy Fernando, Alex Griffiths, Tom Hatton (5)</v>
      </c>
      <c r="J121" s="8" t="str">
        <f t="shared" si="257"/>
        <v>Justin Baranowski</v>
      </c>
      <c r="K121" s="8" t="str">
        <f t="shared" si="257"/>
        <v/>
      </c>
      <c r="L121" s="8" t="str">
        <f t="shared" si="257"/>
        <v>Felix Bull</v>
      </c>
      <c r="M121" s="8" t="str">
        <f t="shared" si="257"/>
        <v>Dave Baldwin (1), Ben Colville (1), Andy Fernando, Tom Hatton, James Keal</v>
      </c>
      <c r="N121" s="8" t="str">
        <f t="shared" si="257"/>
        <v>Andy Booth</v>
      </c>
      <c r="O121" s="8" t="str">
        <f t="shared" si="257"/>
        <v/>
      </c>
      <c r="P121" s="8" t="str">
        <f t="shared" si="257"/>
        <v>Andy Booth, Felix Bull, Elliot Fry</v>
      </c>
      <c r="Q121" s="8" t="str">
        <f t="shared" si="257"/>
        <v>Dave Baldwin, Rob Clark, Andy Fernando, Alex Griffiths, Tom Hatton, James Keal</v>
      </c>
      <c r="R121" s="8" t="str">
        <f t="shared" si="257"/>
        <v>Justin Baranowski</v>
      </c>
      <c r="S121" s="8" t="str">
        <f t="shared" si="257"/>
        <v/>
      </c>
      <c r="T121" s="8" t="str">
        <f t="shared" si="257"/>
        <v>Andy Booth, Felix Bull, Elliot Fry, Jussi Grut</v>
      </c>
      <c r="U121" s="8" t="str">
        <f t="shared" si="257"/>
        <v>Dave Baldwin (1), Rob Clark, Andy Fernando, Alex Griffiths, Tom Hatton, James Keal</v>
      </c>
      <c r="V121" s="8" t="str">
        <f t="shared" si="257"/>
        <v>Justin Baranowski (2)</v>
      </c>
      <c r="W121" s="8" t="str">
        <f t="shared" si="257"/>
        <v/>
      </c>
      <c r="X121" s="8" t="str">
        <f t="shared" si="257"/>
        <v/>
      </c>
      <c r="Y121" s="8" t="str">
        <f t="shared" si="257"/>
        <v/>
      </c>
      <c r="Z121" s="8" t="str">
        <f t="shared" si="257"/>
        <v/>
      </c>
      <c r="AA121" s="8" t="str">
        <f t="shared" si="257"/>
        <v/>
      </c>
      <c r="AB121" s="8" t="str">
        <f t="shared" si="257"/>
        <v>Felix Bull, Elliot Fry</v>
      </c>
      <c r="AC121" s="8" t="str">
        <f t="shared" si="257"/>
        <v>Dave Baldwin (1), Rob Clark, Andy Fernando, Alex Griffiths</v>
      </c>
      <c r="AD121" s="8" t="str">
        <f t="shared" si="257"/>
        <v>Justin Baranowski, Tom Hatton (1)</v>
      </c>
      <c r="AE121" s="8" t="str">
        <f t="shared" si="257"/>
        <v/>
      </c>
      <c r="AF121" s="8" t="str">
        <f t="shared" si="257"/>
        <v>Elliot Fry</v>
      </c>
      <c r="AG121" s="8" t="str">
        <f t="shared" si="257"/>
        <v>Dave Baldwin (1), Alex Griffiths, Jussi Grut, James Keal (1)</v>
      </c>
      <c r="AH121" s="8" t="str">
        <f t="shared" si="257"/>
        <v>Justin Baranowski (1), Tom Hatton</v>
      </c>
      <c r="AI121" s="8" t="e">
        <f t="shared" si="257"/>
        <v>#REF!</v>
      </c>
      <c r="AJ121" s="8" t="e">
        <f t="shared" si="257"/>
        <v>#REF!</v>
      </c>
      <c r="AK121" s="8" t="e">
        <f t="shared" si="257"/>
        <v>#REF!</v>
      </c>
      <c r="AL121" s="8" t="e">
        <f t="shared" si="257"/>
        <v>#REF!</v>
      </c>
      <c r="AM121" s="8" t="str">
        <f t="shared" si="257"/>
        <v/>
      </c>
      <c r="AN121" s="8" t="str">
        <f t="shared" si="257"/>
        <v/>
      </c>
      <c r="AO121" s="8" t="str">
        <f t="shared" si="257"/>
        <v/>
      </c>
      <c r="AP121" s="8" t="str">
        <f t="shared" si="257"/>
        <v/>
      </c>
      <c r="AQ121" s="8" t="str">
        <f t="shared" si="257"/>
        <v/>
      </c>
      <c r="AR121" s="8" t="str">
        <f t="shared" si="257"/>
        <v>Felix Bull, Elliot Fry</v>
      </c>
      <c r="AS121" s="8" t="str">
        <f t="shared" si="257"/>
        <v>Alex Griffiths (1)</v>
      </c>
      <c r="AT121" s="8" t="str">
        <f t="shared" si="257"/>
        <v>Andy Booth, Jussi Grut</v>
      </c>
      <c r="AU121" s="8" t="str">
        <f t="shared" si="257"/>
        <v/>
      </c>
      <c r="AV121" s="8" t="str">
        <f t="shared" si="257"/>
        <v>Dave Copple, Elliot Fry</v>
      </c>
      <c r="AW121" s="8" t="str">
        <f t="shared" si="257"/>
        <v>Dave Baldwin, Andy Fernando, Alex Griffiths</v>
      </c>
      <c r="AX121" s="8" t="str">
        <f t="shared" si="257"/>
        <v>Tom Hatton (1,4A), James Keal</v>
      </c>
      <c r="AY121" s="8" t="str">
        <f t="shared" si="257"/>
        <v/>
      </c>
      <c r="AZ121" s="8" t="str">
        <f t="shared" si="257"/>
        <v>Felix Bull, Dave Copple, Elliot Fry</v>
      </c>
      <c r="BA121" s="8" t="str">
        <f t="shared" si="257"/>
        <v>Dave Baldwin, Andy Fernando</v>
      </c>
      <c r="BB121" s="8" t="str">
        <f t="shared" si="257"/>
        <v>Andy Booth, Alex Griffiths</v>
      </c>
      <c r="BC121" s="8" t="str">
        <f t="shared" si="257"/>
        <v/>
      </c>
      <c r="BD121" s="8" t="str">
        <f t="shared" si="257"/>
        <v/>
      </c>
      <c r="BE121" s="8" t="str">
        <f t="shared" si="257"/>
        <v/>
      </c>
      <c r="BF121" s="8" t="str">
        <f t="shared" si="257"/>
        <v/>
      </c>
      <c r="BG121" s="8" t="str">
        <f t="shared" si="257"/>
        <v/>
      </c>
      <c r="BH121" s="8" t="str">
        <f t="shared" si="257"/>
        <v/>
      </c>
      <c r="BI121" s="8" t="str">
        <f t="shared" si="257"/>
        <v/>
      </c>
      <c r="BJ121" s="8" t="str">
        <f t="shared" si="257"/>
        <v/>
      </c>
      <c r="BK121" s="8" t="str">
        <f t="shared" ref="BK121:CH121" si="258">IF(BK80="",BK120,IF(BK120="",BK80,BK120&amp;", "&amp;BK80))</f>
        <v/>
      </c>
      <c r="BL121" s="8" t="str">
        <f t="shared" si="258"/>
        <v/>
      </c>
      <c r="BM121" s="8" t="str">
        <f t="shared" si="258"/>
        <v/>
      </c>
      <c r="BN121" s="8" t="str">
        <f t="shared" si="258"/>
        <v/>
      </c>
      <c r="BO121" s="8" t="str">
        <f t="shared" si="258"/>
        <v/>
      </c>
      <c r="BP121" s="8" t="str">
        <f t="shared" si="258"/>
        <v>Felix Bull (1), Dave Copple, Elliot Fry</v>
      </c>
      <c r="BQ121" s="8" t="str">
        <f t="shared" si="258"/>
        <v>Andy Fernando, Alex Griffiths</v>
      </c>
      <c r="BR121" s="8" t="str">
        <f t="shared" si="258"/>
        <v>Tom Hatton</v>
      </c>
      <c r="BS121" s="8" t="str">
        <f t="shared" si="258"/>
        <v/>
      </c>
      <c r="BT121" s="8" t="str">
        <f t="shared" si="258"/>
        <v>Felix Bull, Dave Copple, Elliot Fry</v>
      </c>
      <c r="BU121" s="8" t="str">
        <f t="shared" si="258"/>
        <v>Alex Griffiths, James Keal</v>
      </c>
      <c r="BV121" s="8" t="str">
        <f t="shared" si="258"/>
        <v>Tom Hatton (1)</v>
      </c>
      <c r="BW121" s="8" t="str">
        <f t="shared" si="258"/>
        <v/>
      </c>
      <c r="BX121" s="8" t="str">
        <f t="shared" si="258"/>
        <v>Felix Bull, Elliot Fry</v>
      </c>
      <c r="BY121" s="8" t="str">
        <f t="shared" si="258"/>
        <v/>
      </c>
      <c r="BZ121" s="8" t="str">
        <f t="shared" si="258"/>
        <v/>
      </c>
      <c r="CA121" s="8" t="str">
        <f t="shared" si="258"/>
        <v/>
      </c>
      <c r="CB121" s="8" t="str">
        <f t="shared" si="258"/>
        <v>Felix Bull (1)</v>
      </c>
      <c r="CC121" s="8" t="str">
        <f t="shared" si="258"/>
        <v>Andy Fernando</v>
      </c>
      <c r="CD121" s="8" t="str">
        <f t="shared" si="258"/>
        <v>Tom Hatton</v>
      </c>
      <c r="CE121" s="8" t="str">
        <f t="shared" si="258"/>
        <v/>
      </c>
      <c r="CF121" s="8" t="str">
        <f t="shared" si="258"/>
        <v>Andy Booth</v>
      </c>
      <c r="CG121" s="8" t="str">
        <f t="shared" si="258"/>
        <v>Andy Fernando</v>
      </c>
      <c r="CH121" s="8" t="str">
        <f t="shared" si="258"/>
        <v>Alex Griffiths, Tom Hatton</v>
      </c>
      <c r="CI121" s="8" t="str">
        <f t="shared" ref="CI121:CL121" si="259">IF(CI80="",CI120,IF(CI120="",CI80,CI120&amp;", "&amp;CI80))</f>
        <v/>
      </c>
      <c r="CJ121" s="8" t="str">
        <f t="shared" si="259"/>
        <v>Felix Bull, Dave Copple, Elliot Fry</v>
      </c>
      <c r="CK121" s="8" t="str">
        <f t="shared" si="259"/>
        <v>Andy Fernando, James Keal (1)</v>
      </c>
      <c r="CL121" s="8" t="str">
        <f t="shared" si="259"/>
        <v>Andy Booth</v>
      </c>
    </row>
    <row r="122" spans="5:90" x14ac:dyDescent="0.2">
      <c r="E122" s="8">
        <f t="shared" si="209"/>
        <v>21</v>
      </c>
      <c r="G122" s="8" t="str">
        <f t="shared" ref="G122:BJ122" si="260">IF(G81="",G121,IF(G121="",G81,G121&amp;", "&amp;G81))</f>
        <v/>
      </c>
      <c r="H122" s="8" t="str">
        <f t="shared" si="260"/>
        <v>Andy Booth, Felix Bull</v>
      </c>
      <c r="I122" s="8" t="str">
        <f t="shared" si="260"/>
        <v>Dave Baldwin (2), Andy Fernando, Alex Griffiths, Tom Hatton (5)</v>
      </c>
      <c r="J122" s="8" t="str">
        <f t="shared" si="260"/>
        <v>Justin Baranowski</v>
      </c>
      <c r="K122" s="8" t="str">
        <f t="shared" si="260"/>
        <v/>
      </c>
      <c r="L122" s="8" t="str">
        <f t="shared" si="260"/>
        <v>Felix Bull, Dara McCreary</v>
      </c>
      <c r="M122" s="8" t="str">
        <f t="shared" si="260"/>
        <v>Dave Baldwin (1), Ben Colville (1), Andy Fernando, Tom Hatton, James Keal</v>
      </c>
      <c r="N122" s="8" t="str">
        <f t="shared" si="260"/>
        <v>Andy Booth</v>
      </c>
      <c r="O122" s="8" t="str">
        <f t="shared" si="260"/>
        <v/>
      </c>
      <c r="P122" s="8" t="str">
        <f t="shared" si="260"/>
        <v>Andy Booth, Felix Bull, Elliot Fry, Dara McCreary</v>
      </c>
      <c r="Q122" s="8" t="str">
        <f t="shared" si="260"/>
        <v>Dave Baldwin, Rob Clark, Andy Fernando, Alex Griffiths, Tom Hatton, James Keal</v>
      </c>
      <c r="R122" s="8" t="str">
        <f t="shared" si="260"/>
        <v>Justin Baranowski</v>
      </c>
      <c r="S122" s="8" t="str">
        <f t="shared" si="260"/>
        <v/>
      </c>
      <c r="T122" s="8" t="str">
        <f t="shared" si="260"/>
        <v>Andy Booth, Felix Bull, Elliot Fry, Jussi Grut, Dara McCreary</v>
      </c>
      <c r="U122" s="8" t="str">
        <f t="shared" si="260"/>
        <v>Dave Baldwin (1), Rob Clark, Andy Fernando, Alex Griffiths, Tom Hatton, James Keal</v>
      </c>
      <c r="V122" s="8" t="str">
        <f t="shared" si="260"/>
        <v>Justin Baranowski (2)</v>
      </c>
      <c r="W122" s="8" t="str">
        <f t="shared" si="260"/>
        <v/>
      </c>
      <c r="X122" s="8" t="str">
        <f t="shared" si="260"/>
        <v/>
      </c>
      <c r="Y122" s="8" t="str">
        <f t="shared" si="260"/>
        <v/>
      </c>
      <c r="Z122" s="8" t="str">
        <f t="shared" si="260"/>
        <v/>
      </c>
      <c r="AA122" s="8" t="str">
        <f t="shared" si="260"/>
        <v/>
      </c>
      <c r="AB122" s="8" t="str">
        <f t="shared" si="260"/>
        <v>Felix Bull, Elliot Fry</v>
      </c>
      <c r="AC122" s="8" t="str">
        <f t="shared" si="260"/>
        <v>Dave Baldwin (1), Rob Clark, Andy Fernando, Alex Griffiths</v>
      </c>
      <c r="AD122" s="8" t="str">
        <f t="shared" si="260"/>
        <v>Justin Baranowski, Tom Hatton (1)</v>
      </c>
      <c r="AE122" s="8" t="str">
        <f t="shared" si="260"/>
        <v/>
      </c>
      <c r="AF122" s="8" t="str">
        <f t="shared" si="260"/>
        <v>Elliot Fry, Dara McCreary</v>
      </c>
      <c r="AG122" s="8" t="str">
        <f t="shared" si="260"/>
        <v>Dave Baldwin (1), Alex Griffiths, Jussi Grut, James Keal (1)</v>
      </c>
      <c r="AH122" s="8" t="str">
        <f t="shared" si="260"/>
        <v>Justin Baranowski (1), Tom Hatton</v>
      </c>
      <c r="AI122" s="8" t="e">
        <f t="shared" si="260"/>
        <v>#REF!</v>
      </c>
      <c r="AJ122" s="8" t="e">
        <f t="shared" si="260"/>
        <v>#REF!</v>
      </c>
      <c r="AK122" s="8" t="e">
        <f t="shared" si="260"/>
        <v>#REF!</v>
      </c>
      <c r="AL122" s="8" t="e">
        <f t="shared" si="260"/>
        <v>#REF!</v>
      </c>
      <c r="AM122" s="8" t="str">
        <f t="shared" si="260"/>
        <v/>
      </c>
      <c r="AN122" s="8" t="str">
        <f t="shared" si="260"/>
        <v/>
      </c>
      <c r="AO122" s="8" t="str">
        <f t="shared" si="260"/>
        <v/>
      </c>
      <c r="AP122" s="8" t="str">
        <f t="shared" si="260"/>
        <v/>
      </c>
      <c r="AQ122" s="8" t="str">
        <f t="shared" si="260"/>
        <v/>
      </c>
      <c r="AR122" s="8" t="str">
        <f t="shared" si="260"/>
        <v>Felix Bull, Elliot Fry</v>
      </c>
      <c r="AS122" s="8" t="str">
        <f t="shared" si="260"/>
        <v>Alex Griffiths (1)</v>
      </c>
      <c r="AT122" s="8" t="str">
        <f t="shared" si="260"/>
        <v>Andy Booth, Jussi Grut, Dara McCreary (1)</v>
      </c>
      <c r="AU122" s="8" t="str">
        <f t="shared" si="260"/>
        <v/>
      </c>
      <c r="AV122" s="8" t="str">
        <f t="shared" si="260"/>
        <v>Dave Copple, Elliot Fry</v>
      </c>
      <c r="AW122" s="8" t="str">
        <f t="shared" si="260"/>
        <v>Dave Baldwin, Andy Fernando, Alex Griffiths</v>
      </c>
      <c r="AX122" s="8" t="str">
        <f t="shared" si="260"/>
        <v>Tom Hatton (1,4A), James Keal, Dara McCreary</v>
      </c>
      <c r="AY122" s="8" t="str">
        <f t="shared" si="260"/>
        <v/>
      </c>
      <c r="AZ122" s="8" t="str">
        <f t="shared" si="260"/>
        <v>Felix Bull, Dave Copple, Elliot Fry</v>
      </c>
      <c r="BA122" s="8" t="str">
        <f t="shared" si="260"/>
        <v>Dave Baldwin, Andy Fernando</v>
      </c>
      <c r="BB122" s="8" t="str">
        <f t="shared" si="260"/>
        <v>Andy Booth, Alex Griffiths</v>
      </c>
      <c r="BC122" s="8" t="str">
        <f t="shared" si="260"/>
        <v/>
      </c>
      <c r="BD122" s="8" t="str">
        <f t="shared" si="260"/>
        <v/>
      </c>
      <c r="BE122" s="8" t="str">
        <f t="shared" si="260"/>
        <v/>
      </c>
      <c r="BF122" s="8" t="str">
        <f t="shared" si="260"/>
        <v/>
      </c>
      <c r="BG122" s="8" t="str">
        <f t="shared" si="260"/>
        <v/>
      </c>
      <c r="BH122" s="8" t="str">
        <f t="shared" si="260"/>
        <v/>
      </c>
      <c r="BI122" s="8" t="str">
        <f t="shared" si="260"/>
        <v/>
      </c>
      <c r="BJ122" s="8" t="str">
        <f t="shared" si="260"/>
        <v/>
      </c>
      <c r="BK122" s="8" t="str">
        <f t="shared" ref="BK122:CH122" si="261">IF(BK81="",BK121,IF(BK121="",BK81,BK121&amp;", "&amp;BK81))</f>
        <v/>
      </c>
      <c r="BL122" s="8" t="str">
        <f t="shared" si="261"/>
        <v/>
      </c>
      <c r="BM122" s="8" t="str">
        <f t="shared" si="261"/>
        <v/>
      </c>
      <c r="BN122" s="8" t="str">
        <f t="shared" si="261"/>
        <v/>
      </c>
      <c r="BO122" s="8" t="str">
        <f t="shared" si="261"/>
        <v/>
      </c>
      <c r="BP122" s="8" t="str">
        <f t="shared" si="261"/>
        <v>Felix Bull (1), Dave Copple, Elliot Fry</v>
      </c>
      <c r="BQ122" s="8" t="str">
        <f t="shared" si="261"/>
        <v>Andy Fernando, Alex Griffiths</v>
      </c>
      <c r="BR122" s="8" t="str">
        <f t="shared" si="261"/>
        <v>Tom Hatton</v>
      </c>
      <c r="BS122" s="8" t="str">
        <f t="shared" si="261"/>
        <v/>
      </c>
      <c r="BT122" s="8" t="str">
        <f t="shared" si="261"/>
        <v>Felix Bull, Dave Copple, Elliot Fry, Dara McCreary</v>
      </c>
      <c r="BU122" s="8" t="str">
        <f t="shared" si="261"/>
        <v>Alex Griffiths, James Keal</v>
      </c>
      <c r="BV122" s="8" t="str">
        <f t="shared" si="261"/>
        <v>Tom Hatton (1)</v>
      </c>
      <c r="BW122" s="8" t="str">
        <f t="shared" si="261"/>
        <v/>
      </c>
      <c r="BX122" s="8" t="str">
        <f t="shared" si="261"/>
        <v>Felix Bull, Elliot Fry</v>
      </c>
      <c r="BY122" s="8" t="str">
        <f t="shared" si="261"/>
        <v>Dara McCreary</v>
      </c>
      <c r="BZ122" s="8" t="str">
        <f t="shared" si="261"/>
        <v/>
      </c>
      <c r="CA122" s="8" t="str">
        <f t="shared" si="261"/>
        <v/>
      </c>
      <c r="CB122" s="8" t="str">
        <f t="shared" si="261"/>
        <v>Felix Bull (1), Dara McCreary</v>
      </c>
      <c r="CC122" s="8" t="str">
        <f t="shared" si="261"/>
        <v>Andy Fernando</v>
      </c>
      <c r="CD122" s="8" t="str">
        <f t="shared" si="261"/>
        <v>Tom Hatton</v>
      </c>
      <c r="CE122" s="8" t="str">
        <f t="shared" si="261"/>
        <v/>
      </c>
      <c r="CF122" s="8" t="str">
        <f t="shared" si="261"/>
        <v>Andy Booth, Dara McCreary</v>
      </c>
      <c r="CG122" s="8" t="str">
        <f t="shared" si="261"/>
        <v>Andy Fernando</v>
      </c>
      <c r="CH122" s="8" t="str">
        <f t="shared" si="261"/>
        <v>Alex Griffiths, Tom Hatton</v>
      </c>
      <c r="CI122" s="8" t="str">
        <f t="shared" ref="CI122:CL122" si="262">IF(CI81="",CI121,IF(CI121="",CI81,CI121&amp;", "&amp;CI81))</f>
        <v/>
      </c>
      <c r="CJ122" s="8" t="str">
        <f t="shared" si="262"/>
        <v>Felix Bull, Dave Copple, Elliot Fry</v>
      </c>
      <c r="CK122" s="8" t="str">
        <f t="shared" si="262"/>
        <v>Andy Fernando, James Keal (1), Dara McCreary</v>
      </c>
      <c r="CL122" s="8" t="str">
        <f t="shared" si="262"/>
        <v>Andy Booth</v>
      </c>
    </row>
    <row r="123" spans="5:90" x14ac:dyDescent="0.2">
      <c r="E123" s="8">
        <f t="shared" si="209"/>
        <v>22</v>
      </c>
      <c r="G123" s="8" t="str">
        <f t="shared" ref="G123:BJ123" si="263">IF(G82="",G122,IF(G122="",G82,G122&amp;", "&amp;G82))</f>
        <v>Dan Murphy</v>
      </c>
      <c r="H123" s="8" t="str">
        <f t="shared" si="263"/>
        <v>Andy Booth, Felix Bull</v>
      </c>
      <c r="I123" s="8" t="str">
        <f t="shared" si="263"/>
        <v>Dave Baldwin (2), Andy Fernando, Alex Griffiths, Tom Hatton (5)</v>
      </c>
      <c r="J123" s="8" t="str">
        <f t="shared" si="263"/>
        <v>Justin Baranowski</v>
      </c>
      <c r="K123" s="8" t="str">
        <f t="shared" si="263"/>
        <v>Dan Murphy</v>
      </c>
      <c r="L123" s="8" t="str">
        <f t="shared" si="263"/>
        <v>Felix Bull, Dara McCreary</v>
      </c>
      <c r="M123" s="8" t="str">
        <f t="shared" si="263"/>
        <v>Dave Baldwin (1), Ben Colville (1), Andy Fernando, Tom Hatton, James Keal</v>
      </c>
      <c r="N123" s="8" t="str">
        <f t="shared" si="263"/>
        <v>Andy Booth</v>
      </c>
      <c r="O123" s="8" t="str">
        <f t="shared" si="263"/>
        <v>Dan Murphy</v>
      </c>
      <c r="P123" s="8" t="str">
        <f t="shared" si="263"/>
        <v>Andy Booth, Felix Bull, Elliot Fry, Dara McCreary</v>
      </c>
      <c r="Q123" s="8" t="str">
        <f t="shared" si="263"/>
        <v>Dave Baldwin, Rob Clark, Andy Fernando, Alex Griffiths, Tom Hatton, James Keal</v>
      </c>
      <c r="R123" s="8" t="str">
        <f t="shared" si="263"/>
        <v>Justin Baranowski</v>
      </c>
      <c r="S123" s="8" t="str">
        <f t="shared" si="263"/>
        <v>Dan Murphy</v>
      </c>
      <c r="T123" s="8" t="str">
        <f t="shared" si="263"/>
        <v>Andy Booth, Felix Bull, Elliot Fry, Jussi Grut, Dara McCreary</v>
      </c>
      <c r="U123" s="8" t="str">
        <f t="shared" si="263"/>
        <v>Dave Baldwin (1), Rob Clark, Andy Fernando, Alex Griffiths, Tom Hatton, James Keal</v>
      </c>
      <c r="V123" s="8" t="str">
        <f t="shared" si="263"/>
        <v>Justin Baranowski (2)</v>
      </c>
      <c r="W123" s="8" t="str">
        <f t="shared" si="263"/>
        <v/>
      </c>
      <c r="X123" s="8" t="str">
        <f t="shared" si="263"/>
        <v/>
      </c>
      <c r="Y123" s="8" t="str">
        <f t="shared" si="263"/>
        <v/>
      </c>
      <c r="Z123" s="8" t="str">
        <f t="shared" si="263"/>
        <v/>
      </c>
      <c r="AA123" s="8" t="str">
        <f t="shared" si="263"/>
        <v>Dan Murphy</v>
      </c>
      <c r="AB123" s="8" t="str">
        <f t="shared" si="263"/>
        <v>Felix Bull, Elliot Fry</v>
      </c>
      <c r="AC123" s="8" t="str">
        <f t="shared" si="263"/>
        <v>Dave Baldwin (1), Rob Clark, Andy Fernando, Alex Griffiths</v>
      </c>
      <c r="AD123" s="8" t="str">
        <f t="shared" si="263"/>
        <v>Justin Baranowski, Tom Hatton (1)</v>
      </c>
      <c r="AE123" s="8" t="str">
        <f t="shared" si="263"/>
        <v>Dan Murphy</v>
      </c>
      <c r="AF123" s="8" t="str">
        <f t="shared" si="263"/>
        <v>Elliot Fry, Dara McCreary</v>
      </c>
      <c r="AG123" s="8" t="str">
        <f t="shared" si="263"/>
        <v>Dave Baldwin (1), Alex Griffiths, Jussi Grut, James Keal (1)</v>
      </c>
      <c r="AH123" s="8" t="str">
        <f t="shared" si="263"/>
        <v>Justin Baranowski (1), Tom Hatton</v>
      </c>
      <c r="AI123" s="8" t="e">
        <f t="shared" si="263"/>
        <v>#REF!</v>
      </c>
      <c r="AJ123" s="8" t="e">
        <f t="shared" si="263"/>
        <v>#REF!</v>
      </c>
      <c r="AK123" s="8" t="e">
        <f t="shared" si="263"/>
        <v>#REF!</v>
      </c>
      <c r="AL123" s="8" t="e">
        <f t="shared" si="263"/>
        <v>#REF!</v>
      </c>
      <c r="AM123" s="8" t="str">
        <f t="shared" si="263"/>
        <v/>
      </c>
      <c r="AN123" s="8" t="str">
        <f t="shared" si="263"/>
        <v/>
      </c>
      <c r="AO123" s="8" t="str">
        <f t="shared" si="263"/>
        <v/>
      </c>
      <c r="AP123" s="8" t="str">
        <f t="shared" si="263"/>
        <v/>
      </c>
      <c r="AQ123" s="8" t="str">
        <f t="shared" si="263"/>
        <v>Dan Murphy</v>
      </c>
      <c r="AR123" s="8" t="str">
        <f t="shared" si="263"/>
        <v>Felix Bull, Elliot Fry</v>
      </c>
      <c r="AS123" s="8" t="str">
        <f t="shared" si="263"/>
        <v>Alex Griffiths (1)</v>
      </c>
      <c r="AT123" s="8" t="str">
        <f t="shared" si="263"/>
        <v>Andy Booth, Jussi Grut, Dara McCreary (1)</v>
      </c>
      <c r="AU123" s="8" t="str">
        <f t="shared" si="263"/>
        <v/>
      </c>
      <c r="AV123" s="8" t="str">
        <f t="shared" si="263"/>
        <v>Dave Copple, Elliot Fry</v>
      </c>
      <c r="AW123" s="8" t="str">
        <f t="shared" si="263"/>
        <v>Dave Baldwin, Andy Fernando, Alex Griffiths</v>
      </c>
      <c r="AX123" s="8" t="str">
        <f t="shared" si="263"/>
        <v>Tom Hatton (1,4A), James Keal, Dara McCreary</v>
      </c>
      <c r="AY123" s="8" t="str">
        <f t="shared" si="263"/>
        <v/>
      </c>
      <c r="AZ123" s="8" t="str">
        <f t="shared" si="263"/>
        <v>Felix Bull, Dave Copple, Elliot Fry</v>
      </c>
      <c r="BA123" s="8" t="str">
        <f t="shared" si="263"/>
        <v>Dave Baldwin, Andy Fernando</v>
      </c>
      <c r="BB123" s="8" t="str">
        <f t="shared" si="263"/>
        <v>Andy Booth, Alex Griffiths</v>
      </c>
      <c r="BC123" s="8" t="str">
        <f t="shared" si="263"/>
        <v/>
      </c>
      <c r="BD123" s="8" t="str">
        <f t="shared" si="263"/>
        <v/>
      </c>
      <c r="BE123" s="8" t="str">
        <f t="shared" si="263"/>
        <v/>
      </c>
      <c r="BF123" s="8" t="str">
        <f t="shared" si="263"/>
        <v/>
      </c>
      <c r="BG123" s="8" t="str">
        <f t="shared" si="263"/>
        <v/>
      </c>
      <c r="BH123" s="8" t="str">
        <f t="shared" si="263"/>
        <v/>
      </c>
      <c r="BI123" s="8" t="str">
        <f t="shared" si="263"/>
        <v/>
      </c>
      <c r="BJ123" s="8" t="str">
        <f t="shared" si="263"/>
        <v/>
      </c>
      <c r="BK123" s="8" t="str">
        <f t="shared" ref="BK123:CH123" si="264">IF(BK82="",BK122,IF(BK122="",BK82,BK122&amp;", "&amp;BK82))</f>
        <v/>
      </c>
      <c r="BL123" s="8" t="str">
        <f t="shared" si="264"/>
        <v/>
      </c>
      <c r="BM123" s="8" t="str">
        <f t="shared" si="264"/>
        <v/>
      </c>
      <c r="BN123" s="8" t="str">
        <f t="shared" si="264"/>
        <v/>
      </c>
      <c r="BO123" s="8" t="str">
        <f t="shared" si="264"/>
        <v/>
      </c>
      <c r="BP123" s="8" t="str">
        <f t="shared" si="264"/>
        <v>Felix Bull (1), Dave Copple, Elliot Fry</v>
      </c>
      <c r="BQ123" s="8" t="str">
        <f t="shared" si="264"/>
        <v>Andy Fernando, Alex Griffiths</v>
      </c>
      <c r="BR123" s="8" t="str">
        <f t="shared" si="264"/>
        <v>Tom Hatton</v>
      </c>
      <c r="BS123" s="8" t="str">
        <f t="shared" si="264"/>
        <v/>
      </c>
      <c r="BT123" s="8" t="str">
        <f t="shared" si="264"/>
        <v>Felix Bull, Dave Copple, Elliot Fry, Dara McCreary</v>
      </c>
      <c r="BU123" s="8" t="str">
        <f t="shared" si="264"/>
        <v>Alex Griffiths, James Keal</v>
      </c>
      <c r="BV123" s="8" t="str">
        <f t="shared" si="264"/>
        <v>Tom Hatton (1)</v>
      </c>
      <c r="BW123" s="8" t="str">
        <f t="shared" si="264"/>
        <v/>
      </c>
      <c r="BX123" s="8" t="str">
        <f t="shared" si="264"/>
        <v>Felix Bull, Elliot Fry</v>
      </c>
      <c r="BY123" s="8" t="str">
        <f t="shared" si="264"/>
        <v>Dara McCreary</v>
      </c>
      <c r="BZ123" s="8" t="str">
        <f t="shared" si="264"/>
        <v/>
      </c>
      <c r="CA123" s="8" t="str">
        <f t="shared" si="264"/>
        <v/>
      </c>
      <c r="CB123" s="8" t="str">
        <f t="shared" si="264"/>
        <v>Felix Bull (1), Dara McCreary</v>
      </c>
      <c r="CC123" s="8" t="str">
        <f t="shared" si="264"/>
        <v>Andy Fernando</v>
      </c>
      <c r="CD123" s="8" t="str">
        <f t="shared" si="264"/>
        <v>Tom Hatton</v>
      </c>
      <c r="CE123" s="8" t="str">
        <f t="shared" si="264"/>
        <v/>
      </c>
      <c r="CF123" s="8" t="str">
        <f t="shared" si="264"/>
        <v>Andy Booth, Dara McCreary</v>
      </c>
      <c r="CG123" s="8" t="str">
        <f t="shared" si="264"/>
        <v>Andy Fernando</v>
      </c>
      <c r="CH123" s="8" t="str">
        <f t="shared" si="264"/>
        <v>Alex Griffiths, Tom Hatton</v>
      </c>
      <c r="CI123" s="8" t="str">
        <f t="shared" ref="CI123:CL123" si="265">IF(CI82="",CI122,IF(CI122="",CI82,CI122&amp;", "&amp;CI82))</f>
        <v/>
      </c>
      <c r="CJ123" s="8" t="str">
        <f t="shared" si="265"/>
        <v>Felix Bull, Dave Copple, Elliot Fry</v>
      </c>
      <c r="CK123" s="8" t="str">
        <f t="shared" si="265"/>
        <v>Andy Fernando, James Keal (1), Dara McCreary</v>
      </c>
      <c r="CL123" s="8" t="str">
        <f t="shared" si="265"/>
        <v>Andy Booth</v>
      </c>
    </row>
    <row r="124" spans="5:90" x14ac:dyDescent="0.2">
      <c r="E124" s="8">
        <f t="shared" si="209"/>
        <v>23</v>
      </c>
      <c r="G124" s="8" t="str">
        <f t="shared" ref="G124:BJ124" si="266">IF(G83="",G123,IF(G123="",G83,G123&amp;", "&amp;G83))</f>
        <v>Dan Murphy</v>
      </c>
      <c r="H124" s="8" t="str">
        <f t="shared" si="266"/>
        <v>Andy Booth, Felix Bull</v>
      </c>
      <c r="I124" s="8" t="str">
        <f t="shared" si="266"/>
        <v>Dave Baldwin (2), Andy Fernando, Alex Griffiths, Tom Hatton (5)</v>
      </c>
      <c r="J124" s="8" t="str">
        <f t="shared" si="266"/>
        <v>Justin Baranowski, Darren Novell (1)</v>
      </c>
      <c r="K124" s="8" t="str">
        <f t="shared" si="266"/>
        <v>Dan Murphy</v>
      </c>
      <c r="L124" s="8" t="str">
        <f t="shared" si="266"/>
        <v>Felix Bull, Dara McCreary</v>
      </c>
      <c r="M124" s="8" t="str">
        <f t="shared" si="266"/>
        <v>Dave Baldwin (1), Ben Colville (1), Andy Fernando, Tom Hatton, James Keal</v>
      </c>
      <c r="N124" s="8" t="str">
        <f t="shared" si="266"/>
        <v>Andy Booth</v>
      </c>
      <c r="O124" s="8" t="str">
        <f t="shared" si="266"/>
        <v>Dan Murphy</v>
      </c>
      <c r="P124" s="8" t="str">
        <f t="shared" si="266"/>
        <v>Andy Booth, Felix Bull, Elliot Fry, Dara McCreary</v>
      </c>
      <c r="Q124" s="8" t="str">
        <f t="shared" si="266"/>
        <v>Dave Baldwin, Rob Clark, Andy Fernando, Alex Griffiths, Tom Hatton, James Keal</v>
      </c>
      <c r="R124" s="8" t="str">
        <f t="shared" si="266"/>
        <v>Justin Baranowski, Darren Novell</v>
      </c>
      <c r="S124" s="8" t="str">
        <f t="shared" si="266"/>
        <v>Dan Murphy</v>
      </c>
      <c r="T124" s="8" t="str">
        <f t="shared" si="266"/>
        <v>Andy Booth, Felix Bull, Elliot Fry, Jussi Grut, Dara McCreary</v>
      </c>
      <c r="U124" s="8" t="str">
        <f t="shared" si="266"/>
        <v>Dave Baldwin (1), Rob Clark, Andy Fernando, Alex Griffiths, Tom Hatton, James Keal</v>
      </c>
      <c r="V124" s="8" t="str">
        <f t="shared" si="266"/>
        <v>Justin Baranowski (2), Darren Novell</v>
      </c>
      <c r="W124" s="8" t="str">
        <f t="shared" si="266"/>
        <v/>
      </c>
      <c r="X124" s="8" t="str">
        <f t="shared" si="266"/>
        <v/>
      </c>
      <c r="Y124" s="8" t="str">
        <f t="shared" si="266"/>
        <v/>
      </c>
      <c r="Z124" s="8" t="str">
        <f t="shared" si="266"/>
        <v/>
      </c>
      <c r="AA124" s="8" t="str">
        <f t="shared" si="266"/>
        <v>Dan Murphy</v>
      </c>
      <c r="AB124" s="8" t="str">
        <f t="shared" si="266"/>
        <v>Felix Bull, Elliot Fry</v>
      </c>
      <c r="AC124" s="8" t="str">
        <f t="shared" si="266"/>
        <v>Dave Baldwin (1), Rob Clark, Andy Fernando, Alex Griffiths</v>
      </c>
      <c r="AD124" s="8" t="str">
        <f t="shared" si="266"/>
        <v>Justin Baranowski, Tom Hatton (1), Darren Novell</v>
      </c>
      <c r="AE124" s="8" t="str">
        <f t="shared" si="266"/>
        <v>Dan Murphy</v>
      </c>
      <c r="AF124" s="8" t="str">
        <f t="shared" si="266"/>
        <v>Elliot Fry, Dara McCreary</v>
      </c>
      <c r="AG124" s="8" t="str">
        <f t="shared" si="266"/>
        <v>Dave Baldwin (1), Alex Griffiths, Jussi Grut, James Keal (1)</v>
      </c>
      <c r="AH124" s="8" t="str">
        <f t="shared" si="266"/>
        <v>Justin Baranowski (1), Tom Hatton, Darren Novell (1)</v>
      </c>
      <c r="AI124" s="8" t="e">
        <f t="shared" si="266"/>
        <v>#REF!</v>
      </c>
      <c r="AJ124" s="8" t="e">
        <f t="shared" si="266"/>
        <v>#REF!</v>
      </c>
      <c r="AK124" s="8" t="e">
        <f t="shared" si="266"/>
        <v>#REF!</v>
      </c>
      <c r="AL124" s="8" t="e">
        <f t="shared" si="266"/>
        <v>#REF!</v>
      </c>
      <c r="AM124" s="8" t="str">
        <f t="shared" si="266"/>
        <v/>
      </c>
      <c r="AN124" s="8" t="str">
        <f t="shared" si="266"/>
        <v/>
      </c>
      <c r="AO124" s="8" t="str">
        <f t="shared" si="266"/>
        <v/>
      </c>
      <c r="AP124" s="8" t="str">
        <f t="shared" si="266"/>
        <v/>
      </c>
      <c r="AQ124" s="8" t="str">
        <f t="shared" si="266"/>
        <v>Dan Murphy</v>
      </c>
      <c r="AR124" s="8" t="str">
        <f t="shared" si="266"/>
        <v>Felix Bull, Elliot Fry</v>
      </c>
      <c r="AS124" s="8" t="str">
        <f t="shared" si="266"/>
        <v>Alex Griffiths (1)</v>
      </c>
      <c r="AT124" s="8" t="str">
        <f t="shared" si="266"/>
        <v>Andy Booth, Jussi Grut, Dara McCreary (1)</v>
      </c>
      <c r="AU124" s="8" t="str">
        <f t="shared" si="266"/>
        <v/>
      </c>
      <c r="AV124" s="8" t="str">
        <f t="shared" si="266"/>
        <v>Dave Copple, Elliot Fry</v>
      </c>
      <c r="AW124" s="8" t="str">
        <f t="shared" si="266"/>
        <v>Dave Baldwin, Andy Fernando, Alex Griffiths</v>
      </c>
      <c r="AX124" s="8" t="str">
        <f t="shared" si="266"/>
        <v>Tom Hatton (1,4A), James Keal, Dara McCreary</v>
      </c>
      <c r="AY124" s="8" t="str">
        <f t="shared" si="266"/>
        <v/>
      </c>
      <c r="AZ124" s="8" t="str">
        <f t="shared" si="266"/>
        <v>Felix Bull, Dave Copple, Elliot Fry</v>
      </c>
      <c r="BA124" s="8" t="str">
        <f t="shared" si="266"/>
        <v>Dave Baldwin, Andy Fernando</v>
      </c>
      <c r="BB124" s="8" t="str">
        <f t="shared" si="266"/>
        <v>Andy Booth, Alex Griffiths, Darren Novell</v>
      </c>
      <c r="BC124" s="8" t="str">
        <f t="shared" si="266"/>
        <v/>
      </c>
      <c r="BD124" s="8" t="str">
        <f t="shared" si="266"/>
        <v/>
      </c>
      <c r="BE124" s="8" t="str">
        <f t="shared" si="266"/>
        <v/>
      </c>
      <c r="BF124" s="8" t="str">
        <f t="shared" si="266"/>
        <v/>
      </c>
      <c r="BG124" s="8" t="str">
        <f t="shared" si="266"/>
        <v/>
      </c>
      <c r="BH124" s="8" t="str">
        <f t="shared" si="266"/>
        <v/>
      </c>
      <c r="BI124" s="8" t="str">
        <f t="shared" si="266"/>
        <v/>
      </c>
      <c r="BJ124" s="8" t="str">
        <f t="shared" si="266"/>
        <v/>
      </c>
      <c r="BK124" s="8" t="str">
        <f t="shared" ref="BK124:CH124" si="267">IF(BK83="",BK123,IF(BK123="",BK83,BK123&amp;", "&amp;BK83))</f>
        <v/>
      </c>
      <c r="BL124" s="8" t="str">
        <f t="shared" si="267"/>
        <v/>
      </c>
      <c r="BM124" s="8" t="str">
        <f t="shared" si="267"/>
        <v/>
      </c>
      <c r="BN124" s="8" t="str">
        <f t="shared" si="267"/>
        <v/>
      </c>
      <c r="BO124" s="8" t="str">
        <f t="shared" si="267"/>
        <v/>
      </c>
      <c r="BP124" s="8" t="str">
        <f t="shared" si="267"/>
        <v>Felix Bull (1), Dave Copple, Elliot Fry</v>
      </c>
      <c r="BQ124" s="8" t="str">
        <f t="shared" si="267"/>
        <v>Andy Fernando, Alex Griffiths</v>
      </c>
      <c r="BR124" s="8" t="str">
        <f t="shared" si="267"/>
        <v>Tom Hatton, Darren Novell</v>
      </c>
      <c r="BS124" s="8" t="str">
        <f t="shared" si="267"/>
        <v/>
      </c>
      <c r="BT124" s="8" t="str">
        <f t="shared" si="267"/>
        <v>Felix Bull, Dave Copple, Elliot Fry, Dara McCreary</v>
      </c>
      <c r="BU124" s="8" t="str">
        <f t="shared" si="267"/>
        <v>Alex Griffiths, James Keal</v>
      </c>
      <c r="BV124" s="8" t="str">
        <f t="shared" si="267"/>
        <v>Tom Hatton (1), Darren Novell (1)</v>
      </c>
      <c r="BW124" s="8" t="str">
        <f t="shared" si="267"/>
        <v/>
      </c>
      <c r="BX124" s="8" t="str">
        <f t="shared" si="267"/>
        <v>Felix Bull, Elliot Fry</v>
      </c>
      <c r="BY124" s="8" t="str">
        <f t="shared" si="267"/>
        <v>Dara McCreary</v>
      </c>
      <c r="BZ124" s="8" t="str">
        <f t="shared" si="267"/>
        <v/>
      </c>
      <c r="CA124" s="8" t="str">
        <f t="shared" si="267"/>
        <v/>
      </c>
      <c r="CB124" s="8" t="str">
        <f t="shared" si="267"/>
        <v>Felix Bull (1), Dara McCreary</v>
      </c>
      <c r="CC124" s="8" t="str">
        <f t="shared" si="267"/>
        <v>Andy Fernando</v>
      </c>
      <c r="CD124" s="8" t="str">
        <f t="shared" si="267"/>
        <v>Tom Hatton</v>
      </c>
      <c r="CE124" s="8" t="str">
        <f t="shared" si="267"/>
        <v/>
      </c>
      <c r="CF124" s="8" t="str">
        <f t="shared" si="267"/>
        <v>Andy Booth, Dara McCreary</v>
      </c>
      <c r="CG124" s="8" t="str">
        <f t="shared" si="267"/>
        <v>Andy Fernando</v>
      </c>
      <c r="CH124" s="8" t="str">
        <f t="shared" si="267"/>
        <v>Alex Griffiths, Tom Hatton</v>
      </c>
      <c r="CI124" s="8" t="str">
        <f t="shared" ref="CI124:CL124" si="268">IF(CI83="",CI123,IF(CI123="",CI83,CI123&amp;", "&amp;CI83))</f>
        <v/>
      </c>
      <c r="CJ124" s="8" t="str">
        <f t="shared" si="268"/>
        <v>Felix Bull, Dave Copple, Elliot Fry</v>
      </c>
      <c r="CK124" s="8" t="str">
        <f t="shared" si="268"/>
        <v>Andy Fernando, James Keal (1), Dara McCreary</v>
      </c>
      <c r="CL124" s="8" t="str">
        <f t="shared" si="268"/>
        <v>Andy Booth, Darren Novell</v>
      </c>
    </row>
    <row r="125" spans="5:90" x14ac:dyDescent="0.2">
      <c r="E125" s="8">
        <f t="shared" si="209"/>
        <v>24</v>
      </c>
      <c r="G125" s="8" t="str">
        <f t="shared" ref="G125:BJ125" si="269">IF(G84="",G124,IF(G124="",G84,G124&amp;", "&amp;G84))</f>
        <v>Dan Murphy</v>
      </c>
      <c r="H125" s="8" t="str">
        <f t="shared" si="269"/>
        <v>Andy Booth, Felix Bull</v>
      </c>
      <c r="I125" s="8" t="str">
        <f t="shared" si="269"/>
        <v>Dave Baldwin (2), Andy Fernando, Alex Griffiths, Tom Hatton (5)</v>
      </c>
      <c r="J125" s="8" t="str">
        <f t="shared" si="269"/>
        <v>Justin Baranowski, Darren Novell (1), Matt Payne</v>
      </c>
      <c r="K125" s="8" t="str">
        <f t="shared" si="269"/>
        <v>Dan Murphy</v>
      </c>
      <c r="L125" s="8" t="str">
        <f t="shared" si="269"/>
        <v>Felix Bull, Dara McCreary</v>
      </c>
      <c r="M125" s="8" t="str">
        <f t="shared" si="269"/>
        <v>Dave Baldwin (1), Ben Colville (1), Andy Fernando, Tom Hatton, James Keal</v>
      </c>
      <c r="N125" s="8" t="str">
        <f t="shared" si="269"/>
        <v>Andy Booth</v>
      </c>
      <c r="O125" s="8" t="str">
        <f t="shared" si="269"/>
        <v>Dan Murphy</v>
      </c>
      <c r="P125" s="8" t="str">
        <f t="shared" si="269"/>
        <v>Andy Booth, Felix Bull, Elliot Fry, Dara McCreary</v>
      </c>
      <c r="Q125" s="8" t="str">
        <f t="shared" si="269"/>
        <v>Dave Baldwin, Rob Clark, Andy Fernando, Alex Griffiths, Tom Hatton, James Keal</v>
      </c>
      <c r="R125" s="8" t="str">
        <f t="shared" si="269"/>
        <v>Justin Baranowski, Darren Novell, Matt Payne (2)</v>
      </c>
      <c r="S125" s="8" t="str">
        <f t="shared" si="269"/>
        <v>Dan Murphy</v>
      </c>
      <c r="T125" s="8" t="str">
        <f t="shared" si="269"/>
        <v>Andy Booth, Felix Bull, Elliot Fry, Jussi Grut, Dara McCreary</v>
      </c>
      <c r="U125" s="8" t="str">
        <f t="shared" si="269"/>
        <v>Dave Baldwin (1), Rob Clark, Andy Fernando, Alex Griffiths, Tom Hatton, James Keal</v>
      </c>
      <c r="V125" s="8" t="str">
        <f t="shared" si="269"/>
        <v>Justin Baranowski (2), Darren Novell, Matt Payne (1)</v>
      </c>
      <c r="W125" s="8" t="str">
        <f t="shared" si="269"/>
        <v/>
      </c>
      <c r="X125" s="8" t="str">
        <f t="shared" si="269"/>
        <v/>
      </c>
      <c r="Y125" s="8" t="str">
        <f t="shared" si="269"/>
        <v/>
      </c>
      <c r="Z125" s="8" t="str">
        <f t="shared" si="269"/>
        <v/>
      </c>
      <c r="AA125" s="8" t="str">
        <f t="shared" si="269"/>
        <v>Dan Murphy</v>
      </c>
      <c r="AB125" s="8" t="str">
        <f t="shared" si="269"/>
        <v>Felix Bull, Elliot Fry</v>
      </c>
      <c r="AC125" s="8" t="str">
        <f t="shared" si="269"/>
        <v>Dave Baldwin (1), Rob Clark, Andy Fernando, Alex Griffiths</v>
      </c>
      <c r="AD125" s="8" t="str">
        <f t="shared" si="269"/>
        <v>Justin Baranowski, Tom Hatton (1), Darren Novell</v>
      </c>
      <c r="AE125" s="8" t="str">
        <f t="shared" si="269"/>
        <v>Dan Murphy</v>
      </c>
      <c r="AF125" s="8" t="str">
        <f t="shared" si="269"/>
        <v>Elliot Fry, Dara McCreary</v>
      </c>
      <c r="AG125" s="8" t="str">
        <f t="shared" si="269"/>
        <v>Dave Baldwin (1), Alex Griffiths, Jussi Grut, James Keal (1), Matt Payne (4)</v>
      </c>
      <c r="AH125" s="8" t="str">
        <f t="shared" si="269"/>
        <v>Justin Baranowski (1), Tom Hatton, Darren Novell (1)</v>
      </c>
      <c r="AI125" s="8" t="e">
        <f t="shared" si="269"/>
        <v>#REF!</v>
      </c>
      <c r="AJ125" s="8" t="e">
        <f t="shared" si="269"/>
        <v>#REF!</v>
      </c>
      <c r="AK125" s="8" t="e">
        <f t="shared" si="269"/>
        <v>#REF!</v>
      </c>
      <c r="AL125" s="8" t="e">
        <f t="shared" si="269"/>
        <v>#REF!</v>
      </c>
      <c r="AM125" s="8" t="str">
        <f t="shared" si="269"/>
        <v/>
      </c>
      <c r="AN125" s="8" t="str">
        <f t="shared" si="269"/>
        <v/>
      </c>
      <c r="AO125" s="8" t="str">
        <f t="shared" si="269"/>
        <v/>
      </c>
      <c r="AP125" s="8" t="str">
        <f t="shared" si="269"/>
        <v/>
      </c>
      <c r="AQ125" s="8" t="str">
        <f t="shared" si="269"/>
        <v>Dan Murphy</v>
      </c>
      <c r="AR125" s="8" t="str">
        <f t="shared" si="269"/>
        <v>Felix Bull, Elliot Fry</v>
      </c>
      <c r="AS125" s="8" t="str">
        <f t="shared" si="269"/>
        <v>Alex Griffiths (1)</v>
      </c>
      <c r="AT125" s="8" t="str">
        <f t="shared" si="269"/>
        <v>Andy Booth, Jussi Grut, Dara McCreary (1)</v>
      </c>
      <c r="AU125" s="8" t="str">
        <f t="shared" si="269"/>
        <v/>
      </c>
      <c r="AV125" s="8" t="str">
        <f t="shared" si="269"/>
        <v>Dave Copple, Elliot Fry</v>
      </c>
      <c r="AW125" s="8" t="str">
        <f t="shared" si="269"/>
        <v>Dave Baldwin, Andy Fernando, Alex Griffiths</v>
      </c>
      <c r="AX125" s="8" t="str">
        <f t="shared" si="269"/>
        <v>Tom Hatton (1,4A), James Keal, Dara McCreary</v>
      </c>
      <c r="AY125" s="8" t="str">
        <f t="shared" si="269"/>
        <v/>
      </c>
      <c r="AZ125" s="8" t="str">
        <f t="shared" si="269"/>
        <v>Felix Bull, Dave Copple, Elliot Fry</v>
      </c>
      <c r="BA125" s="8" t="str">
        <f t="shared" si="269"/>
        <v>Dave Baldwin, Andy Fernando</v>
      </c>
      <c r="BB125" s="8" t="str">
        <f t="shared" si="269"/>
        <v>Andy Booth, Alex Griffiths, Darren Novell</v>
      </c>
      <c r="BC125" s="8" t="str">
        <f t="shared" si="269"/>
        <v/>
      </c>
      <c r="BD125" s="8" t="str">
        <f t="shared" si="269"/>
        <v/>
      </c>
      <c r="BE125" s="8" t="str">
        <f t="shared" si="269"/>
        <v/>
      </c>
      <c r="BF125" s="8" t="str">
        <f t="shared" si="269"/>
        <v/>
      </c>
      <c r="BG125" s="8" t="str">
        <f t="shared" si="269"/>
        <v/>
      </c>
      <c r="BH125" s="8" t="str">
        <f t="shared" si="269"/>
        <v/>
      </c>
      <c r="BI125" s="8" t="str">
        <f t="shared" si="269"/>
        <v/>
      </c>
      <c r="BJ125" s="8" t="str">
        <f t="shared" si="269"/>
        <v/>
      </c>
      <c r="BK125" s="8" t="str">
        <f t="shared" ref="BK125:CH125" si="270">IF(BK84="",BK124,IF(BK124="",BK84,BK124&amp;", "&amp;BK84))</f>
        <v/>
      </c>
      <c r="BL125" s="8" t="str">
        <f t="shared" si="270"/>
        <v/>
      </c>
      <c r="BM125" s="8" t="str">
        <f t="shared" si="270"/>
        <v/>
      </c>
      <c r="BN125" s="8" t="str">
        <f t="shared" si="270"/>
        <v/>
      </c>
      <c r="BO125" s="8" t="str">
        <f t="shared" si="270"/>
        <v/>
      </c>
      <c r="BP125" s="8" t="str">
        <f t="shared" si="270"/>
        <v>Felix Bull (1), Dave Copple, Elliot Fry</v>
      </c>
      <c r="BQ125" s="8" t="str">
        <f t="shared" si="270"/>
        <v>Andy Fernando, Alex Griffiths</v>
      </c>
      <c r="BR125" s="8" t="str">
        <f t="shared" si="270"/>
        <v>Tom Hatton, Darren Novell</v>
      </c>
      <c r="BS125" s="8" t="str">
        <f t="shared" si="270"/>
        <v/>
      </c>
      <c r="BT125" s="8" t="str">
        <f t="shared" si="270"/>
        <v>Felix Bull, Dave Copple, Elliot Fry, Dara McCreary</v>
      </c>
      <c r="BU125" s="8" t="str">
        <f t="shared" si="270"/>
        <v>Alex Griffiths, James Keal</v>
      </c>
      <c r="BV125" s="8" t="str">
        <f t="shared" si="270"/>
        <v>Tom Hatton (1), Darren Novell (1)</v>
      </c>
      <c r="BW125" s="8" t="str">
        <f t="shared" si="270"/>
        <v/>
      </c>
      <c r="BX125" s="8" t="str">
        <f t="shared" si="270"/>
        <v>Felix Bull, Elliot Fry</v>
      </c>
      <c r="BY125" s="8" t="str">
        <f t="shared" si="270"/>
        <v>Dara McCreary</v>
      </c>
      <c r="BZ125" s="8" t="str">
        <f t="shared" si="270"/>
        <v/>
      </c>
      <c r="CA125" s="8" t="str">
        <f t="shared" si="270"/>
        <v/>
      </c>
      <c r="CB125" s="8" t="str">
        <f t="shared" si="270"/>
        <v>Felix Bull (1), Dara McCreary</v>
      </c>
      <c r="CC125" s="8" t="str">
        <f t="shared" si="270"/>
        <v>Andy Fernando</v>
      </c>
      <c r="CD125" s="8" t="str">
        <f t="shared" si="270"/>
        <v>Tom Hatton</v>
      </c>
      <c r="CE125" s="8" t="str">
        <f t="shared" si="270"/>
        <v/>
      </c>
      <c r="CF125" s="8" t="str">
        <f t="shared" si="270"/>
        <v>Andy Booth, Dara McCreary</v>
      </c>
      <c r="CG125" s="8" t="str">
        <f t="shared" si="270"/>
        <v>Andy Fernando</v>
      </c>
      <c r="CH125" s="8" t="str">
        <f t="shared" si="270"/>
        <v>Alex Griffiths, Tom Hatton</v>
      </c>
      <c r="CI125" s="8" t="str">
        <f t="shared" ref="CI125:CL125" si="271">IF(CI84="",CI124,IF(CI124="",CI84,CI124&amp;", "&amp;CI84))</f>
        <v/>
      </c>
      <c r="CJ125" s="8" t="str">
        <f t="shared" si="271"/>
        <v>Felix Bull, Dave Copple, Elliot Fry</v>
      </c>
      <c r="CK125" s="8" t="str">
        <f t="shared" si="271"/>
        <v>Andy Fernando, James Keal (1), Dara McCreary</v>
      </c>
      <c r="CL125" s="8" t="str">
        <f t="shared" si="271"/>
        <v>Andy Booth, Darren Novell</v>
      </c>
    </row>
    <row r="126" spans="5:90" x14ac:dyDescent="0.2">
      <c r="E126" s="8">
        <f t="shared" si="209"/>
        <v>25</v>
      </c>
      <c r="G126" s="8" t="str">
        <f t="shared" ref="G126:BJ126" si="272">IF(G85="",G125,IF(G125="",G85,G125&amp;", "&amp;G85))</f>
        <v>Dan Murphy</v>
      </c>
      <c r="H126" s="8" t="str">
        <f t="shared" si="272"/>
        <v>Andy Booth, Felix Bull, Matt Porter</v>
      </c>
      <c r="I126" s="8" t="str">
        <f t="shared" si="272"/>
        <v>Dave Baldwin (2), Andy Fernando, Alex Griffiths, Tom Hatton (5)</v>
      </c>
      <c r="J126" s="8" t="str">
        <f t="shared" si="272"/>
        <v>Justin Baranowski, Darren Novell (1), Matt Payne</v>
      </c>
      <c r="K126" s="8" t="str">
        <f t="shared" si="272"/>
        <v>Dan Murphy</v>
      </c>
      <c r="L126" s="8" t="str">
        <f t="shared" si="272"/>
        <v>Felix Bull, Dara McCreary</v>
      </c>
      <c r="M126" s="8" t="str">
        <f t="shared" si="272"/>
        <v>Dave Baldwin (1), Ben Colville (1), Andy Fernando, Tom Hatton, James Keal</v>
      </c>
      <c r="N126" s="8" t="str">
        <f t="shared" si="272"/>
        <v>Andy Booth</v>
      </c>
      <c r="O126" s="8" t="str">
        <f t="shared" si="272"/>
        <v>Dan Murphy</v>
      </c>
      <c r="P126" s="8" t="str">
        <f t="shared" si="272"/>
        <v>Andy Booth, Felix Bull, Elliot Fry, Dara McCreary, Matt Porter</v>
      </c>
      <c r="Q126" s="8" t="str">
        <f t="shared" si="272"/>
        <v>Dave Baldwin, Rob Clark, Andy Fernando, Alex Griffiths, Tom Hatton, James Keal</v>
      </c>
      <c r="R126" s="8" t="str">
        <f t="shared" si="272"/>
        <v>Justin Baranowski, Darren Novell, Matt Payne (2)</v>
      </c>
      <c r="S126" s="8" t="str">
        <f t="shared" si="272"/>
        <v>Dan Murphy</v>
      </c>
      <c r="T126" s="8" t="str">
        <f t="shared" si="272"/>
        <v>Andy Booth, Felix Bull, Elliot Fry, Jussi Grut, Dara McCreary</v>
      </c>
      <c r="U126" s="8" t="str">
        <f t="shared" si="272"/>
        <v>Dave Baldwin (1), Rob Clark, Andy Fernando, Alex Griffiths, Tom Hatton, James Keal</v>
      </c>
      <c r="V126" s="8" t="str">
        <f t="shared" si="272"/>
        <v>Justin Baranowski (2), Darren Novell, Matt Payne (1)</v>
      </c>
      <c r="W126" s="8" t="str">
        <f t="shared" si="272"/>
        <v/>
      </c>
      <c r="X126" s="8" t="str">
        <f t="shared" si="272"/>
        <v/>
      </c>
      <c r="Y126" s="8" t="str">
        <f t="shared" si="272"/>
        <v/>
      </c>
      <c r="Z126" s="8" t="str">
        <f t="shared" si="272"/>
        <v/>
      </c>
      <c r="AA126" s="8" t="str">
        <f t="shared" si="272"/>
        <v>Dan Murphy</v>
      </c>
      <c r="AB126" s="8" t="str">
        <f t="shared" si="272"/>
        <v>Felix Bull, Elliot Fry</v>
      </c>
      <c r="AC126" s="8" t="str">
        <f t="shared" si="272"/>
        <v>Dave Baldwin (1), Rob Clark, Andy Fernando, Alex Griffiths</v>
      </c>
      <c r="AD126" s="8" t="str">
        <f t="shared" si="272"/>
        <v>Justin Baranowski, Tom Hatton (1), Darren Novell</v>
      </c>
      <c r="AE126" s="8" t="str">
        <f t="shared" si="272"/>
        <v>Dan Murphy</v>
      </c>
      <c r="AF126" s="8" t="str">
        <f t="shared" si="272"/>
        <v>Elliot Fry, Dara McCreary</v>
      </c>
      <c r="AG126" s="8" t="str">
        <f t="shared" si="272"/>
        <v>Dave Baldwin (1), Alex Griffiths, Jussi Grut, James Keal (1), Matt Payne (4)</v>
      </c>
      <c r="AH126" s="8" t="str">
        <f t="shared" si="272"/>
        <v>Justin Baranowski (1), Tom Hatton, Darren Novell (1)</v>
      </c>
      <c r="AI126" s="8" t="e">
        <f t="shared" si="272"/>
        <v>#REF!</v>
      </c>
      <c r="AJ126" s="8" t="e">
        <f t="shared" si="272"/>
        <v>#REF!</v>
      </c>
      <c r="AK126" s="8" t="e">
        <f t="shared" si="272"/>
        <v>#REF!</v>
      </c>
      <c r="AL126" s="8" t="e">
        <f t="shared" si="272"/>
        <v>#REF!</v>
      </c>
      <c r="AM126" s="8" t="str">
        <f t="shared" si="272"/>
        <v/>
      </c>
      <c r="AN126" s="8" t="str">
        <f t="shared" si="272"/>
        <v/>
      </c>
      <c r="AO126" s="8" t="str">
        <f t="shared" si="272"/>
        <v/>
      </c>
      <c r="AP126" s="8" t="str">
        <f t="shared" si="272"/>
        <v/>
      </c>
      <c r="AQ126" s="8" t="str">
        <f t="shared" si="272"/>
        <v>Dan Murphy</v>
      </c>
      <c r="AR126" s="8" t="str">
        <f t="shared" si="272"/>
        <v>Felix Bull, Elliot Fry</v>
      </c>
      <c r="AS126" s="8" t="str">
        <f t="shared" si="272"/>
        <v>Alex Griffiths (1)</v>
      </c>
      <c r="AT126" s="8" t="str">
        <f t="shared" si="272"/>
        <v>Andy Booth, Jussi Grut, Dara McCreary (1)</v>
      </c>
      <c r="AU126" s="8" t="str">
        <f t="shared" si="272"/>
        <v/>
      </c>
      <c r="AV126" s="8" t="str">
        <f t="shared" si="272"/>
        <v>Dave Copple, Elliot Fry</v>
      </c>
      <c r="AW126" s="8" t="str">
        <f t="shared" si="272"/>
        <v>Dave Baldwin, Andy Fernando, Alex Griffiths</v>
      </c>
      <c r="AX126" s="8" t="str">
        <f t="shared" si="272"/>
        <v>Tom Hatton (1,4A), James Keal, Dara McCreary</v>
      </c>
      <c r="AY126" s="8" t="str">
        <f t="shared" si="272"/>
        <v/>
      </c>
      <c r="AZ126" s="8" t="str">
        <f t="shared" si="272"/>
        <v>Felix Bull, Dave Copple, Elliot Fry</v>
      </c>
      <c r="BA126" s="8" t="str">
        <f t="shared" si="272"/>
        <v>Dave Baldwin, Andy Fernando</v>
      </c>
      <c r="BB126" s="8" t="str">
        <f t="shared" si="272"/>
        <v>Andy Booth, Alex Griffiths, Darren Novell</v>
      </c>
      <c r="BC126" s="8" t="str">
        <f t="shared" si="272"/>
        <v/>
      </c>
      <c r="BD126" s="8" t="str">
        <f t="shared" si="272"/>
        <v/>
      </c>
      <c r="BE126" s="8" t="str">
        <f t="shared" si="272"/>
        <v/>
      </c>
      <c r="BF126" s="8" t="str">
        <f t="shared" si="272"/>
        <v/>
      </c>
      <c r="BG126" s="8" t="str">
        <f t="shared" si="272"/>
        <v/>
      </c>
      <c r="BH126" s="8" t="str">
        <f t="shared" si="272"/>
        <v/>
      </c>
      <c r="BI126" s="8" t="str">
        <f t="shared" si="272"/>
        <v/>
      </c>
      <c r="BJ126" s="8" t="str">
        <f t="shared" si="272"/>
        <v/>
      </c>
      <c r="BK126" s="8" t="str">
        <f t="shared" ref="BK126:CH126" si="273">IF(BK85="",BK125,IF(BK125="",BK85,BK125&amp;", "&amp;BK85))</f>
        <v/>
      </c>
      <c r="BL126" s="8" t="str">
        <f t="shared" si="273"/>
        <v/>
      </c>
      <c r="BM126" s="8" t="str">
        <f t="shared" si="273"/>
        <v/>
      </c>
      <c r="BN126" s="8" t="str">
        <f t="shared" si="273"/>
        <v/>
      </c>
      <c r="BO126" s="8" t="str">
        <f t="shared" si="273"/>
        <v/>
      </c>
      <c r="BP126" s="8" t="str">
        <f t="shared" si="273"/>
        <v>Felix Bull (1), Dave Copple, Elliot Fry</v>
      </c>
      <c r="BQ126" s="8" t="str">
        <f t="shared" si="273"/>
        <v>Andy Fernando, Alex Griffiths</v>
      </c>
      <c r="BR126" s="8" t="str">
        <f t="shared" si="273"/>
        <v>Tom Hatton, Darren Novell</v>
      </c>
      <c r="BS126" s="8" t="str">
        <f t="shared" si="273"/>
        <v/>
      </c>
      <c r="BT126" s="8" t="str">
        <f t="shared" si="273"/>
        <v>Felix Bull, Dave Copple, Elliot Fry, Dara McCreary</v>
      </c>
      <c r="BU126" s="8" t="str">
        <f t="shared" si="273"/>
        <v>Alex Griffiths, James Keal</v>
      </c>
      <c r="BV126" s="8" t="str">
        <f t="shared" si="273"/>
        <v>Tom Hatton (1), Darren Novell (1)</v>
      </c>
      <c r="BW126" s="8" t="str">
        <f t="shared" si="273"/>
        <v/>
      </c>
      <c r="BX126" s="8" t="str">
        <f t="shared" si="273"/>
        <v>Felix Bull, Elliot Fry, Matt Porter</v>
      </c>
      <c r="BY126" s="8" t="str">
        <f t="shared" si="273"/>
        <v>Dara McCreary</v>
      </c>
      <c r="BZ126" s="8" t="str">
        <f t="shared" si="273"/>
        <v/>
      </c>
      <c r="CA126" s="8" t="str">
        <f t="shared" si="273"/>
        <v/>
      </c>
      <c r="CB126" s="8" t="str">
        <f t="shared" si="273"/>
        <v>Felix Bull (1), Dara McCreary, Matt Porter</v>
      </c>
      <c r="CC126" s="8" t="str">
        <f t="shared" si="273"/>
        <v>Andy Fernando</v>
      </c>
      <c r="CD126" s="8" t="str">
        <f t="shared" si="273"/>
        <v>Tom Hatton</v>
      </c>
      <c r="CE126" s="8" t="str">
        <f t="shared" si="273"/>
        <v/>
      </c>
      <c r="CF126" s="8" t="str">
        <f t="shared" si="273"/>
        <v>Andy Booth, Dara McCreary</v>
      </c>
      <c r="CG126" s="8" t="str">
        <f t="shared" si="273"/>
        <v>Andy Fernando</v>
      </c>
      <c r="CH126" s="8" t="str">
        <f t="shared" si="273"/>
        <v>Alex Griffiths, Tom Hatton</v>
      </c>
      <c r="CI126" s="8" t="str">
        <f t="shared" ref="CI126:CL126" si="274">IF(CI85="",CI125,IF(CI125="",CI85,CI125&amp;", "&amp;CI85))</f>
        <v/>
      </c>
      <c r="CJ126" s="8" t="str">
        <f t="shared" si="274"/>
        <v>Felix Bull, Dave Copple, Elliot Fry</v>
      </c>
      <c r="CK126" s="8" t="str">
        <f t="shared" si="274"/>
        <v>Andy Fernando, James Keal (1), Dara McCreary</v>
      </c>
      <c r="CL126" s="8" t="str">
        <f t="shared" si="274"/>
        <v>Andy Booth, Darren Novell</v>
      </c>
    </row>
    <row r="127" spans="5:90" x14ac:dyDescent="0.2">
      <c r="E127" s="8">
        <f t="shared" si="209"/>
        <v>26</v>
      </c>
      <c r="G127" s="8" t="str">
        <f t="shared" ref="G127:BJ127" si="275">IF(G86="",G126,IF(G126="",G86,G126&amp;", "&amp;G86))</f>
        <v>Dan Murphy</v>
      </c>
      <c r="H127" s="8" t="str">
        <f t="shared" si="275"/>
        <v>Andy Booth, Felix Bull, Matt Porter</v>
      </c>
      <c r="I127" s="8" t="str">
        <f t="shared" si="275"/>
        <v>Dave Baldwin (2), Andy Fernando, Alex Griffiths, Tom Hatton (5)</v>
      </c>
      <c r="J127" s="8" t="str">
        <f t="shared" si="275"/>
        <v>Justin Baranowski, Darren Novell (1), Matt Payne</v>
      </c>
      <c r="K127" s="8" t="str">
        <f t="shared" si="275"/>
        <v>Dan Murphy</v>
      </c>
      <c r="L127" s="8" t="str">
        <f t="shared" si="275"/>
        <v>Felix Bull, Dara McCreary</v>
      </c>
      <c r="M127" s="8" t="str">
        <f t="shared" si="275"/>
        <v>Dave Baldwin (1), Ben Colville (1), Andy Fernando, Tom Hatton, James Keal</v>
      </c>
      <c r="N127" s="8" t="str">
        <f t="shared" si="275"/>
        <v>Andy Booth</v>
      </c>
      <c r="O127" s="8" t="str">
        <f t="shared" si="275"/>
        <v>Dan Murphy</v>
      </c>
      <c r="P127" s="8" t="str">
        <f t="shared" si="275"/>
        <v>Andy Booth, Felix Bull, Elliot Fry, Dara McCreary, Matt Porter</v>
      </c>
      <c r="Q127" s="8" t="str">
        <f t="shared" si="275"/>
        <v>Dave Baldwin, Rob Clark, Andy Fernando, Alex Griffiths, Tom Hatton, James Keal</v>
      </c>
      <c r="R127" s="8" t="str">
        <f t="shared" si="275"/>
        <v>Justin Baranowski, Darren Novell, Matt Payne (2)</v>
      </c>
      <c r="S127" s="8" t="str">
        <f t="shared" si="275"/>
        <v>Dan Murphy</v>
      </c>
      <c r="T127" s="8" t="str">
        <f t="shared" si="275"/>
        <v>Andy Booth, Felix Bull, Elliot Fry, Jussi Grut, Dara McCreary</v>
      </c>
      <c r="U127" s="8" t="str">
        <f t="shared" si="275"/>
        <v>Dave Baldwin (1), Rob Clark, Andy Fernando, Alex Griffiths, Tom Hatton, James Keal</v>
      </c>
      <c r="V127" s="8" t="str">
        <f t="shared" si="275"/>
        <v>Justin Baranowski (2), Darren Novell, Matt Payne (1)</v>
      </c>
      <c r="W127" s="8" t="str">
        <f t="shared" si="275"/>
        <v/>
      </c>
      <c r="X127" s="8" t="str">
        <f t="shared" si="275"/>
        <v/>
      </c>
      <c r="Y127" s="8" t="str">
        <f t="shared" si="275"/>
        <v/>
      </c>
      <c r="Z127" s="8" t="str">
        <f t="shared" si="275"/>
        <v/>
      </c>
      <c r="AA127" s="8" t="str">
        <f t="shared" si="275"/>
        <v>Dan Murphy</v>
      </c>
      <c r="AB127" s="8" t="str">
        <f t="shared" si="275"/>
        <v>Felix Bull, Elliot Fry</v>
      </c>
      <c r="AC127" s="8" t="str">
        <f t="shared" si="275"/>
        <v>Dave Baldwin (1), Rob Clark, Andy Fernando, Alex Griffiths</v>
      </c>
      <c r="AD127" s="8" t="str">
        <f t="shared" si="275"/>
        <v>Justin Baranowski, Tom Hatton (1), Darren Novell</v>
      </c>
      <c r="AE127" s="8" t="str">
        <f t="shared" si="275"/>
        <v>Dan Murphy</v>
      </c>
      <c r="AF127" s="8" t="str">
        <f t="shared" si="275"/>
        <v>Elliot Fry, Dara McCreary</v>
      </c>
      <c r="AG127" s="8" t="str">
        <f t="shared" si="275"/>
        <v>Dave Baldwin (1), Alex Griffiths, Jussi Grut, James Keal (1), Matt Payne (4)</v>
      </c>
      <c r="AH127" s="8" t="str">
        <f t="shared" si="275"/>
        <v>Justin Baranowski (1), Tom Hatton, Darren Novell (1)</v>
      </c>
      <c r="AI127" s="8" t="e">
        <f t="shared" si="275"/>
        <v>#REF!</v>
      </c>
      <c r="AJ127" s="8" t="e">
        <f t="shared" si="275"/>
        <v>#REF!</v>
      </c>
      <c r="AK127" s="8" t="e">
        <f t="shared" si="275"/>
        <v>#REF!</v>
      </c>
      <c r="AL127" s="8" t="e">
        <f t="shared" si="275"/>
        <v>#REF!</v>
      </c>
      <c r="AM127" s="8" t="str">
        <f t="shared" si="275"/>
        <v/>
      </c>
      <c r="AN127" s="8" t="str">
        <f t="shared" si="275"/>
        <v/>
      </c>
      <c r="AO127" s="8" t="str">
        <f t="shared" si="275"/>
        <v/>
      </c>
      <c r="AP127" s="8" t="str">
        <f t="shared" si="275"/>
        <v/>
      </c>
      <c r="AQ127" s="8" t="str">
        <f t="shared" si="275"/>
        <v>Dan Murphy</v>
      </c>
      <c r="AR127" s="8" t="str">
        <f t="shared" si="275"/>
        <v>Felix Bull, Elliot Fry</v>
      </c>
      <c r="AS127" s="8" t="str">
        <f t="shared" si="275"/>
        <v>Alex Griffiths (1)</v>
      </c>
      <c r="AT127" s="8" t="str">
        <f t="shared" si="275"/>
        <v>Andy Booth, Jussi Grut, Dara McCreary (1)</v>
      </c>
      <c r="AU127" s="8" t="str">
        <f t="shared" si="275"/>
        <v>Eliot Pugh</v>
      </c>
      <c r="AV127" s="8" t="str">
        <f t="shared" si="275"/>
        <v>Dave Copple, Elliot Fry</v>
      </c>
      <c r="AW127" s="8" t="str">
        <f t="shared" si="275"/>
        <v>Dave Baldwin, Andy Fernando, Alex Griffiths</v>
      </c>
      <c r="AX127" s="8" t="str">
        <f t="shared" si="275"/>
        <v>Tom Hatton (1,4A), James Keal, Dara McCreary</v>
      </c>
      <c r="AY127" s="8" t="str">
        <f t="shared" si="275"/>
        <v>Eliot Pugh</v>
      </c>
      <c r="AZ127" s="8" t="str">
        <f t="shared" si="275"/>
        <v>Felix Bull, Dave Copple, Elliot Fry</v>
      </c>
      <c r="BA127" s="8" t="str">
        <f t="shared" si="275"/>
        <v>Dave Baldwin, Andy Fernando</v>
      </c>
      <c r="BB127" s="8" t="str">
        <f t="shared" si="275"/>
        <v>Andy Booth, Alex Griffiths, Darren Novell</v>
      </c>
      <c r="BC127" s="8" t="str">
        <f t="shared" si="275"/>
        <v/>
      </c>
      <c r="BD127" s="8" t="str">
        <f t="shared" si="275"/>
        <v/>
      </c>
      <c r="BE127" s="8" t="str">
        <f t="shared" si="275"/>
        <v/>
      </c>
      <c r="BF127" s="8" t="str">
        <f t="shared" si="275"/>
        <v/>
      </c>
      <c r="BG127" s="8" t="str">
        <f t="shared" si="275"/>
        <v/>
      </c>
      <c r="BH127" s="8" t="str">
        <f t="shared" si="275"/>
        <v/>
      </c>
      <c r="BI127" s="8" t="str">
        <f t="shared" si="275"/>
        <v/>
      </c>
      <c r="BJ127" s="8" t="str">
        <f t="shared" si="275"/>
        <v/>
      </c>
      <c r="BK127" s="8" t="str">
        <f t="shared" ref="BK127:CH127" si="276">IF(BK86="",BK126,IF(BK126="",BK86,BK126&amp;", "&amp;BK86))</f>
        <v/>
      </c>
      <c r="BL127" s="8" t="str">
        <f t="shared" si="276"/>
        <v/>
      </c>
      <c r="BM127" s="8" t="str">
        <f t="shared" si="276"/>
        <v/>
      </c>
      <c r="BN127" s="8" t="str">
        <f t="shared" si="276"/>
        <v/>
      </c>
      <c r="BO127" s="8" t="str">
        <f t="shared" si="276"/>
        <v>Eliot Pugh</v>
      </c>
      <c r="BP127" s="8" t="str">
        <f t="shared" si="276"/>
        <v>Felix Bull (1), Dave Copple, Elliot Fry</v>
      </c>
      <c r="BQ127" s="8" t="str">
        <f t="shared" si="276"/>
        <v>Andy Fernando, Alex Griffiths</v>
      </c>
      <c r="BR127" s="8" t="str">
        <f t="shared" si="276"/>
        <v>Tom Hatton, Darren Novell</v>
      </c>
      <c r="BS127" s="8" t="str">
        <f t="shared" si="276"/>
        <v>Eliot Pugh</v>
      </c>
      <c r="BT127" s="8" t="str">
        <f t="shared" si="276"/>
        <v>Felix Bull, Dave Copple, Elliot Fry, Dara McCreary</v>
      </c>
      <c r="BU127" s="8" t="str">
        <f t="shared" si="276"/>
        <v>Alex Griffiths, James Keal</v>
      </c>
      <c r="BV127" s="8" t="str">
        <f t="shared" si="276"/>
        <v>Tom Hatton (1), Darren Novell (1)</v>
      </c>
      <c r="BW127" s="8" t="str">
        <f t="shared" si="276"/>
        <v>Eliot Pugh</v>
      </c>
      <c r="BX127" s="8" t="str">
        <f t="shared" si="276"/>
        <v>Felix Bull, Elliot Fry, Matt Porter</v>
      </c>
      <c r="BY127" s="8" t="str">
        <f t="shared" si="276"/>
        <v>Dara McCreary</v>
      </c>
      <c r="BZ127" s="8" t="str">
        <f t="shared" si="276"/>
        <v/>
      </c>
      <c r="CA127" s="8" t="str">
        <f t="shared" si="276"/>
        <v>Eliot Pugh</v>
      </c>
      <c r="CB127" s="8" t="str">
        <f t="shared" si="276"/>
        <v>Felix Bull (1), Dara McCreary, Matt Porter</v>
      </c>
      <c r="CC127" s="8" t="str">
        <f t="shared" si="276"/>
        <v>Andy Fernando</v>
      </c>
      <c r="CD127" s="8" t="str">
        <f t="shared" si="276"/>
        <v>Tom Hatton</v>
      </c>
      <c r="CE127" s="8" t="str">
        <f t="shared" si="276"/>
        <v>Eliot Pugh</v>
      </c>
      <c r="CF127" s="8" t="str">
        <f t="shared" si="276"/>
        <v>Andy Booth, Dara McCreary</v>
      </c>
      <c r="CG127" s="8" t="str">
        <f t="shared" si="276"/>
        <v>Andy Fernando</v>
      </c>
      <c r="CH127" s="8" t="str">
        <f t="shared" si="276"/>
        <v>Alex Griffiths, Tom Hatton</v>
      </c>
      <c r="CI127" s="8" t="str">
        <f t="shared" ref="CI127:CL127" si="277">IF(CI86="",CI126,IF(CI126="",CI86,CI126&amp;", "&amp;CI86))</f>
        <v>Eliot Pugh</v>
      </c>
      <c r="CJ127" s="8" t="str">
        <f t="shared" si="277"/>
        <v>Felix Bull, Dave Copple, Elliot Fry</v>
      </c>
      <c r="CK127" s="8" t="str">
        <f t="shared" si="277"/>
        <v>Andy Fernando, James Keal (1), Dara McCreary</v>
      </c>
      <c r="CL127" s="8" t="str">
        <f t="shared" si="277"/>
        <v>Andy Booth, Darren Novell</v>
      </c>
    </row>
    <row r="128" spans="5:90" x14ac:dyDescent="0.2">
      <c r="E128" s="8">
        <f t="shared" si="209"/>
        <v>27</v>
      </c>
      <c r="G128" s="8" t="str">
        <f t="shared" ref="G128:BJ128" si="278">IF(G87="",G127,IF(G127="",G87,G127&amp;", "&amp;G87))</f>
        <v>Dan Murphy</v>
      </c>
      <c r="H128" s="8" t="str">
        <f t="shared" si="278"/>
        <v>Andy Booth, Felix Bull, Matt Porter, Dave Slaughter</v>
      </c>
      <c r="I128" s="8" t="str">
        <f t="shared" si="278"/>
        <v>Dave Baldwin (2), Andy Fernando, Alex Griffiths, Tom Hatton (5)</v>
      </c>
      <c r="J128" s="8" t="str">
        <f t="shared" si="278"/>
        <v>Justin Baranowski, Darren Novell (1), Matt Payne</v>
      </c>
      <c r="K128" s="8" t="str">
        <f t="shared" si="278"/>
        <v>Dan Murphy</v>
      </c>
      <c r="L128" s="8" t="str">
        <f t="shared" si="278"/>
        <v>Felix Bull, Dara McCreary, Dave Slaughter</v>
      </c>
      <c r="M128" s="8" t="str">
        <f t="shared" si="278"/>
        <v>Dave Baldwin (1), Ben Colville (1), Andy Fernando, Tom Hatton, James Keal</v>
      </c>
      <c r="N128" s="8" t="str">
        <f t="shared" si="278"/>
        <v>Andy Booth</v>
      </c>
      <c r="O128" s="8" t="str">
        <f t="shared" si="278"/>
        <v>Dan Murphy</v>
      </c>
      <c r="P128" s="8" t="str">
        <f t="shared" si="278"/>
        <v>Andy Booth, Felix Bull, Elliot Fry, Dara McCreary, Matt Porter</v>
      </c>
      <c r="Q128" s="8" t="str">
        <f t="shared" si="278"/>
        <v>Dave Baldwin, Rob Clark, Andy Fernando, Alex Griffiths, Tom Hatton, James Keal</v>
      </c>
      <c r="R128" s="8" t="str">
        <f t="shared" si="278"/>
        <v>Justin Baranowski, Darren Novell, Matt Payne (2)</v>
      </c>
      <c r="S128" s="8" t="str">
        <f t="shared" si="278"/>
        <v>Dan Murphy</v>
      </c>
      <c r="T128" s="8" t="str">
        <f t="shared" si="278"/>
        <v>Andy Booth, Felix Bull, Elliot Fry, Jussi Grut, Dara McCreary</v>
      </c>
      <c r="U128" s="8" t="str">
        <f t="shared" si="278"/>
        <v>Dave Baldwin (1), Rob Clark, Andy Fernando, Alex Griffiths, Tom Hatton, James Keal</v>
      </c>
      <c r="V128" s="8" t="str">
        <f t="shared" si="278"/>
        <v>Justin Baranowski (2), Darren Novell, Matt Payne (1)</v>
      </c>
      <c r="W128" s="8" t="str">
        <f t="shared" si="278"/>
        <v/>
      </c>
      <c r="X128" s="8" t="str">
        <f t="shared" si="278"/>
        <v/>
      </c>
      <c r="Y128" s="8" t="str">
        <f t="shared" si="278"/>
        <v/>
      </c>
      <c r="Z128" s="8" t="str">
        <f t="shared" si="278"/>
        <v/>
      </c>
      <c r="AA128" s="8" t="str">
        <f t="shared" si="278"/>
        <v>Dan Murphy</v>
      </c>
      <c r="AB128" s="8" t="str">
        <f t="shared" si="278"/>
        <v>Felix Bull, Elliot Fry, Dave Slaughter</v>
      </c>
      <c r="AC128" s="8" t="str">
        <f t="shared" si="278"/>
        <v>Dave Baldwin (1), Rob Clark, Andy Fernando, Alex Griffiths</v>
      </c>
      <c r="AD128" s="8" t="str">
        <f t="shared" si="278"/>
        <v>Justin Baranowski, Tom Hatton (1), Darren Novell</v>
      </c>
      <c r="AE128" s="8" t="str">
        <f t="shared" si="278"/>
        <v>Dan Murphy</v>
      </c>
      <c r="AF128" s="8" t="str">
        <f t="shared" si="278"/>
        <v>Elliot Fry, Dara McCreary, Dave Slaughter</v>
      </c>
      <c r="AG128" s="8" t="str">
        <f t="shared" si="278"/>
        <v>Dave Baldwin (1), Alex Griffiths, Jussi Grut, James Keal (1), Matt Payne (4)</v>
      </c>
      <c r="AH128" s="8" t="str">
        <f t="shared" si="278"/>
        <v>Justin Baranowski (1), Tom Hatton, Darren Novell (1)</v>
      </c>
      <c r="AI128" s="8" t="e">
        <f t="shared" si="278"/>
        <v>#REF!</v>
      </c>
      <c r="AJ128" s="8" t="e">
        <f t="shared" si="278"/>
        <v>#REF!</v>
      </c>
      <c r="AK128" s="8" t="e">
        <f t="shared" si="278"/>
        <v>#REF!</v>
      </c>
      <c r="AL128" s="8" t="e">
        <f t="shared" si="278"/>
        <v>#REF!</v>
      </c>
      <c r="AM128" s="8" t="str">
        <f t="shared" si="278"/>
        <v/>
      </c>
      <c r="AN128" s="8" t="str">
        <f t="shared" si="278"/>
        <v/>
      </c>
      <c r="AO128" s="8" t="str">
        <f t="shared" si="278"/>
        <v/>
      </c>
      <c r="AP128" s="8" t="str">
        <f t="shared" si="278"/>
        <v/>
      </c>
      <c r="AQ128" s="8" t="str">
        <f t="shared" si="278"/>
        <v>Dan Murphy</v>
      </c>
      <c r="AR128" s="8" t="str">
        <f t="shared" si="278"/>
        <v>Felix Bull, Elliot Fry, Dave Slaughter</v>
      </c>
      <c r="AS128" s="8" t="str">
        <f t="shared" si="278"/>
        <v>Alex Griffiths (1)</v>
      </c>
      <c r="AT128" s="8" t="str">
        <f t="shared" si="278"/>
        <v>Andy Booth, Jussi Grut, Dara McCreary (1)</v>
      </c>
      <c r="AU128" s="8" t="str">
        <f t="shared" si="278"/>
        <v>Eliot Pugh</v>
      </c>
      <c r="AV128" s="8" t="str">
        <f t="shared" si="278"/>
        <v>Dave Copple, Elliot Fry</v>
      </c>
      <c r="AW128" s="8" t="str">
        <f t="shared" si="278"/>
        <v>Dave Baldwin, Andy Fernando, Alex Griffiths</v>
      </c>
      <c r="AX128" s="8" t="str">
        <f t="shared" si="278"/>
        <v>Tom Hatton (1,4A), James Keal, Dara McCreary</v>
      </c>
      <c r="AY128" s="8" t="str">
        <f t="shared" si="278"/>
        <v>Eliot Pugh</v>
      </c>
      <c r="AZ128" s="8" t="str">
        <f t="shared" si="278"/>
        <v>Felix Bull, Dave Copple, Elliot Fry</v>
      </c>
      <c r="BA128" s="8" t="str">
        <f t="shared" si="278"/>
        <v>Dave Baldwin, Andy Fernando</v>
      </c>
      <c r="BB128" s="8" t="str">
        <f t="shared" si="278"/>
        <v>Andy Booth, Alex Griffiths, Darren Novell</v>
      </c>
      <c r="BC128" s="8" t="str">
        <f t="shared" si="278"/>
        <v/>
      </c>
      <c r="BD128" s="8" t="str">
        <f t="shared" si="278"/>
        <v/>
      </c>
      <c r="BE128" s="8" t="str">
        <f t="shared" si="278"/>
        <v/>
      </c>
      <c r="BF128" s="8" t="str">
        <f t="shared" si="278"/>
        <v/>
      </c>
      <c r="BG128" s="8" t="str">
        <f t="shared" si="278"/>
        <v/>
      </c>
      <c r="BH128" s="8" t="str">
        <f t="shared" si="278"/>
        <v/>
      </c>
      <c r="BI128" s="8" t="str">
        <f t="shared" si="278"/>
        <v/>
      </c>
      <c r="BJ128" s="8" t="str">
        <f t="shared" si="278"/>
        <v/>
      </c>
      <c r="BK128" s="8" t="str">
        <f t="shared" ref="BK128:CH128" si="279">IF(BK87="",BK127,IF(BK127="",BK87,BK127&amp;", "&amp;BK87))</f>
        <v/>
      </c>
      <c r="BL128" s="8" t="str">
        <f t="shared" si="279"/>
        <v/>
      </c>
      <c r="BM128" s="8" t="str">
        <f t="shared" si="279"/>
        <v/>
      </c>
      <c r="BN128" s="8" t="str">
        <f t="shared" si="279"/>
        <v/>
      </c>
      <c r="BO128" s="8" t="str">
        <f t="shared" si="279"/>
        <v>Eliot Pugh</v>
      </c>
      <c r="BP128" s="8" t="str">
        <f t="shared" si="279"/>
        <v>Felix Bull (1), Dave Copple, Elliot Fry</v>
      </c>
      <c r="BQ128" s="8" t="str">
        <f t="shared" si="279"/>
        <v>Andy Fernando, Alex Griffiths</v>
      </c>
      <c r="BR128" s="8" t="str">
        <f t="shared" si="279"/>
        <v>Tom Hatton, Darren Novell, Dave Slaughter</v>
      </c>
      <c r="BS128" s="8" t="str">
        <f t="shared" si="279"/>
        <v>Eliot Pugh</v>
      </c>
      <c r="BT128" s="8" t="str">
        <f t="shared" si="279"/>
        <v>Felix Bull, Dave Copple, Elliot Fry, Dara McCreary</v>
      </c>
      <c r="BU128" s="8" t="str">
        <f t="shared" si="279"/>
        <v>Alex Griffiths, James Keal</v>
      </c>
      <c r="BV128" s="8" t="str">
        <f t="shared" si="279"/>
        <v>Tom Hatton (1), Darren Novell (1), Dave Slaughter (1)</v>
      </c>
      <c r="BW128" s="8" t="str">
        <f t="shared" si="279"/>
        <v>Eliot Pugh</v>
      </c>
      <c r="BX128" s="8" t="str">
        <f t="shared" si="279"/>
        <v>Felix Bull, Elliot Fry, Matt Porter</v>
      </c>
      <c r="BY128" s="8" t="str">
        <f t="shared" si="279"/>
        <v>Dara McCreary</v>
      </c>
      <c r="BZ128" s="8" t="str">
        <f t="shared" si="279"/>
        <v>Dave Slaughter</v>
      </c>
      <c r="CA128" s="8" t="str">
        <f t="shared" si="279"/>
        <v>Eliot Pugh</v>
      </c>
      <c r="CB128" s="8" t="str">
        <f t="shared" si="279"/>
        <v>Felix Bull (1), Dara McCreary, Matt Porter</v>
      </c>
      <c r="CC128" s="8" t="str">
        <f t="shared" si="279"/>
        <v>Andy Fernando</v>
      </c>
      <c r="CD128" s="8" t="str">
        <f t="shared" si="279"/>
        <v>Tom Hatton, Dave Slaughter</v>
      </c>
      <c r="CE128" s="8" t="str">
        <f t="shared" si="279"/>
        <v>Eliot Pugh</v>
      </c>
      <c r="CF128" s="8" t="str">
        <f t="shared" si="279"/>
        <v>Andy Booth, Dara McCreary</v>
      </c>
      <c r="CG128" s="8" t="str">
        <f t="shared" si="279"/>
        <v>Andy Fernando</v>
      </c>
      <c r="CH128" s="8" t="str">
        <f t="shared" si="279"/>
        <v>Alex Griffiths, Tom Hatton, Dave Slaughter</v>
      </c>
      <c r="CI128" s="8" t="str">
        <f t="shared" ref="CI128:CL128" si="280">IF(CI87="",CI127,IF(CI127="",CI87,CI127&amp;", "&amp;CI87))</f>
        <v>Eliot Pugh</v>
      </c>
      <c r="CJ128" s="8" t="str">
        <f t="shared" si="280"/>
        <v>Felix Bull, Dave Copple, Elliot Fry</v>
      </c>
      <c r="CK128" s="8" t="str">
        <f t="shared" si="280"/>
        <v>Andy Fernando, James Keal (1), Dara McCreary</v>
      </c>
      <c r="CL128" s="8" t="str">
        <f t="shared" si="280"/>
        <v>Andy Booth, Darren Novell, Dave Slaughter</v>
      </c>
    </row>
    <row r="129" spans="3:90" x14ac:dyDescent="0.2">
      <c r="E129" s="8">
        <f t="shared" si="209"/>
        <v>28</v>
      </c>
      <c r="G129" s="8" t="str">
        <f t="shared" ref="G129:BJ129" si="281">IF(G88="",G128,IF(G128="",G88,G128&amp;", "&amp;G88))</f>
        <v>Dan Murphy</v>
      </c>
      <c r="H129" s="8" t="str">
        <f t="shared" si="281"/>
        <v>Andy Booth, Felix Bull, Matt Porter, Dave Slaughter</v>
      </c>
      <c r="I129" s="8" t="str">
        <f t="shared" si="281"/>
        <v>Dave Baldwin (2), Andy Fernando, Alex Griffiths, Tom Hatton (5)</v>
      </c>
      <c r="J129" s="8" t="str">
        <f t="shared" si="281"/>
        <v>Justin Baranowski, Darren Novell (1), Matt Payne</v>
      </c>
      <c r="K129" s="8" t="str">
        <f t="shared" si="281"/>
        <v>Dan Murphy</v>
      </c>
      <c r="L129" s="8" t="str">
        <f t="shared" si="281"/>
        <v>Felix Bull, Dara McCreary, Dave Slaughter</v>
      </c>
      <c r="M129" s="8" t="str">
        <f t="shared" si="281"/>
        <v>Dave Baldwin (1), Ben Colville (1), Andy Fernando, Tom Hatton, James Keal</v>
      </c>
      <c r="N129" s="8" t="str">
        <f t="shared" si="281"/>
        <v>Andy Booth</v>
      </c>
      <c r="O129" s="8" t="str">
        <f t="shared" si="281"/>
        <v>Dan Murphy</v>
      </c>
      <c r="P129" s="8" t="str">
        <f t="shared" si="281"/>
        <v>Andy Booth, Felix Bull, Elliot Fry, Dara McCreary, Matt Porter</v>
      </c>
      <c r="Q129" s="8" t="str">
        <f t="shared" si="281"/>
        <v>Dave Baldwin, Rob Clark, Andy Fernando, Alex Griffiths, Tom Hatton, James Keal, Chase Stuart</v>
      </c>
      <c r="R129" s="8" t="str">
        <f t="shared" si="281"/>
        <v>Justin Baranowski, Darren Novell, Matt Payne (2)</v>
      </c>
      <c r="S129" s="8" t="str">
        <f t="shared" si="281"/>
        <v>Dan Murphy</v>
      </c>
      <c r="T129" s="8" t="str">
        <f t="shared" si="281"/>
        <v>Andy Booth, Felix Bull, Elliot Fry, Jussi Grut, Dara McCreary</v>
      </c>
      <c r="U129" s="8" t="str">
        <f t="shared" si="281"/>
        <v>Dave Baldwin (1), Rob Clark, Andy Fernando, Alex Griffiths, Tom Hatton, James Keal</v>
      </c>
      <c r="V129" s="8" t="str">
        <f t="shared" si="281"/>
        <v>Justin Baranowski (2), Darren Novell, Matt Payne (1)</v>
      </c>
      <c r="W129" s="8" t="str">
        <f t="shared" si="281"/>
        <v/>
      </c>
      <c r="X129" s="8" t="str">
        <f t="shared" si="281"/>
        <v/>
      </c>
      <c r="Y129" s="8" t="str">
        <f t="shared" si="281"/>
        <v/>
      </c>
      <c r="Z129" s="8" t="str">
        <f t="shared" si="281"/>
        <v/>
      </c>
      <c r="AA129" s="8" t="str">
        <f t="shared" si="281"/>
        <v>Dan Murphy</v>
      </c>
      <c r="AB129" s="8" t="str">
        <f t="shared" si="281"/>
        <v>Felix Bull, Elliot Fry, Dave Slaughter</v>
      </c>
      <c r="AC129" s="8" t="str">
        <f t="shared" si="281"/>
        <v>Dave Baldwin (1), Rob Clark, Andy Fernando, Alex Griffiths</v>
      </c>
      <c r="AD129" s="8" t="str">
        <f t="shared" si="281"/>
        <v>Justin Baranowski, Tom Hatton (1), Darren Novell</v>
      </c>
      <c r="AE129" s="8" t="str">
        <f t="shared" si="281"/>
        <v>Dan Murphy</v>
      </c>
      <c r="AF129" s="8" t="str">
        <f t="shared" si="281"/>
        <v>Elliot Fry, Dara McCreary, Dave Slaughter</v>
      </c>
      <c r="AG129" s="8" t="str">
        <f t="shared" si="281"/>
        <v>Dave Baldwin (1), Alex Griffiths, Jussi Grut, James Keal (1), Matt Payne (4)</v>
      </c>
      <c r="AH129" s="8" t="str">
        <f t="shared" si="281"/>
        <v>Justin Baranowski (1), Tom Hatton, Darren Novell (1)</v>
      </c>
      <c r="AI129" s="8" t="e">
        <f t="shared" si="281"/>
        <v>#REF!</v>
      </c>
      <c r="AJ129" s="8" t="e">
        <f t="shared" si="281"/>
        <v>#REF!</v>
      </c>
      <c r="AK129" s="8" t="e">
        <f t="shared" si="281"/>
        <v>#REF!</v>
      </c>
      <c r="AL129" s="8" t="e">
        <f t="shared" si="281"/>
        <v>#REF!</v>
      </c>
      <c r="AM129" s="8" t="str">
        <f t="shared" si="281"/>
        <v/>
      </c>
      <c r="AN129" s="8" t="str">
        <f t="shared" si="281"/>
        <v/>
      </c>
      <c r="AO129" s="8" t="str">
        <f t="shared" si="281"/>
        <v/>
      </c>
      <c r="AP129" s="8" t="str">
        <f t="shared" si="281"/>
        <v/>
      </c>
      <c r="AQ129" s="8" t="str">
        <f t="shared" si="281"/>
        <v>Dan Murphy</v>
      </c>
      <c r="AR129" s="8" t="str">
        <f t="shared" si="281"/>
        <v>Felix Bull, Elliot Fry, Dave Slaughter</v>
      </c>
      <c r="AS129" s="8" t="str">
        <f t="shared" si="281"/>
        <v>Alex Griffiths (1)</v>
      </c>
      <c r="AT129" s="8" t="str">
        <f t="shared" si="281"/>
        <v>Andy Booth, Jussi Grut, Dara McCreary (1)</v>
      </c>
      <c r="AU129" s="8" t="str">
        <f t="shared" si="281"/>
        <v>Eliot Pugh</v>
      </c>
      <c r="AV129" s="8" t="str">
        <f t="shared" si="281"/>
        <v>Dave Copple, Elliot Fry</v>
      </c>
      <c r="AW129" s="8" t="str">
        <f t="shared" si="281"/>
        <v>Dave Baldwin, Andy Fernando, Alex Griffiths</v>
      </c>
      <c r="AX129" s="8" t="str">
        <f t="shared" si="281"/>
        <v>Tom Hatton (1,4A), James Keal, Dara McCreary</v>
      </c>
      <c r="AY129" s="8" t="str">
        <f t="shared" si="281"/>
        <v>Eliot Pugh</v>
      </c>
      <c r="AZ129" s="8" t="str">
        <f t="shared" si="281"/>
        <v>Felix Bull, Dave Copple, Elliot Fry</v>
      </c>
      <c r="BA129" s="8" t="str">
        <f t="shared" si="281"/>
        <v>Dave Baldwin, Andy Fernando</v>
      </c>
      <c r="BB129" s="8" t="str">
        <f t="shared" si="281"/>
        <v>Andy Booth, Alex Griffiths, Darren Novell</v>
      </c>
      <c r="BC129" s="8" t="str">
        <f t="shared" si="281"/>
        <v/>
      </c>
      <c r="BD129" s="8" t="str">
        <f t="shared" si="281"/>
        <v/>
      </c>
      <c r="BE129" s="8" t="str">
        <f t="shared" si="281"/>
        <v/>
      </c>
      <c r="BF129" s="8" t="str">
        <f t="shared" si="281"/>
        <v/>
      </c>
      <c r="BG129" s="8" t="str">
        <f t="shared" si="281"/>
        <v/>
      </c>
      <c r="BH129" s="8" t="str">
        <f t="shared" si="281"/>
        <v/>
      </c>
      <c r="BI129" s="8" t="str">
        <f t="shared" si="281"/>
        <v/>
      </c>
      <c r="BJ129" s="8" t="str">
        <f t="shared" si="281"/>
        <v/>
      </c>
      <c r="BK129" s="8" t="str">
        <f t="shared" ref="BK129:CH129" si="282">IF(BK88="",BK128,IF(BK128="",BK88,BK128&amp;", "&amp;BK88))</f>
        <v/>
      </c>
      <c r="BL129" s="8" t="str">
        <f t="shared" si="282"/>
        <v/>
      </c>
      <c r="BM129" s="8" t="str">
        <f t="shared" si="282"/>
        <v/>
      </c>
      <c r="BN129" s="8" t="str">
        <f t="shared" si="282"/>
        <v/>
      </c>
      <c r="BO129" s="8" t="str">
        <f t="shared" si="282"/>
        <v>Eliot Pugh</v>
      </c>
      <c r="BP129" s="8" t="str">
        <f t="shared" si="282"/>
        <v>Felix Bull (1), Dave Copple, Elliot Fry</v>
      </c>
      <c r="BQ129" s="8" t="str">
        <f t="shared" si="282"/>
        <v>Andy Fernando, Alex Griffiths</v>
      </c>
      <c r="BR129" s="8" t="str">
        <f t="shared" si="282"/>
        <v>Tom Hatton, Darren Novell, Dave Slaughter</v>
      </c>
      <c r="BS129" s="8" t="str">
        <f t="shared" si="282"/>
        <v>Eliot Pugh</v>
      </c>
      <c r="BT129" s="8" t="str">
        <f t="shared" si="282"/>
        <v>Felix Bull, Dave Copple, Elliot Fry, Dara McCreary</v>
      </c>
      <c r="BU129" s="8" t="str">
        <f t="shared" si="282"/>
        <v>Alex Griffiths, James Keal</v>
      </c>
      <c r="BV129" s="8" t="str">
        <f t="shared" si="282"/>
        <v>Tom Hatton (1), Darren Novell (1), Dave Slaughter (1)</v>
      </c>
      <c r="BW129" s="8" t="str">
        <f t="shared" si="282"/>
        <v>Eliot Pugh</v>
      </c>
      <c r="BX129" s="8" t="str">
        <f t="shared" si="282"/>
        <v>Felix Bull, Elliot Fry, Matt Porter</v>
      </c>
      <c r="BY129" s="8" t="str">
        <f t="shared" si="282"/>
        <v>Dara McCreary</v>
      </c>
      <c r="BZ129" s="8" t="str">
        <f t="shared" si="282"/>
        <v>Dave Slaughter</v>
      </c>
      <c r="CA129" s="8" t="str">
        <f t="shared" si="282"/>
        <v>Eliot Pugh</v>
      </c>
      <c r="CB129" s="8" t="str">
        <f t="shared" si="282"/>
        <v>Felix Bull (1), Dara McCreary, Matt Porter</v>
      </c>
      <c r="CC129" s="8" t="str">
        <f t="shared" si="282"/>
        <v>Andy Fernando</v>
      </c>
      <c r="CD129" s="8" t="str">
        <f t="shared" si="282"/>
        <v>Tom Hatton, Dave Slaughter</v>
      </c>
      <c r="CE129" s="8" t="str">
        <f t="shared" si="282"/>
        <v>Eliot Pugh</v>
      </c>
      <c r="CF129" s="8" t="str">
        <f t="shared" si="282"/>
        <v>Andy Booth, Dara McCreary</v>
      </c>
      <c r="CG129" s="8" t="str">
        <f t="shared" si="282"/>
        <v>Andy Fernando</v>
      </c>
      <c r="CH129" s="8" t="str">
        <f t="shared" si="282"/>
        <v>Alex Griffiths, Tom Hatton, Dave Slaughter</v>
      </c>
      <c r="CI129" s="8" t="str">
        <f t="shared" ref="CI129:CL129" si="283">IF(CI88="",CI128,IF(CI128="",CI88,CI128&amp;", "&amp;CI88))</f>
        <v>Eliot Pugh</v>
      </c>
      <c r="CJ129" s="8" t="str">
        <f t="shared" si="283"/>
        <v>Felix Bull, Dave Copple, Elliot Fry</v>
      </c>
      <c r="CK129" s="8" t="str">
        <f t="shared" si="283"/>
        <v>Andy Fernando, James Keal (1), Dara McCreary</v>
      </c>
      <c r="CL129" s="8" t="str">
        <f t="shared" si="283"/>
        <v>Andy Booth, Darren Novell, Dave Slaughter</v>
      </c>
    </row>
    <row r="130" spans="3:90" x14ac:dyDescent="0.2">
      <c r="E130" s="8">
        <f t="shared" si="209"/>
        <v>29</v>
      </c>
      <c r="G130" s="8" t="str">
        <f t="shared" ref="G130:BJ130" si="284">IF(G89="",G129,IF(G129="",G89,G129&amp;", "&amp;G89))</f>
        <v>Dan Murphy</v>
      </c>
      <c r="H130" s="8" t="str">
        <f t="shared" si="284"/>
        <v>Andy Booth, Felix Bull, Matt Porter, Dave Slaughter</v>
      </c>
      <c r="I130" s="8" t="str">
        <f t="shared" si="284"/>
        <v>Dave Baldwin (2), Andy Fernando, Alex Griffiths, Tom Hatton (5)</v>
      </c>
      <c r="J130" s="8" t="str">
        <f t="shared" si="284"/>
        <v>Justin Baranowski, Darren Novell (1), Matt Payne</v>
      </c>
      <c r="K130" s="8" t="str">
        <f t="shared" si="284"/>
        <v>Dan Murphy</v>
      </c>
      <c r="L130" s="8" t="str">
        <f t="shared" si="284"/>
        <v>Felix Bull, Dara McCreary, Dave Slaughter</v>
      </c>
      <c r="M130" s="8" t="str">
        <f t="shared" si="284"/>
        <v>Dave Baldwin (1), Ben Colville (1), Andy Fernando, Tom Hatton, James Keal</v>
      </c>
      <c r="N130" s="8" t="str">
        <f t="shared" si="284"/>
        <v>Andy Booth</v>
      </c>
      <c r="O130" s="8" t="str">
        <f t="shared" si="284"/>
        <v>Dan Murphy</v>
      </c>
      <c r="P130" s="8" t="str">
        <f t="shared" si="284"/>
        <v>Andy Booth, Felix Bull, Elliot Fry, Dara McCreary, Matt Porter</v>
      </c>
      <c r="Q130" s="8" t="str">
        <f t="shared" si="284"/>
        <v>Dave Baldwin, Rob Clark, Andy Fernando, Alex Griffiths, Tom Hatton, James Keal, Chase Stuart</v>
      </c>
      <c r="R130" s="8" t="str">
        <f t="shared" si="284"/>
        <v>Justin Baranowski, Darren Novell, Matt Payne (2)</v>
      </c>
      <c r="S130" s="8" t="str">
        <f t="shared" si="284"/>
        <v>Dan Murphy</v>
      </c>
      <c r="T130" s="8" t="str">
        <f t="shared" si="284"/>
        <v>Andy Booth, Felix Bull, Elliot Fry, Jussi Grut, Dara McCreary, Kaspars 'Stripes' Veips</v>
      </c>
      <c r="U130" s="8" t="str">
        <f t="shared" si="284"/>
        <v>Dave Baldwin (1), Rob Clark, Andy Fernando, Alex Griffiths, Tom Hatton, James Keal</v>
      </c>
      <c r="V130" s="8" t="str">
        <f t="shared" si="284"/>
        <v>Justin Baranowski (2), Darren Novell, Matt Payne (1)</v>
      </c>
      <c r="W130" s="8" t="str">
        <f t="shared" si="284"/>
        <v/>
      </c>
      <c r="X130" s="8" t="str">
        <f t="shared" si="284"/>
        <v/>
      </c>
      <c r="Y130" s="8" t="str">
        <f t="shared" si="284"/>
        <v/>
      </c>
      <c r="Z130" s="8" t="str">
        <f t="shared" si="284"/>
        <v/>
      </c>
      <c r="AA130" s="8" t="str">
        <f t="shared" si="284"/>
        <v>Dan Murphy</v>
      </c>
      <c r="AB130" s="8" t="str">
        <f t="shared" si="284"/>
        <v>Felix Bull, Elliot Fry, Dave Slaughter</v>
      </c>
      <c r="AC130" s="8" t="str">
        <f t="shared" si="284"/>
        <v>Dave Baldwin (1), Rob Clark, Andy Fernando, Alex Griffiths, Kaspars 'Stripes' Veips (2)</v>
      </c>
      <c r="AD130" s="8" t="str">
        <f t="shared" si="284"/>
        <v>Justin Baranowski, Tom Hatton (1), Darren Novell</v>
      </c>
      <c r="AE130" s="8" t="str">
        <f t="shared" si="284"/>
        <v>Dan Murphy</v>
      </c>
      <c r="AF130" s="8" t="str">
        <f t="shared" si="284"/>
        <v>Elliot Fry, Dara McCreary, Dave Slaughter</v>
      </c>
      <c r="AG130" s="8" t="str">
        <f t="shared" si="284"/>
        <v>Dave Baldwin (1), Alex Griffiths, Jussi Grut, James Keal (1), Matt Payne (4)</v>
      </c>
      <c r="AH130" s="8" t="str">
        <f t="shared" si="284"/>
        <v>Justin Baranowski (1), Tom Hatton, Darren Novell (1)</v>
      </c>
      <c r="AI130" s="8" t="e">
        <f t="shared" si="284"/>
        <v>#REF!</v>
      </c>
      <c r="AJ130" s="8" t="e">
        <f t="shared" si="284"/>
        <v>#REF!</v>
      </c>
      <c r="AK130" s="8" t="e">
        <f t="shared" si="284"/>
        <v>#REF!</v>
      </c>
      <c r="AL130" s="8" t="e">
        <f t="shared" si="284"/>
        <v>#REF!</v>
      </c>
      <c r="AM130" s="8" t="str">
        <f t="shared" si="284"/>
        <v/>
      </c>
      <c r="AN130" s="8" t="str">
        <f t="shared" si="284"/>
        <v/>
      </c>
      <c r="AO130" s="8" t="str">
        <f t="shared" si="284"/>
        <v/>
      </c>
      <c r="AP130" s="8" t="str">
        <f t="shared" si="284"/>
        <v/>
      </c>
      <c r="AQ130" s="8" t="str">
        <f t="shared" si="284"/>
        <v>Dan Murphy</v>
      </c>
      <c r="AR130" s="8" t="str">
        <f t="shared" si="284"/>
        <v>Felix Bull, Elliot Fry, Dave Slaughter</v>
      </c>
      <c r="AS130" s="8" t="str">
        <f t="shared" si="284"/>
        <v>Alex Griffiths (1), Kaspars 'Stripes' Veips (2)</v>
      </c>
      <c r="AT130" s="8" t="str">
        <f t="shared" si="284"/>
        <v>Andy Booth, Jussi Grut, Dara McCreary (1)</v>
      </c>
      <c r="AU130" s="8" t="str">
        <f t="shared" si="284"/>
        <v>Eliot Pugh</v>
      </c>
      <c r="AV130" s="8" t="str">
        <f t="shared" si="284"/>
        <v>Dave Copple, Elliot Fry</v>
      </c>
      <c r="AW130" s="8" t="str">
        <f t="shared" si="284"/>
        <v>Dave Baldwin, Andy Fernando, Alex Griffiths, Kaspars 'Stripes' Veips (4)</v>
      </c>
      <c r="AX130" s="8" t="str">
        <f t="shared" si="284"/>
        <v>Tom Hatton (1,4A), James Keal, Dara McCreary</v>
      </c>
      <c r="AY130" s="8" t="str">
        <f t="shared" si="284"/>
        <v>Eliot Pugh</v>
      </c>
      <c r="AZ130" s="8" t="str">
        <f t="shared" si="284"/>
        <v>Felix Bull, Dave Copple, Elliot Fry</v>
      </c>
      <c r="BA130" s="8" t="str">
        <f t="shared" si="284"/>
        <v>Dave Baldwin, Andy Fernando, Kaspars 'Stripes' Veips</v>
      </c>
      <c r="BB130" s="8" t="str">
        <f t="shared" si="284"/>
        <v>Andy Booth, Alex Griffiths, Darren Novell</v>
      </c>
      <c r="BC130" s="8" t="str">
        <f t="shared" si="284"/>
        <v/>
      </c>
      <c r="BD130" s="8" t="str">
        <f t="shared" si="284"/>
        <v/>
      </c>
      <c r="BE130" s="8" t="str">
        <f t="shared" si="284"/>
        <v/>
      </c>
      <c r="BF130" s="8" t="str">
        <f t="shared" si="284"/>
        <v/>
      </c>
      <c r="BG130" s="8" t="str">
        <f t="shared" si="284"/>
        <v/>
      </c>
      <c r="BH130" s="8" t="str">
        <f t="shared" si="284"/>
        <v/>
      </c>
      <c r="BI130" s="8" t="str">
        <f t="shared" si="284"/>
        <v/>
      </c>
      <c r="BJ130" s="8" t="str">
        <f t="shared" si="284"/>
        <v/>
      </c>
      <c r="BK130" s="8" t="str">
        <f t="shared" ref="BK130:CH130" si="285">IF(BK89="",BK129,IF(BK129="",BK89,BK129&amp;", "&amp;BK89))</f>
        <v/>
      </c>
      <c r="BL130" s="8" t="str">
        <f t="shared" si="285"/>
        <v/>
      </c>
      <c r="BM130" s="8" t="str">
        <f t="shared" si="285"/>
        <v/>
      </c>
      <c r="BN130" s="8" t="str">
        <f t="shared" si="285"/>
        <v/>
      </c>
      <c r="BO130" s="8" t="str">
        <f t="shared" si="285"/>
        <v>Eliot Pugh</v>
      </c>
      <c r="BP130" s="8" t="str">
        <f t="shared" si="285"/>
        <v>Felix Bull (1), Dave Copple, Elliot Fry</v>
      </c>
      <c r="BQ130" s="8" t="str">
        <f t="shared" si="285"/>
        <v>Andy Fernando, Alex Griffiths, Kaspars 'Stripes' Veips</v>
      </c>
      <c r="BR130" s="8" t="str">
        <f t="shared" si="285"/>
        <v>Tom Hatton, Darren Novell, Dave Slaughter</v>
      </c>
      <c r="BS130" s="8" t="str">
        <f t="shared" si="285"/>
        <v>Eliot Pugh</v>
      </c>
      <c r="BT130" s="8" t="str">
        <f t="shared" si="285"/>
        <v>Felix Bull, Dave Copple, Elliot Fry, Dara McCreary</v>
      </c>
      <c r="BU130" s="8" t="str">
        <f t="shared" si="285"/>
        <v>Alex Griffiths, James Keal</v>
      </c>
      <c r="BV130" s="8" t="str">
        <f t="shared" si="285"/>
        <v>Tom Hatton (1), Darren Novell (1), Dave Slaughter (1)</v>
      </c>
      <c r="BW130" s="8" t="str">
        <f t="shared" si="285"/>
        <v>Eliot Pugh</v>
      </c>
      <c r="BX130" s="8" t="str">
        <f t="shared" si="285"/>
        <v>Felix Bull, Elliot Fry, Matt Porter</v>
      </c>
      <c r="BY130" s="8" t="str">
        <f t="shared" si="285"/>
        <v>Dara McCreary</v>
      </c>
      <c r="BZ130" s="8" t="str">
        <f t="shared" si="285"/>
        <v>Dave Slaughter</v>
      </c>
      <c r="CA130" s="8" t="str">
        <f t="shared" si="285"/>
        <v>Eliot Pugh</v>
      </c>
      <c r="CB130" s="8" t="str">
        <f t="shared" si="285"/>
        <v>Felix Bull (1), Dara McCreary, Matt Porter</v>
      </c>
      <c r="CC130" s="8" t="str">
        <f t="shared" si="285"/>
        <v>Andy Fernando, Kaspars 'Stripes' Veips</v>
      </c>
      <c r="CD130" s="8" t="str">
        <f t="shared" si="285"/>
        <v>Tom Hatton, Dave Slaughter</v>
      </c>
      <c r="CE130" s="8" t="str">
        <f t="shared" si="285"/>
        <v>Eliot Pugh</v>
      </c>
      <c r="CF130" s="8" t="str">
        <f t="shared" si="285"/>
        <v>Andy Booth, Dara McCreary</v>
      </c>
      <c r="CG130" s="8" t="str">
        <f t="shared" si="285"/>
        <v>Andy Fernando, Kaspars 'Stripes' Veips</v>
      </c>
      <c r="CH130" s="8" t="str">
        <f t="shared" si="285"/>
        <v>Alex Griffiths, Tom Hatton, Dave Slaughter</v>
      </c>
      <c r="CI130" s="8" t="str">
        <f t="shared" ref="CI130:CL130" si="286">IF(CI89="",CI129,IF(CI129="",CI89,CI129&amp;", "&amp;CI89))</f>
        <v>Eliot Pugh</v>
      </c>
      <c r="CJ130" s="8" t="str">
        <f t="shared" si="286"/>
        <v>Felix Bull, Dave Copple, Elliot Fry</v>
      </c>
      <c r="CK130" s="8" t="str">
        <f t="shared" si="286"/>
        <v>Andy Fernando, James Keal (1), Dara McCreary</v>
      </c>
      <c r="CL130" s="8" t="str">
        <f t="shared" si="286"/>
        <v>Andy Booth, Darren Novell, Dave Slaughter</v>
      </c>
    </row>
    <row r="131" spans="3:90" x14ac:dyDescent="0.2">
      <c r="E131" s="8">
        <f t="shared" si="209"/>
        <v>30</v>
      </c>
      <c r="G131" s="8" t="str">
        <f t="shared" ref="G131:BJ131" si="287">IF(G90="",G130,IF(G130="",G90,G130&amp;", "&amp;G90))</f>
        <v>Dan Murphy</v>
      </c>
      <c r="H131" s="8" t="str">
        <f t="shared" si="287"/>
        <v>Andy Booth, Felix Bull, Matt Porter, Dave Slaughter, Eliot Wilde</v>
      </c>
      <c r="I131" s="8" t="str">
        <f t="shared" si="287"/>
        <v>Dave Baldwin (2), Andy Fernando, Alex Griffiths, Tom Hatton (5)</v>
      </c>
      <c r="J131" s="8" t="str">
        <f t="shared" si="287"/>
        <v>Justin Baranowski, Darren Novell (1), Matt Payne</v>
      </c>
      <c r="K131" s="8" t="str">
        <f t="shared" si="287"/>
        <v>Dan Murphy</v>
      </c>
      <c r="L131" s="8" t="str">
        <f t="shared" si="287"/>
        <v>Felix Bull, Dara McCreary, Dave Slaughter, Eliot Wilde</v>
      </c>
      <c r="M131" s="8" t="str">
        <f t="shared" si="287"/>
        <v>Dave Baldwin (1), Ben Colville (1), Andy Fernando, Tom Hatton, James Keal</v>
      </c>
      <c r="N131" s="8" t="str">
        <f t="shared" si="287"/>
        <v>Andy Booth</v>
      </c>
      <c r="O131" s="8" t="str">
        <f t="shared" si="287"/>
        <v>Dan Murphy</v>
      </c>
      <c r="P131" s="8" t="str">
        <f t="shared" si="287"/>
        <v>Andy Booth, Felix Bull, Elliot Fry, Dara McCreary, Matt Porter, Eliot Wilde</v>
      </c>
      <c r="Q131" s="8" t="str">
        <f t="shared" si="287"/>
        <v>Dave Baldwin, Rob Clark, Andy Fernando, Alex Griffiths, Tom Hatton, James Keal, Chase Stuart</v>
      </c>
      <c r="R131" s="8" t="str">
        <f t="shared" si="287"/>
        <v>Justin Baranowski, Darren Novell, Matt Payne (2)</v>
      </c>
      <c r="S131" s="8" t="str">
        <f t="shared" si="287"/>
        <v>Dan Murphy</v>
      </c>
      <c r="T131" s="8" t="str">
        <f t="shared" si="287"/>
        <v>Andy Booth, Felix Bull, Elliot Fry, Jussi Grut, Dara McCreary, Kaspars 'Stripes' Veips</v>
      </c>
      <c r="U131" s="8" t="str">
        <f t="shared" si="287"/>
        <v>Dave Baldwin (1), Rob Clark, Andy Fernando, Alex Griffiths, Tom Hatton, James Keal</v>
      </c>
      <c r="V131" s="8" t="str">
        <f t="shared" si="287"/>
        <v>Justin Baranowski (2), Darren Novell, Matt Payne (1)</v>
      </c>
      <c r="W131" s="8" t="str">
        <f t="shared" si="287"/>
        <v/>
      </c>
      <c r="X131" s="8" t="str">
        <f t="shared" si="287"/>
        <v/>
      </c>
      <c r="Y131" s="8" t="str">
        <f t="shared" si="287"/>
        <v/>
      </c>
      <c r="Z131" s="8" t="str">
        <f t="shared" si="287"/>
        <v/>
      </c>
      <c r="AA131" s="8" t="str">
        <f t="shared" si="287"/>
        <v>Dan Murphy</v>
      </c>
      <c r="AB131" s="8" t="str">
        <f t="shared" si="287"/>
        <v>Felix Bull, Elliot Fry, Dave Slaughter, Eliot Wilde</v>
      </c>
      <c r="AC131" s="8" t="str">
        <f t="shared" si="287"/>
        <v>Dave Baldwin (1), Rob Clark, Andy Fernando, Alex Griffiths, Kaspars 'Stripes' Veips (2)</v>
      </c>
      <c r="AD131" s="8" t="str">
        <f t="shared" si="287"/>
        <v>Justin Baranowski, Tom Hatton (1), Darren Novell</v>
      </c>
      <c r="AE131" s="8" t="str">
        <f t="shared" si="287"/>
        <v>Dan Murphy</v>
      </c>
      <c r="AF131" s="8" t="str">
        <f t="shared" si="287"/>
        <v>Elliot Fry, Dara McCreary, Dave Slaughter, Eliot Wilde</v>
      </c>
      <c r="AG131" s="8" t="str">
        <f t="shared" si="287"/>
        <v>Dave Baldwin (1), Alex Griffiths, Jussi Grut, James Keal (1), Matt Payne (4)</v>
      </c>
      <c r="AH131" s="8" t="str">
        <f t="shared" si="287"/>
        <v>Justin Baranowski (1), Tom Hatton, Darren Novell (1)</v>
      </c>
      <c r="AI131" s="8" t="e">
        <f t="shared" si="287"/>
        <v>#REF!</v>
      </c>
      <c r="AJ131" s="8" t="e">
        <f t="shared" si="287"/>
        <v>#REF!</v>
      </c>
      <c r="AK131" s="8" t="e">
        <f t="shared" si="287"/>
        <v>#REF!</v>
      </c>
      <c r="AL131" s="8" t="e">
        <f t="shared" si="287"/>
        <v>#REF!</v>
      </c>
      <c r="AM131" s="8" t="str">
        <f t="shared" si="287"/>
        <v/>
      </c>
      <c r="AN131" s="8" t="str">
        <f t="shared" si="287"/>
        <v/>
      </c>
      <c r="AO131" s="8" t="str">
        <f t="shared" si="287"/>
        <v/>
      </c>
      <c r="AP131" s="8" t="str">
        <f t="shared" si="287"/>
        <v/>
      </c>
      <c r="AQ131" s="8" t="str">
        <f t="shared" si="287"/>
        <v>Dan Murphy</v>
      </c>
      <c r="AR131" s="8" t="str">
        <f t="shared" si="287"/>
        <v>Felix Bull, Elliot Fry, Dave Slaughter</v>
      </c>
      <c r="AS131" s="8" t="str">
        <f t="shared" si="287"/>
        <v>Alex Griffiths (1), Kaspars 'Stripes' Veips (2), Eliot Wilde</v>
      </c>
      <c r="AT131" s="8" t="str">
        <f t="shared" si="287"/>
        <v>Andy Booth, Jussi Grut, Dara McCreary (1)</v>
      </c>
      <c r="AU131" s="8" t="str">
        <f t="shared" si="287"/>
        <v>Eliot Pugh</v>
      </c>
      <c r="AV131" s="8" t="str">
        <f t="shared" si="287"/>
        <v>Dave Copple, Elliot Fry, Eliot Wilde</v>
      </c>
      <c r="AW131" s="8" t="str">
        <f t="shared" si="287"/>
        <v>Dave Baldwin, Andy Fernando, Alex Griffiths, Kaspars 'Stripes' Veips (4)</v>
      </c>
      <c r="AX131" s="8" t="str">
        <f t="shared" si="287"/>
        <v>Tom Hatton (1,4A), James Keal, Dara McCreary</v>
      </c>
      <c r="AY131" s="8" t="str">
        <f t="shared" si="287"/>
        <v>Eliot Pugh</v>
      </c>
      <c r="AZ131" s="8" t="str">
        <f t="shared" si="287"/>
        <v>Felix Bull, Dave Copple, Elliot Fry, Eliot Wilde</v>
      </c>
      <c r="BA131" s="8" t="str">
        <f t="shared" si="287"/>
        <v>Dave Baldwin, Andy Fernando, Kaspars 'Stripes' Veips</v>
      </c>
      <c r="BB131" s="8" t="str">
        <f t="shared" si="287"/>
        <v>Andy Booth, Alex Griffiths, Darren Novell</v>
      </c>
      <c r="BC131" s="8" t="str">
        <f t="shared" si="287"/>
        <v/>
      </c>
      <c r="BD131" s="8" t="str">
        <f t="shared" si="287"/>
        <v/>
      </c>
      <c r="BE131" s="8" t="str">
        <f t="shared" si="287"/>
        <v/>
      </c>
      <c r="BF131" s="8" t="str">
        <f t="shared" si="287"/>
        <v/>
      </c>
      <c r="BG131" s="8" t="str">
        <f t="shared" si="287"/>
        <v/>
      </c>
      <c r="BH131" s="8" t="str">
        <f t="shared" si="287"/>
        <v/>
      </c>
      <c r="BI131" s="8" t="str">
        <f t="shared" si="287"/>
        <v/>
      </c>
      <c r="BJ131" s="8" t="str">
        <f t="shared" si="287"/>
        <v/>
      </c>
      <c r="BK131" s="8" t="str">
        <f t="shared" ref="BK131:CH131" si="288">IF(BK90="",BK130,IF(BK130="",BK90,BK130&amp;", "&amp;BK90))</f>
        <v/>
      </c>
      <c r="BL131" s="8" t="str">
        <f t="shared" si="288"/>
        <v/>
      </c>
      <c r="BM131" s="8" t="str">
        <f t="shared" si="288"/>
        <v/>
      </c>
      <c r="BN131" s="8" t="str">
        <f t="shared" si="288"/>
        <v/>
      </c>
      <c r="BO131" s="8" t="str">
        <f t="shared" si="288"/>
        <v>Eliot Pugh</v>
      </c>
      <c r="BP131" s="8" t="str">
        <f t="shared" si="288"/>
        <v>Felix Bull (1), Dave Copple, Elliot Fry, Eliot Wilde</v>
      </c>
      <c r="BQ131" s="8" t="str">
        <f t="shared" si="288"/>
        <v>Andy Fernando, Alex Griffiths, Kaspars 'Stripes' Veips</v>
      </c>
      <c r="BR131" s="8" t="str">
        <f t="shared" si="288"/>
        <v>Tom Hatton, Darren Novell, Dave Slaughter</v>
      </c>
      <c r="BS131" s="8" t="str">
        <f t="shared" si="288"/>
        <v>Eliot Pugh</v>
      </c>
      <c r="BT131" s="8" t="str">
        <f t="shared" si="288"/>
        <v>Felix Bull, Dave Copple, Elliot Fry, Dara McCreary, Eliot Wilde</v>
      </c>
      <c r="BU131" s="8" t="str">
        <f t="shared" si="288"/>
        <v>Alex Griffiths, James Keal</v>
      </c>
      <c r="BV131" s="8" t="str">
        <f t="shared" si="288"/>
        <v>Tom Hatton (1), Darren Novell (1), Dave Slaughter (1)</v>
      </c>
      <c r="BW131" s="8" t="str">
        <f t="shared" si="288"/>
        <v>Eliot Pugh</v>
      </c>
      <c r="BX131" s="8" t="str">
        <f t="shared" si="288"/>
        <v>Felix Bull, Elliot Fry, Matt Porter, Eliot Wilde</v>
      </c>
      <c r="BY131" s="8" t="str">
        <f t="shared" si="288"/>
        <v>Dara McCreary</v>
      </c>
      <c r="BZ131" s="8" t="str">
        <f t="shared" si="288"/>
        <v>Dave Slaughter</v>
      </c>
      <c r="CA131" s="8" t="str">
        <f t="shared" si="288"/>
        <v>Eliot Pugh</v>
      </c>
      <c r="CB131" s="8" t="str">
        <f t="shared" si="288"/>
        <v>Felix Bull (1), Dara McCreary, Matt Porter</v>
      </c>
      <c r="CC131" s="8" t="str">
        <f t="shared" si="288"/>
        <v>Andy Fernando, Kaspars 'Stripes' Veips</v>
      </c>
      <c r="CD131" s="8" t="str">
        <f t="shared" si="288"/>
        <v>Tom Hatton, Dave Slaughter</v>
      </c>
      <c r="CE131" s="8" t="str">
        <f t="shared" si="288"/>
        <v>Eliot Pugh</v>
      </c>
      <c r="CF131" s="8" t="str">
        <f t="shared" si="288"/>
        <v>Andy Booth, Dara McCreary</v>
      </c>
      <c r="CG131" s="8" t="str">
        <f t="shared" si="288"/>
        <v>Andy Fernando, Kaspars 'Stripes' Veips</v>
      </c>
      <c r="CH131" s="8" t="str">
        <f t="shared" si="288"/>
        <v>Alex Griffiths, Tom Hatton, Dave Slaughter</v>
      </c>
      <c r="CI131" s="8" t="str">
        <f t="shared" ref="CI131:CL131" si="289">IF(CI90="",CI130,IF(CI130="",CI90,CI130&amp;", "&amp;CI90))</f>
        <v>Eliot Pugh</v>
      </c>
      <c r="CJ131" s="8" t="str">
        <f t="shared" si="289"/>
        <v>Felix Bull, Dave Copple, Elliot Fry, Eliot Wilde</v>
      </c>
      <c r="CK131" s="8" t="str">
        <f t="shared" si="289"/>
        <v>Andy Fernando, James Keal (1), Dara McCreary</v>
      </c>
      <c r="CL131" s="8" t="str">
        <f t="shared" si="289"/>
        <v>Andy Booth, Darren Novell, Dave Slaughter</v>
      </c>
    </row>
    <row r="132" spans="3:90" x14ac:dyDescent="0.2">
      <c r="E132" s="8">
        <f t="shared" si="209"/>
        <v>31</v>
      </c>
      <c r="G132" s="8" t="str">
        <f t="shared" ref="G132:BJ132" si="290">IF(G91="",G131,IF(G131="",G91,G131&amp;", "&amp;G91))</f>
        <v>Dan Murphy</v>
      </c>
      <c r="H132" s="8" t="str">
        <f t="shared" si="290"/>
        <v>Andy Booth, Felix Bull, Matt Porter, Dave Slaughter, Eliot Wilde</v>
      </c>
      <c r="I132" s="8" t="str">
        <f t="shared" si="290"/>
        <v>Dave Baldwin (2), Andy Fernando, Alex Griffiths, Tom Hatton (5)</v>
      </c>
      <c r="J132" s="8" t="str">
        <f t="shared" si="290"/>
        <v>Justin Baranowski, Darren Novell (1), Matt Payne</v>
      </c>
      <c r="K132" s="8" t="str">
        <f t="shared" si="290"/>
        <v>Dan Murphy</v>
      </c>
      <c r="L132" s="8" t="str">
        <f t="shared" si="290"/>
        <v>Felix Bull, Dara McCreary, Dave Slaughter, Eliot Wilde</v>
      </c>
      <c r="M132" s="8" t="str">
        <f t="shared" si="290"/>
        <v>Dave Baldwin (1), Ben Colville (1), Andy Fernando, Tom Hatton, James Keal</v>
      </c>
      <c r="N132" s="8" t="str">
        <f t="shared" si="290"/>
        <v>Andy Booth</v>
      </c>
      <c r="O132" s="8" t="str">
        <f t="shared" si="290"/>
        <v>Dan Murphy</v>
      </c>
      <c r="P132" s="8" t="str">
        <f t="shared" si="290"/>
        <v>Andy Booth, Felix Bull, Elliot Fry, Dara McCreary, Matt Porter, Eliot Wilde</v>
      </c>
      <c r="Q132" s="8" t="str">
        <f t="shared" si="290"/>
        <v>Dave Baldwin, Rob Clark, Andy Fernando, Alex Griffiths, Tom Hatton, James Keal, Chase Stuart</v>
      </c>
      <c r="R132" s="8" t="str">
        <f t="shared" si="290"/>
        <v>Justin Baranowski, Darren Novell, Matt Payne (2)</v>
      </c>
      <c r="S132" s="8" t="str">
        <f t="shared" si="290"/>
        <v>Dan Murphy</v>
      </c>
      <c r="T132" s="8" t="str">
        <f t="shared" si="290"/>
        <v>Andy Booth, Felix Bull, Elliot Fry, Jussi Grut, Dara McCreary, Kaspars 'Stripes' Veips</v>
      </c>
      <c r="U132" s="8" t="str">
        <f t="shared" si="290"/>
        <v>Dave Baldwin (1), Rob Clark, Andy Fernando, Alex Griffiths, Tom Hatton, James Keal</v>
      </c>
      <c r="V132" s="8" t="str">
        <f t="shared" si="290"/>
        <v>Justin Baranowski (2), Darren Novell, Matt Payne (1)</v>
      </c>
      <c r="W132" s="8" t="str">
        <f t="shared" si="290"/>
        <v/>
      </c>
      <c r="X132" s="8" t="str">
        <f t="shared" si="290"/>
        <v/>
      </c>
      <c r="Y132" s="8" t="str">
        <f t="shared" si="290"/>
        <v/>
      </c>
      <c r="Z132" s="8" t="str">
        <f t="shared" si="290"/>
        <v/>
      </c>
      <c r="AA132" s="8" t="str">
        <f t="shared" si="290"/>
        <v>Dan Murphy</v>
      </c>
      <c r="AB132" s="8" t="str">
        <f t="shared" si="290"/>
        <v>Felix Bull, Elliot Fry, Dave Slaughter, Eliot Wilde</v>
      </c>
      <c r="AC132" s="8" t="str">
        <f t="shared" si="290"/>
        <v>Dave Baldwin (1), Rob Clark, Andy Fernando, Alex Griffiths, Kaspars 'Stripes' Veips (2)</v>
      </c>
      <c r="AD132" s="8" t="str">
        <f t="shared" si="290"/>
        <v>Justin Baranowski, Tom Hatton (1), Darren Novell</v>
      </c>
      <c r="AE132" s="8" t="str">
        <f t="shared" si="290"/>
        <v>Dan Murphy</v>
      </c>
      <c r="AF132" s="8" t="str">
        <f t="shared" si="290"/>
        <v>Elliot Fry, Dara McCreary, Dave Slaughter, Eliot Wilde</v>
      </c>
      <c r="AG132" s="8" t="str">
        <f t="shared" si="290"/>
        <v>Dave Baldwin (1), Alex Griffiths, Jussi Grut, James Keal (1), Matt Payne (4)</v>
      </c>
      <c r="AH132" s="8" t="str">
        <f t="shared" si="290"/>
        <v>Justin Baranowski (1), Tom Hatton, Darren Novell (1)</v>
      </c>
      <c r="AI132" s="8" t="e">
        <f t="shared" si="290"/>
        <v>#REF!</v>
      </c>
      <c r="AJ132" s="8" t="e">
        <f t="shared" si="290"/>
        <v>#REF!</v>
      </c>
      <c r="AK132" s="8" t="e">
        <f t="shared" si="290"/>
        <v>#REF!</v>
      </c>
      <c r="AL132" s="8" t="e">
        <f t="shared" si="290"/>
        <v>#REF!</v>
      </c>
      <c r="AM132" s="8" t="str">
        <f t="shared" si="290"/>
        <v/>
      </c>
      <c r="AN132" s="8" t="str">
        <f t="shared" si="290"/>
        <v/>
      </c>
      <c r="AO132" s="8" t="str">
        <f t="shared" si="290"/>
        <v/>
      </c>
      <c r="AP132" s="8" t="str">
        <f t="shared" si="290"/>
        <v/>
      </c>
      <c r="AQ132" s="8" t="str">
        <f t="shared" si="290"/>
        <v>Dan Murphy</v>
      </c>
      <c r="AR132" s="8" t="str">
        <f t="shared" si="290"/>
        <v>Felix Bull, Elliot Fry, Dave Slaughter</v>
      </c>
      <c r="AS132" s="8" t="str">
        <f t="shared" si="290"/>
        <v>Alex Griffiths (1), Kaspars 'Stripes' Veips (2), Eliot Wilde</v>
      </c>
      <c r="AT132" s="8" t="str">
        <f t="shared" si="290"/>
        <v>Andy Booth, Jussi Grut, Dara McCreary (1)</v>
      </c>
      <c r="AU132" s="8" t="str">
        <f t="shared" si="290"/>
        <v>Eliot Pugh</v>
      </c>
      <c r="AV132" s="8" t="str">
        <f t="shared" si="290"/>
        <v>Dave Copple, Elliot Fry, Eliot Wilde</v>
      </c>
      <c r="AW132" s="8" t="str">
        <f t="shared" si="290"/>
        <v>Dave Baldwin, Andy Fernando, Alex Griffiths, Kaspars 'Stripes' Veips (4)</v>
      </c>
      <c r="AX132" s="8" t="str">
        <f t="shared" si="290"/>
        <v>Tom Hatton (1,4A), James Keal, Dara McCreary</v>
      </c>
      <c r="AY132" s="8" t="str">
        <f t="shared" si="290"/>
        <v>Eliot Pugh</v>
      </c>
      <c r="AZ132" s="8" t="str">
        <f t="shared" si="290"/>
        <v>Felix Bull, Dave Copple, Elliot Fry, Eliot Wilde</v>
      </c>
      <c r="BA132" s="8" t="str">
        <f t="shared" si="290"/>
        <v>Dave Baldwin, Andy Fernando, Kaspars 'Stripes' Veips</v>
      </c>
      <c r="BB132" s="8" t="str">
        <f t="shared" si="290"/>
        <v>Andy Booth, Alex Griffiths, Darren Novell</v>
      </c>
      <c r="BC132" s="8" t="str">
        <f t="shared" si="290"/>
        <v/>
      </c>
      <c r="BD132" s="8" t="str">
        <f t="shared" si="290"/>
        <v/>
      </c>
      <c r="BE132" s="8" t="str">
        <f t="shared" si="290"/>
        <v/>
      </c>
      <c r="BF132" s="8" t="str">
        <f t="shared" si="290"/>
        <v/>
      </c>
      <c r="BG132" s="8" t="str">
        <f t="shared" si="290"/>
        <v/>
      </c>
      <c r="BH132" s="8" t="str">
        <f t="shared" si="290"/>
        <v/>
      </c>
      <c r="BI132" s="8" t="str">
        <f t="shared" si="290"/>
        <v/>
      </c>
      <c r="BJ132" s="8" t="str">
        <f t="shared" si="290"/>
        <v/>
      </c>
      <c r="BK132" s="8" t="str">
        <f t="shared" ref="BK132:CH132" si="291">IF(BK91="",BK131,IF(BK131="",BK91,BK131&amp;", "&amp;BK91))</f>
        <v/>
      </c>
      <c r="BL132" s="8" t="str">
        <f t="shared" si="291"/>
        <v/>
      </c>
      <c r="BM132" s="8" t="str">
        <f t="shared" si="291"/>
        <v/>
      </c>
      <c r="BN132" s="8" t="str">
        <f t="shared" si="291"/>
        <v/>
      </c>
      <c r="BO132" s="8" t="str">
        <f t="shared" si="291"/>
        <v>Eliot Pugh</v>
      </c>
      <c r="BP132" s="8" t="str">
        <f t="shared" si="291"/>
        <v>Felix Bull (1), Dave Copple, Elliot Fry, Eliot Wilde</v>
      </c>
      <c r="BQ132" s="8" t="str">
        <f t="shared" si="291"/>
        <v>Andy Fernando, Alex Griffiths, Kaspars 'Stripes' Veips, Hugh Mitchison</v>
      </c>
      <c r="BR132" s="8" t="str">
        <f t="shared" si="291"/>
        <v>Tom Hatton, Darren Novell, Dave Slaughter</v>
      </c>
      <c r="BS132" s="8" t="str">
        <f t="shared" si="291"/>
        <v>Eliot Pugh</v>
      </c>
      <c r="BT132" s="8" t="str">
        <f t="shared" si="291"/>
        <v>Felix Bull, Dave Copple, Elliot Fry, Dara McCreary, Eliot Wilde</v>
      </c>
      <c r="BU132" s="8" t="str">
        <f t="shared" si="291"/>
        <v>Alex Griffiths, James Keal</v>
      </c>
      <c r="BV132" s="8" t="str">
        <f t="shared" si="291"/>
        <v>Tom Hatton (1), Darren Novell (1), Dave Slaughter (1)</v>
      </c>
      <c r="BW132" s="8" t="str">
        <f t="shared" si="291"/>
        <v>Eliot Pugh</v>
      </c>
      <c r="BX132" s="8" t="str">
        <f t="shared" si="291"/>
        <v>Felix Bull, Elliot Fry, Matt Porter, Eliot Wilde</v>
      </c>
      <c r="BY132" s="8" t="str">
        <f t="shared" si="291"/>
        <v>Dara McCreary</v>
      </c>
      <c r="BZ132" s="8" t="str">
        <f t="shared" si="291"/>
        <v>Dave Slaughter</v>
      </c>
      <c r="CA132" s="8" t="str">
        <f t="shared" si="291"/>
        <v>Eliot Pugh</v>
      </c>
      <c r="CB132" s="8" t="str">
        <f t="shared" si="291"/>
        <v>Felix Bull (1), Dara McCreary, Matt Porter</v>
      </c>
      <c r="CC132" s="8" t="str">
        <f t="shared" si="291"/>
        <v>Andy Fernando, Kaspars 'Stripes' Veips</v>
      </c>
      <c r="CD132" s="8" t="str">
        <f t="shared" si="291"/>
        <v>Tom Hatton, Dave Slaughter</v>
      </c>
      <c r="CE132" s="8" t="str">
        <f t="shared" si="291"/>
        <v>Eliot Pugh</v>
      </c>
      <c r="CF132" s="8" t="str">
        <f t="shared" si="291"/>
        <v>Andy Booth, Dara McCreary</v>
      </c>
      <c r="CG132" s="8" t="str">
        <f t="shared" si="291"/>
        <v>Andy Fernando, Kaspars 'Stripes' Veips</v>
      </c>
      <c r="CH132" s="8" t="str">
        <f t="shared" si="291"/>
        <v>Alex Griffiths, Tom Hatton, Dave Slaughter</v>
      </c>
      <c r="CI132" s="8" t="str">
        <f t="shared" ref="CI132:CL132" si="292">IF(CI91="",CI131,IF(CI131="",CI91,CI131&amp;", "&amp;CI91))</f>
        <v>Eliot Pugh</v>
      </c>
      <c r="CJ132" s="8" t="str">
        <f t="shared" si="292"/>
        <v>Felix Bull, Dave Copple, Elliot Fry, Eliot Wilde</v>
      </c>
      <c r="CK132" s="8" t="str">
        <f t="shared" si="292"/>
        <v>Andy Fernando, James Keal (1), Dara McCreary</v>
      </c>
      <c r="CL132" s="8" t="str">
        <f t="shared" si="292"/>
        <v>Andy Booth, Darren Novell, Dave Slaughter</v>
      </c>
    </row>
    <row r="133" spans="3:90" x14ac:dyDescent="0.2">
      <c r="E133" s="8">
        <f t="shared" si="209"/>
        <v>32</v>
      </c>
      <c r="G133" s="8" t="str">
        <f t="shared" ref="G133:BJ133" si="293">IF(G92="",G132,IF(G132="",G92,G132&amp;", "&amp;G92))</f>
        <v>Dan Murphy</v>
      </c>
      <c r="H133" s="8" t="str">
        <f t="shared" si="293"/>
        <v>Andy Booth, Felix Bull, Matt Porter, Dave Slaughter, Eliot Wilde</v>
      </c>
      <c r="I133" s="8" t="str">
        <f t="shared" si="293"/>
        <v>Dave Baldwin (2), Andy Fernando, Alex Griffiths, Tom Hatton (5)</v>
      </c>
      <c r="J133" s="8" t="str">
        <f t="shared" si="293"/>
        <v>Justin Baranowski, Darren Novell (1), Matt Payne</v>
      </c>
      <c r="K133" s="8" t="str">
        <f t="shared" si="293"/>
        <v>Dan Murphy</v>
      </c>
      <c r="L133" s="8" t="str">
        <f t="shared" si="293"/>
        <v>Felix Bull, Dara McCreary, Dave Slaughter, Eliot Wilde</v>
      </c>
      <c r="M133" s="8" t="str">
        <f t="shared" si="293"/>
        <v>Dave Baldwin (1), Ben Colville (1), Andy Fernando, Tom Hatton, James Keal</v>
      </c>
      <c r="N133" s="8" t="str">
        <f t="shared" si="293"/>
        <v>Andy Booth</v>
      </c>
      <c r="O133" s="8" t="str">
        <f t="shared" si="293"/>
        <v>Dan Murphy</v>
      </c>
      <c r="P133" s="8" t="str">
        <f t="shared" si="293"/>
        <v>Andy Booth, Felix Bull, Elliot Fry, Dara McCreary, Matt Porter, Eliot Wilde</v>
      </c>
      <c r="Q133" s="8" t="str">
        <f t="shared" si="293"/>
        <v>Dave Baldwin, Rob Clark, Andy Fernando, Alex Griffiths, Tom Hatton, James Keal, Chase Stuart</v>
      </c>
      <c r="R133" s="8" t="str">
        <f t="shared" si="293"/>
        <v>Justin Baranowski, Darren Novell, Matt Payne (2)</v>
      </c>
      <c r="S133" s="8" t="str">
        <f t="shared" si="293"/>
        <v>Dan Murphy</v>
      </c>
      <c r="T133" s="8" t="str">
        <f t="shared" si="293"/>
        <v>Andy Booth, Felix Bull, Elliot Fry, Jussi Grut, Dara McCreary, Kaspars 'Stripes' Veips</v>
      </c>
      <c r="U133" s="8" t="str">
        <f t="shared" si="293"/>
        <v>Dave Baldwin (1), Rob Clark, Andy Fernando, Alex Griffiths, Tom Hatton, James Keal</v>
      </c>
      <c r="V133" s="8" t="str">
        <f t="shared" si="293"/>
        <v>Justin Baranowski (2), Darren Novell, Matt Payne (1)</v>
      </c>
      <c r="W133" s="8" t="str">
        <f t="shared" si="293"/>
        <v/>
      </c>
      <c r="X133" s="8" t="str">
        <f t="shared" si="293"/>
        <v/>
      </c>
      <c r="Y133" s="8" t="str">
        <f t="shared" si="293"/>
        <v/>
      </c>
      <c r="Z133" s="8" t="str">
        <f t="shared" si="293"/>
        <v/>
      </c>
      <c r="AA133" s="8" t="str">
        <f t="shared" si="293"/>
        <v>Dan Murphy</v>
      </c>
      <c r="AB133" s="8" t="str">
        <f t="shared" si="293"/>
        <v>Felix Bull, Elliot Fry, Dave Slaughter, Eliot Wilde</v>
      </c>
      <c r="AC133" s="8" t="str">
        <f t="shared" si="293"/>
        <v>Dave Baldwin (1), Rob Clark, Andy Fernando, Alex Griffiths, Kaspars 'Stripes' Veips (2)</v>
      </c>
      <c r="AD133" s="8" t="str">
        <f t="shared" si="293"/>
        <v>Justin Baranowski, Tom Hatton (1), Darren Novell</v>
      </c>
      <c r="AE133" s="8" t="str">
        <f t="shared" si="293"/>
        <v>Dan Murphy</v>
      </c>
      <c r="AF133" s="8" t="str">
        <f t="shared" si="293"/>
        <v>Elliot Fry, Dara McCreary, Dave Slaughter, Eliot Wilde</v>
      </c>
      <c r="AG133" s="8" t="str">
        <f t="shared" si="293"/>
        <v>Dave Baldwin (1), Alex Griffiths, Jussi Grut, James Keal (1), Matt Payne (4)</v>
      </c>
      <c r="AH133" s="8" t="str">
        <f t="shared" si="293"/>
        <v>Justin Baranowski (1), Tom Hatton, Darren Novell (1)</v>
      </c>
      <c r="AI133" s="8" t="e">
        <f t="shared" si="293"/>
        <v>#REF!</v>
      </c>
      <c r="AJ133" s="8" t="e">
        <f t="shared" si="293"/>
        <v>#REF!</v>
      </c>
      <c r="AK133" s="8" t="e">
        <f t="shared" si="293"/>
        <v>#REF!</v>
      </c>
      <c r="AL133" s="8" t="e">
        <f t="shared" si="293"/>
        <v>#REF!</v>
      </c>
      <c r="AM133" s="8" t="str">
        <f t="shared" si="293"/>
        <v/>
      </c>
      <c r="AN133" s="8" t="str">
        <f t="shared" si="293"/>
        <v/>
      </c>
      <c r="AO133" s="8" t="str">
        <f t="shared" si="293"/>
        <v/>
      </c>
      <c r="AP133" s="8" t="str">
        <f t="shared" si="293"/>
        <v/>
      </c>
      <c r="AQ133" s="8" t="str">
        <f t="shared" si="293"/>
        <v>Dan Murphy</v>
      </c>
      <c r="AR133" s="8" t="str">
        <f t="shared" si="293"/>
        <v>Felix Bull, Elliot Fry, Dave Slaughter</v>
      </c>
      <c r="AS133" s="8" t="str">
        <f t="shared" si="293"/>
        <v>Alex Griffiths (1), Kaspars 'Stripes' Veips (2), Eliot Wilde</v>
      </c>
      <c r="AT133" s="8" t="str">
        <f t="shared" si="293"/>
        <v>Andy Booth, Jussi Grut, Dara McCreary (1)</v>
      </c>
      <c r="AU133" s="8" t="str">
        <f t="shared" si="293"/>
        <v>Eliot Pugh</v>
      </c>
      <c r="AV133" s="8" t="str">
        <f t="shared" si="293"/>
        <v>Dave Copple, Elliot Fry, Eliot Wilde</v>
      </c>
      <c r="AW133" s="8" t="str">
        <f t="shared" si="293"/>
        <v>Dave Baldwin, Andy Fernando, Alex Griffiths, Kaspars 'Stripes' Veips (4)</v>
      </c>
      <c r="AX133" s="8" t="str">
        <f t="shared" si="293"/>
        <v>Tom Hatton (1,4A), James Keal, Dara McCreary</v>
      </c>
      <c r="AY133" s="8" t="str">
        <f t="shared" si="293"/>
        <v>Eliot Pugh</v>
      </c>
      <c r="AZ133" s="8" t="str">
        <f t="shared" si="293"/>
        <v>Felix Bull, Dave Copple, Elliot Fry, Eliot Wilde</v>
      </c>
      <c r="BA133" s="8" t="str">
        <f t="shared" si="293"/>
        <v>Dave Baldwin, Andy Fernando, Kaspars 'Stripes' Veips</v>
      </c>
      <c r="BB133" s="8" t="str">
        <f t="shared" si="293"/>
        <v>Andy Booth, Alex Griffiths, Darren Novell</v>
      </c>
      <c r="BC133" s="8" t="str">
        <f t="shared" si="293"/>
        <v/>
      </c>
      <c r="BD133" s="8" t="str">
        <f t="shared" si="293"/>
        <v/>
      </c>
      <c r="BE133" s="8" t="str">
        <f t="shared" si="293"/>
        <v/>
      </c>
      <c r="BF133" s="8" t="str">
        <f t="shared" si="293"/>
        <v/>
      </c>
      <c r="BG133" s="8" t="str">
        <f t="shared" si="293"/>
        <v/>
      </c>
      <c r="BH133" s="8" t="str">
        <f t="shared" si="293"/>
        <v/>
      </c>
      <c r="BI133" s="8" t="str">
        <f t="shared" si="293"/>
        <v/>
      </c>
      <c r="BJ133" s="8" t="str">
        <f t="shared" si="293"/>
        <v/>
      </c>
      <c r="BK133" s="8" t="str">
        <f t="shared" ref="BK133:CH133" si="294">IF(BK92="",BK132,IF(BK132="",BK92,BK132&amp;", "&amp;BK92))</f>
        <v/>
      </c>
      <c r="BL133" s="8" t="str">
        <f t="shared" si="294"/>
        <v/>
      </c>
      <c r="BM133" s="8" t="str">
        <f t="shared" si="294"/>
        <v/>
      </c>
      <c r="BN133" s="8" t="str">
        <f t="shared" si="294"/>
        <v/>
      </c>
      <c r="BO133" s="8" t="str">
        <f t="shared" si="294"/>
        <v>Eliot Pugh</v>
      </c>
      <c r="BP133" s="8" t="str">
        <f t="shared" si="294"/>
        <v>Felix Bull (1), Dave Copple, Elliot Fry, Eliot Wilde</v>
      </c>
      <c r="BQ133" s="8" t="str">
        <f t="shared" si="294"/>
        <v>Andy Fernando, Alex Griffiths, Kaspars 'Stripes' Veips, Hugh Mitchison</v>
      </c>
      <c r="BR133" s="8" t="str">
        <f t="shared" si="294"/>
        <v>Tom Hatton, Darren Novell, Dave Slaughter</v>
      </c>
      <c r="BS133" s="8" t="str">
        <f t="shared" si="294"/>
        <v>Eliot Pugh</v>
      </c>
      <c r="BT133" s="8" t="str">
        <f t="shared" si="294"/>
        <v>Felix Bull, Dave Copple, Elliot Fry, Dara McCreary, Eliot Wilde</v>
      </c>
      <c r="BU133" s="8" t="str">
        <f t="shared" si="294"/>
        <v>Alex Griffiths, James Keal, Dan (2)</v>
      </c>
      <c r="BV133" s="8" t="str">
        <f t="shared" si="294"/>
        <v>Tom Hatton (1), Darren Novell (1), Dave Slaughter (1)</v>
      </c>
      <c r="BW133" s="8" t="str">
        <f t="shared" si="294"/>
        <v>Eliot Pugh</v>
      </c>
      <c r="BX133" s="8" t="str">
        <f t="shared" si="294"/>
        <v>Felix Bull, Elliot Fry, Matt Porter, Eliot Wilde</v>
      </c>
      <c r="BY133" s="8" t="str">
        <f t="shared" si="294"/>
        <v>Dara McCreary</v>
      </c>
      <c r="BZ133" s="8" t="str">
        <f t="shared" si="294"/>
        <v>Dave Slaughter</v>
      </c>
      <c r="CA133" s="8" t="str">
        <f t="shared" si="294"/>
        <v>Eliot Pugh</v>
      </c>
      <c r="CB133" s="8" t="str">
        <f t="shared" si="294"/>
        <v>Felix Bull (1), Dara McCreary, Matt Porter</v>
      </c>
      <c r="CC133" s="8" t="str">
        <f t="shared" si="294"/>
        <v>Andy Fernando, Kaspars 'Stripes' Veips</v>
      </c>
      <c r="CD133" s="8" t="str">
        <f t="shared" si="294"/>
        <v>Tom Hatton, Dave Slaughter</v>
      </c>
      <c r="CE133" s="8" t="str">
        <f t="shared" si="294"/>
        <v>Eliot Pugh</v>
      </c>
      <c r="CF133" s="8" t="str">
        <f t="shared" si="294"/>
        <v>Andy Booth, Dara McCreary</v>
      </c>
      <c r="CG133" s="8" t="str">
        <f t="shared" si="294"/>
        <v>Andy Fernando, Kaspars 'Stripes' Veips</v>
      </c>
      <c r="CH133" s="8" t="str">
        <f t="shared" si="294"/>
        <v>Alex Griffiths, Tom Hatton, Dave Slaughter</v>
      </c>
      <c r="CI133" s="8" t="str">
        <f t="shared" ref="CI133:CL133" si="295">IF(CI92="",CI132,IF(CI132="",CI92,CI132&amp;", "&amp;CI92))</f>
        <v>Eliot Pugh</v>
      </c>
      <c r="CJ133" s="8" t="str">
        <f t="shared" si="295"/>
        <v>Felix Bull, Dave Copple, Elliot Fry, Eliot Wilde</v>
      </c>
      <c r="CK133" s="8" t="str">
        <f t="shared" si="295"/>
        <v>Andy Fernando, James Keal (1), Dara McCreary</v>
      </c>
      <c r="CL133" s="8" t="str">
        <f t="shared" si="295"/>
        <v>Andy Booth, Darren Novell, Dave Slaughter</v>
      </c>
    </row>
    <row r="134" spans="3:90" x14ac:dyDescent="0.2">
      <c r="E134" s="8">
        <f t="shared" si="209"/>
        <v>33</v>
      </c>
      <c r="G134" s="8" t="str">
        <f t="shared" ref="G134:BJ134" si="296">IF(G93="",G133,IF(G133="",G93,G133&amp;", "&amp;G93))</f>
        <v>Dan Murphy</v>
      </c>
      <c r="H134" s="8" t="str">
        <f t="shared" si="296"/>
        <v>Andy Booth, Felix Bull, Matt Porter, Dave Slaughter, Eliot Wilde</v>
      </c>
      <c r="I134" s="8" t="str">
        <f t="shared" si="296"/>
        <v>Dave Baldwin (2), Andy Fernando, Alex Griffiths, Tom Hatton (5)</v>
      </c>
      <c r="J134" s="8" t="str">
        <f t="shared" si="296"/>
        <v>Justin Baranowski, Darren Novell (1), Matt Payne</v>
      </c>
      <c r="K134" s="8" t="str">
        <f t="shared" si="296"/>
        <v>Dan Murphy</v>
      </c>
      <c r="L134" s="8" t="str">
        <f t="shared" si="296"/>
        <v>Felix Bull, Dara McCreary, Dave Slaughter, Eliot Wilde</v>
      </c>
      <c r="M134" s="8" t="str">
        <f t="shared" si="296"/>
        <v>Dave Baldwin (1), Ben Colville (1), Andy Fernando, Tom Hatton, James Keal</v>
      </c>
      <c r="N134" s="8" t="str">
        <f t="shared" si="296"/>
        <v>Andy Booth</v>
      </c>
      <c r="O134" s="8" t="str">
        <f t="shared" si="296"/>
        <v>Dan Murphy</v>
      </c>
      <c r="P134" s="8" t="str">
        <f t="shared" si="296"/>
        <v>Andy Booth, Felix Bull, Elliot Fry, Dara McCreary, Matt Porter, Eliot Wilde</v>
      </c>
      <c r="Q134" s="8" t="str">
        <f t="shared" si="296"/>
        <v>Dave Baldwin, Rob Clark, Andy Fernando, Alex Griffiths, Tom Hatton, James Keal, Chase Stuart</v>
      </c>
      <c r="R134" s="8" t="str">
        <f t="shared" si="296"/>
        <v>Justin Baranowski, Darren Novell, Matt Payne (2)</v>
      </c>
      <c r="S134" s="8" t="str">
        <f t="shared" si="296"/>
        <v>Dan Murphy</v>
      </c>
      <c r="T134" s="8" t="str">
        <f t="shared" si="296"/>
        <v>Andy Booth, Felix Bull, Elliot Fry, Jussi Grut, Dara McCreary, Kaspars 'Stripes' Veips</v>
      </c>
      <c r="U134" s="8" t="str">
        <f t="shared" si="296"/>
        <v>Dave Baldwin (1), Rob Clark, Andy Fernando, Alex Griffiths, Tom Hatton, James Keal</v>
      </c>
      <c r="V134" s="8" t="str">
        <f t="shared" si="296"/>
        <v>Justin Baranowski (2), Darren Novell, Matt Payne (1)</v>
      </c>
      <c r="W134" s="8" t="str">
        <f t="shared" si="296"/>
        <v/>
      </c>
      <c r="X134" s="8" t="str">
        <f t="shared" si="296"/>
        <v/>
      </c>
      <c r="Y134" s="8" t="str">
        <f t="shared" si="296"/>
        <v/>
      </c>
      <c r="Z134" s="8" t="str">
        <f t="shared" si="296"/>
        <v/>
      </c>
      <c r="AA134" s="8" t="str">
        <f t="shared" si="296"/>
        <v>Dan Murphy</v>
      </c>
      <c r="AB134" s="8" t="str">
        <f t="shared" si="296"/>
        <v>Felix Bull, Elliot Fry, Dave Slaughter, Eliot Wilde</v>
      </c>
      <c r="AC134" s="8" t="str">
        <f t="shared" si="296"/>
        <v>Dave Baldwin (1), Rob Clark, Andy Fernando, Alex Griffiths, Kaspars 'Stripes' Veips (2)</v>
      </c>
      <c r="AD134" s="8" t="str">
        <f t="shared" si="296"/>
        <v>Justin Baranowski, Tom Hatton (1), Darren Novell</v>
      </c>
      <c r="AE134" s="8" t="str">
        <f t="shared" si="296"/>
        <v>Dan Murphy</v>
      </c>
      <c r="AF134" s="8" t="str">
        <f t="shared" si="296"/>
        <v>Elliot Fry, Dara McCreary, Dave Slaughter, Eliot Wilde</v>
      </c>
      <c r="AG134" s="8" t="str">
        <f t="shared" si="296"/>
        <v>Dave Baldwin (1), Alex Griffiths, Jussi Grut, James Keal (1), Matt Payne (4)</v>
      </c>
      <c r="AH134" s="8" t="str">
        <f t="shared" si="296"/>
        <v>Justin Baranowski (1), Tom Hatton, Darren Novell (1)</v>
      </c>
      <c r="AI134" s="8" t="e">
        <f t="shared" si="296"/>
        <v>#REF!</v>
      </c>
      <c r="AJ134" s="8" t="e">
        <f t="shared" si="296"/>
        <v>#REF!</v>
      </c>
      <c r="AK134" s="8" t="e">
        <f t="shared" si="296"/>
        <v>#REF!</v>
      </c>
      <c r="AL134" s="8" t="e">
        <f t="shared" si="296"/>
        <v>#REF!</v>
      </c>
      <c r="AM134" s="8" t="str">
        <f t="shared" si="296"/>
        <v/>
      </c>
      <c r="AN134" s="8" t="str">
        <f t="shared" si="296"/>
        <v/>
      </c>
      <c r="AO134" s="8" t="str">
        <f t="shared" si="296"/>
        <v/>
      </c>
      <c r="AP134" s="8" t="str">
        <f t="shared" si="296"/>
        <v/>
      </c>
      <c r="AQ134" s="8" t="str">
        <f t="shared" si="296"/>
        <v>Dan Murphy</v>
      </c>
      <c r="AR134" s="8" t="str">
        <f t="shared" si="296"/>
        <v>Felix Bull, Elliot Fry, Dave Slaughter</v>
      </c>
      <c r="AS134" s="8" t="str">
        <f t="shared" si="296"/>
        <v>Alex Griffiths (1), Kaspars 'Stripes' Veips (2), Eliot Wilde</v>
      </c>
      <c r="AT134" s="8" t="str">
        <f t="shared" si="296"/>
        <v>Andy Booth, Jussi Grut, Dara McCreary (1)</v>
      </c>
      <c r="AU134" s="8" t="str">
        <f t="shared" si="296"/>
        <v>Eliot Pugh</v>
      </c>
      <c r="AV134" s="8" t="str">
        <f t="shared" si="296"/>
        <v>Dave Copple, Elliot Fry, Eliot Wilde</v>
      </c>
      <c r="AW134" s="8" t="str">
        <f t="shared" si="296"/>
        <v>Dave Baldwin, Andy Fernando, Alex Griffiths, Kaspars 'Stripes' Veips (4)</v>
      </c>
      <c r="AX134" s="8" t="str">
        <f t="shared" si="296"/>
        <v>Tom Hatton (1,4A), James Keal, Dara McCreary</v>
      </c>
      <c r="AY134" s="8" t="str">
        <f t="shared" si="296"/>
        <v>Eliot Pugh</v>
      </c>
      <c r="AZ134" s="8" t="str">
        <f t="shared" si="296"/>
        <v>Felix Bull, Dave Copple, Elliot Fry, Eliot Wilde</v>
      </c>
      <c r="BA134" s="8" t="str">
        <f t="shared" si="296"/>
        <v>Dave Baldwin, Andy Fernando, Kaspars 'Stripes' Veips</v>
      </c>
      <c r="BB134" s="8" t="str">
        <f t="shared" si="296"/>
        <v>Andy Booth, Alex Griffiths, Darren Novell</v>
      </c>
      <c r="BC134" s="8" t="str">
        <f t="shared" si="296"/>
        <v/>
      </c>
      <c r="BD134" s="8" t="str">
        <f t="shared" si="296"/>
        <v/>
      </c>
      <c r="BE134" s="8" t="str">
        <f t="shared" si="296"/>
        <v/>
      </c>
      <c r="BF134" s="8" t="str">
        <f t="shared" si="296"/>
        <v/>
      </c>
      <c r="BG134" s="8" t="str">
        <f t="shared" si="296"/>
        <v/>
      </c>
      <c r="BH134" s="8" t="str">
        <f t="shared" si="296"/>
        <v/>
      </c>
      <c r="BI134" s="8" t="str">
        <f t="shared" si="296"/>
        <v/>
      </c>
      <c r="BJ134" s="8" t="str">
        <f t="shared" si="296"/>
        <v/>
      </c>
      <c r="BK134" s="8" t="str">
        <f t="shared" ref="BK134:CH134" si="297">IF(BK93="",BK133,IF(BK133="",BK93,BK133&amp;", "&amp;BK93))</f>
        <v/>
      </c>
      <c r="BL134" s="8" t="str">
        <f t="shared" si="297"/>
        <v/>
      </c>
      <c r="BM134" s="8" t="str">
        <f t="shared" si="297"/>
        <v/>
      </c>
      <c r="BN134" s="8" t="str">
        <f t="shared" si="297"/>
        <v/>
      </c>
      <c r="BO134" s="8" t="str">
        <f t="shared" si="297"/>
        <v>Eliot Pugh</v>
      </c>
      <c r="BP134" s="8" t="str">
        <f t="shared" si="297"/>
        <v>Felix Bull (1), Dave Copple, Elliot Fry, Eliot Wilde</v>
      </c>
      <c r="BQ134" s="8" t="str">
        <f t="shared" si="297"/>
        <v>Andy Fernando, Alex Griffiths, Kaspars 'Stripes' Veips, Hugh Mitchison</v>
      </c>
      <c r="BR134" s="8" t="str">
        <f t="shared" si="297"/>
        <v>Tom Hatton, Darren Novell, Dave Slaughter</v>
      </c>
      <c r="BS134" s="8" t="str">
        <f t="shared" si="297"/>
        <v>Eliot Pugh</v>
      </c>
      <c r="BT134" s="8" t="str">
        <f t="shared" si="297"/>
        <v>Felix Bull, Dave Copple, Elliot Fry, Dara McCreary, Eliot Wilde</v>
      </c>
      <c r="BU134" s="8" t="str">
        <f t="shared" si="297"/>
        <v>Alex Griffiths, James Keal, Dan (2)</v>
      </c>
      <c r="BV134" s="8" t="str">
        <f t="shared" si="297"/>
        <v>Tom Hatton (1), Darren Novell (1), Dave Slaughter (1)</v>
      </c>
      <c r="BW134" s="8" t="str">
        <f t="shared" si="297"/>
        <v>Eliot Pugh</v>
      </c>
      <c r="BX134" s="8" t="str">
        <f t="shared" si="297"/>
        <v>Felix Bull, Elliot Fry, Matt Porter, Eliot Wilde</v>
      </c>
      <c r="BY134" s="8" t="str">
        <f t="shared" si="297"/>
        <v>Dara McCreary</v>
      </c>
      <c r="BZ134" s="8" t="str">
        <f t="shared" si="297"/>
        <v>Dave Slaughter</v>
      </c>
      <c r="CA134" s="8" t="str">
        <f t="shared" si="297"/>
        <v>Eliot Pugh</v>
      </c>
      <c r="CB134" s="8" t="str">
        <f t="shared" si="297"/>
        <v>Felix Bull (1), Dara McCreary, Matt Porter</v>
      </c>
      <c r="CC134" s="8" t="str">
        <f t="shared" si="297"/>
        <v>Andy Fernando, Kaspars 'Stripes' Veips</v>
      </c>
      <c r="CD134" s="8" t="str">
        <f t="shared" si="297"/>
        <v>Tom Hatton, Dave Slaughter</v>
      </c>
      <c r="CE134" s="8" t="str">
        <f t="shared" si="297"/>
        <v>Eliot Pugh</v>
      </c>
      <c r="CF134" s="8" t="str">
        <f t="shared" si="297"/>
        <v>Andy Booth, Dara McCreary</v>
      </c>
      <c r="CG134" s="8" t="str">
        <f t="shared" si="297"/>
        <v>Andy Fernando, Kaspars 'Stripes' Veips, Jimmy (3)</v>
      </c>
      <c r="CH134" s="8" t="str">
        <f t="shared" si="297"/>
        <v>Alex Griffiths, Tom Hatton, Dave Slaughter</v>
      </c>
      <c r="CI134" s="8" t="str">
        <f t="shared" ref="CI134:CL134" si="298">IF(CI93="",CI133,IF(CI133="",CI93,CI133&amp;", "&amp;CI93))</f>
        <v>Eliot Pugh</v>
      </c>
      <c r="CJ134" s="8" t="str">
        <f t="shared" si="298"/>
        <v>Felix Bull, Dave Copple, Elliot Fry, Eliot Wilde</v>
      </c>
      <c r="CK134" s="8" t="str">
        <f t="shared" si="298"/>
        <v>Andy Fernando, James Keal (1), Dara McCreary</v>
      </c>
      <c r="CL134" s="8" t="str">
        <f t="shared" si="298"/>
        <v>Andy Booth, Darren Novell, Dave Slaughter</v>
      </c>
    </row>
    <row r="135" spans="3:90" x14ac:dyDescent="0.2">
      <c r="E135" s="8">
        <f t="shared" si="209"/>
        <v>34</v>
      </c>
      <c r="G135" s="8" t="str">
        <f t="shared" ref="G135:BJ135" si="299">IF(G94="",G134,IF(G134="",G94,G134&amp;", "&amp;G94))</f>
        <v>Dan Murphy</v>
      </c>
      <c r="H135" s="8" t="str">
        <f t="shared" si="299"/>
        <v>Andy Booth, Felix Bull, Matt Porter, Dave Slaughter, Eliot Wilde</v>
      </c>
      <c r="I135" s="8" t="str">
        <f t="shared" si="299"/>
        <v>Dave Baldwin (2), Andy Fernando, Alex Griffiths, Tom Hatton (5)</v>
      </c>
      <c r="J135" s="8" t="str">
        <f t="shared" si="299"/>
        <v>Justin Baranowski, Darren Novell (1), Matt Payne</v>
      </c>
      <c r="K135" s="8" t="str">
        <f t="shared" si="299"/>
        <v>Dan Murphy</v>
      </c>
      <c r="L135" s="8" t="str">
        <f t="shared" si="299"/>
        <v>Felix Bull, Dara McCreary, Dave Slaughter, Eliot Wilde</v>
      </c>
      <c r="M135" s="8" t="str">
        <f t="shared" si="299"/>
        <v>Dave Baldwin (1), Ben Colville (1), Andy Fernando, Tom Hatton, James Keal</v>
      </c>
      <c r="N135" s="8" t="str">
        <f t="shared" si="299"/>
        <v>Andy Booth</v>
      </c>
      <c r="O135" s="8" t="str">
        <f t="shared" si="299"/>
        <v>Dan Murphy</v>
      </c>
      <c r="P135" s="8" t="str">
        <f t="shared" si="299"/>
        <v>Andy Booth, Felix Bull, Elliot Fry, Dara McCreary, Matt Porter, Eliot Wilde</v>
      </c>
      <c r="Q135" s="8" t="str">
        <f t="shared" si="299"/>
        <v>Dave Baldwin, Rob Clark, Andy Fernando, Alex Griffiths, Tom Hatton, James Keal, Chase Stuart</v>
      </c>
      <c r="R135" s="8" t="str">
        <f t="shared" si="299"/>
        <v>Justin Baranowski, Darren Novell, Matt Payne (2)</v>
      </c>
      <c r="S135" s="8" t="str">
        <f t="shared" si="299"/>
        <v>Dan Murphy</v>
      </c>
      <c r="T135" s="8" t="str">
        <f t="shared" si="299"/>
        <v>Andy Booth, Felix Bull, Elliot Fry, Jussi Grut, Dara McCreary, Kaspars 'Stripes' Veips</v>
      </c>
      <c r="U135" s="8" t="str">
        <f t="shared" si="299"/>
        <v>Dave Baldwin (1), Rob Clark, Andy Fernando, Alex Griffiths, Tom Hatton, James Keal</v>
      </c>
      <c r="V135" s="8" t="str">
        <f t="shared" si="299"/>
        <v>Justin Baranowski (2), Darren Novell, Matt Payne (1)</v>
      </c>
      <c r="W135" s="8" t="str">
        <f t="shared" si="299"/>
        <v/>
      </c>
      <c r="X135" s="8" t="str">
        <f t="shared" si="299"/>
        <v/>
      </c>
      <c r="Y135" s="8" t="str">
        <f t="shared" si="299"/>
        <v/>
      </c>
      <c r="Z135" s="8" t="str">
        <f t="shared" si="299"/>
        <v/>
      </c>
      <c r="AA135" s="8" t="str">
        <f t="shared" si="299"/>
        <v>Dan Murphy</v>
      </c>
      <c r="AB135" s="8" t="str">
        <f t="shared" si="299"/>
        <v>Felix Bull, Elliot Fry, Dave Slaughter, Eliot Wilde</v>
      </c>
      <c r="AC135" s="8" t="str">
        <f t="shared" si="299"/>
        <v>Dave Baldwin (1), Rob Clark, Andy Fernando, Alex Griffiths, Kaspars 'Stripes' Veips (2)</v>
      </c>
      <c r="AD135" s="8" t="str">
        <f t="shared" si="299"/>
        <v>Justin Baranowski, Tom Hatton (1), Darren Novell</v>
      </c>
      <c r="AE135" s="8" t="str">
        <f t="shared" si="299"/>
        <v>Dan Murphy</v>
      </c>
      <c r="AF135" s="8" t="str">
        <f t="shared" si="299"/>
        <v>Elliot Fry, Dara McCreary, Dave Slaughter, Eliot Wilde</v>
      </c>
      <c r="AG135" s="8" t="str">
        <f t="shared" si="299"/>
        <v>Dave Baldwin (1), Alex Griffiths, Jussi Grut, James Keal (1), Matt Payne (4)</v>
      </c>
      <c r="AH135" s="8" t="str">
        <f t="shared" si="299"/>
        <v>Justin Baranowski (1), Tom Hatton, Darren Novell (1)</v>
      </c>
      <c r="AI135" s="8" t="e">
        <f t="shared" si="299"/>
        <v>#REF!</v>
      </c>
      <c r="AJ135" s="8" t="e">
        <f t="shared" si="299"/>
        <v>#REF!</v>
      </c>
      <c r="AK135" s="8" t="e">
        <f t="shared" si="299"/>
        <v>#REF!</v>
      </c>
      <c r="AL135" s="8" t="e">
        <f t="shared" si="299"/>
        <v>#REF!</v>
      </c>
      <c r="AM135" s="8" t="str">
        <f t="shared" si="299"/>
        <v/>
      </c>
      <c r="AN135" s="8" t="str">
        <f t="shared" si="299"/>
        <v/>
      </c>
      <c r="AO135" s="8" t="str">
        <f t="shared" si="299"/>
        <v/>
      </c>
      <c r="AP135" s="8" t="str">
        <f t="shared" si="299"/>
        <v/>
      </c>
      <c r="AQ135" s="8" t="str">
        <f t="shared" si="299"/>
        <v>Dan Murphy</v>
      </c>
      <c r="AR135" s="8" t="str">
        <f t="shared" si="299"/>
        <v>Felix Bull, Elliot Fry, Dave Slaughter</v>
      </c>
      <c r="AS135" s="8" t="str">
        <f t="shared" si="299"/>
        <v>Alex Griffiths (1), Kaspars 'Stripes' Veips (2), Eliot Wilde</v>
      </c>
      <c r="AT135" s="8" t="str">
        <f t="shared" si="299"/>
        <v>Andy Booth, Jussi Grut, Dara McCreary (1)</v>
      </c>
      <c r="AU135" s="8" t="str">
        <f t="shared" si="299"/>
        <v>Eliot Pugh</v>
      </c>
      <c r="AV135" s="8" t="str">
        <f t="shared" si="299"/>
        <v>Dave Copple, Elliot Fry, Eliot Wilde</v>
      </c>
      <c r="AW135" s="8" t="str">
        <f t="shared" si="299"/>
        <v>Dave Baldwin, Andy Fernando, Alex Griffiths, Kaspars 'Stripes' Veips (4)</v>
      </c>
      <c r="AX135" s="8" t="str">
        <f t="shared" si="299"/>
        <v>Tom Hatton (1,4A), James Keal, Dara McCreary</v>
      </c>
      <c r="AY135" s="8" t="str">
        <f t="shared" si="299"/>
        <v>Eliot Pugh</v>
      </c>
      <c r="AZ135" s="8" t="str">
        <f t="shared" si="299"/>
        <v>Felix Bull, Dave Copple, Elliot Fry, Eliot Wilde</v>
      </c>
      <c r="BA135" s="8" t="str">
        <f t="shared" si="299"/>
        <v>Dave Baldwin, Andy Fernando, Kaspars 'Stripes' Veips</v>
      </c>
      <c r="BB135" s="8" t="str">
        <f t="shared" si="299"/>
        <v>Andy Booth, Alex Griffiths, Darren Novell</v>
      </c>
      <c r="BC135" s="8" t="str">
        <f t="shared" si="299"/>
        <v/>
      </c>
      <c r="BD135" s="8" t="str">
        <f t="shared" si="299"/>
        <v/>
      </c>
      <c r="BE135" s="8" t="str">
        <f t="shared" si="299"/>
        <v/>
      </c>
      <c r="BF135" s="8" t="str">
        <f t="shared" si="299"/>
        <v/>
      </c>
      <c r="BG135" s="8" t="str">
        <f t="shared" si="299"/>
        <v/>
      </c>
      <c r="BH135" s="8" t="str">
        <f t="shared" si="299"/>
        <v/>
      </c>
      <c r="BI135" s="8" t="str">
        <f t="shared" si="299"/>
        <v/>
      </c>
      <c r="BJ135" s="8" t="str">
        <f t="shared" si="299"/>
        <v/>
      </c>
      <c r="BK135" s="8" t="str">
        <f t="shared" ref="BK135:CH135" si="300">IF(BK94="",BK134,IF(BK134="",BK94,BK134&amp;", "&amp;BK94))</f>
        <v/>
      </c>
      <c r="BL135" s="8" t="str">
        <f t="shared" si="300"/>
        <v/>
      </c>
      <c r="BM135" s="8" t="str">
        <f t="shared" si="300"/>
        <v/>
      </c>
      <c r="BN135" s="8" t="str">
        <f t="shared" si="300"/>
        <v/>
      </c>
      <c r="BO135" s="8" t="str">
        <f t="shared" si="300"/>
        <v>Eliot Pugh</v>
      </c>
      <c r="BP135" s="8" t="str">
        <f t="shared" si="300"/>
        <v>Felix Bull (1), Dave Copple, Elliot Fry, Eliot Wilde</v>
      </c>
      <c r="BQ135" s="8" t="str">
        <f t="shared" si="300"/>
        <v>Andy Fernando, Alex Griffiths, Kaspars 'Stripes' Veips, Hugh Mitchison</v>
      </c>
      <c r="BR135" s="8" t="str">
        <f t="shared" si="300"/>
        <v>Tom Hatton, Darren Novell, Dave Slaughter</v>
      </c>
      <c r="BS135" s="8" t="str">
        <f t="shared" si="300"/>
        <v>Eliot Pugh</v>
      </c>
      <c r="BT135" s="8" t="str">
        <f t="shared" si="300"/>
        <v>Felix Bull, Dave Copple, Elliot Fry, Dara McCreary, Eliot Wilde</v>
      </c>
      <c r="BU135" s="8" t="str">
        <f t="shared" si="300"/>
        <v>Alex Griffiths, James Keal, Dan (2)</v>
      </c>
      <c r="BV135" s="8" t="str">
        <f t="shared" si="300"/>
        <v>Tom Hatton (1), Darren Novell (1), Dave Slaughter (1)</v>
      </c>
      <c r="BW135" s="8" t="str">
        <f t="shared" si="300"/>
        <v>Eliot Pugh</v>
      </c>
      <c r="BX135" s="8" t="str">
        <f t="shared" si="300"/>
        <v>Felix Bull, Elliot Fry, Matt Porter, Eliot Wilde, Phil</v>
      </c>
      <c r="BY135" s="8" t="str">
        <f t="shared" si="300"/>
        <v>Dara McCreary</v>
      </c>
      <c r="BZ135" s="8" t="str">
        <f t="shared" si="300"/>
        <v>Dave Slaughter</v>
      </c>
      <c r="CA135" s="8" t="str">
        <f t="shared" si="300"/>
        <v>Eliot Pugh</v>
      </c>
      <c r="CB135" s="8" t="str">
        <f t="shared" si="300"/>
        <v>Felix Bull (1), Dara McCreary, Matt Porter</v>
      </c>
      <c r="CC135" s="8" t="str">
        <f t="shared" si="300"/>
        <v>Andy Fernando, Kaspars 'Stripes' Veips</v>
      </c>
      <c r="CD135" s="8" t="str">
        <f t="shared" si="300"/>
        <v>Tom Hatton, Dave Slaughter</v>
      </c>
      <c r="CE135" s="8" t="str">
        <f t="shared" si="300"/>
        <v>Eliot Pugh</v>
      </c>
      <c r="CF135" s="8" t="str">
        <f t="shared" si="300"/>
        <v>Andy Booth, Dara McCreary, Phil</v>
      </c>
      <c r="CG135" s="8" t="str">
        <f t="shared" si="300"/>
        <v>Andy Fernando, Kaspars 'Stripes' Veips, Jimmy (3)</v>
      </c>
      <c r="CH135" s="8" t="str">
        <f t="shared" si="300"/>
        <v>Alex Griffiths, Tom Hatton, Dave Slaughter</v>
      </c>
      <c r="CI135" s="8" t="str">
        <f t="shared" ref="CI135:CL135" si="301">IF(CI94="",CI134,IF(CI134="",CI94,CI134&amp;", "&amp;CI94))</f>
        <v>Eliot Pugh</v>
      </c>
      <c r="CJ135" s="8" t="str">
        <f t="shared" si="301"/>
        <v>Felix Bull, Dave Copple, Elliot Fry, Eliot Wilde</v>
      </c>
      <c r="CK135" s="8" t="str">
        <f t="shared" si="301"/>
        <v>Andy Fernando, James Keal (1), Dara McCreary</v>
      </c>
      <c r="CL135" s="8" t="str">
        <f t="shared" si="301"/>
        <v>Andy Booth, Darren Novell, Dave Slaughter</v>
      </c>
    </row>
    <row r="136" spans="3:90" x14ac:dyDescent="0.2">
      <c r="E136" s="8">
        <f t="shared" si="209"/>
        <v>35</v>
      </c>
      <c r="G136" s="8" t="str">
        <f t="shared" ref="G136:BJ136" si="302">IF(G95="",G135,IF(G135="",G95,G135&amp;", "&amp;G95))</f>
        <v>Dan Murphy</v>
      </c>
      <c r="H136" s="8" t="str">
        <f t="shared" si="302"/>
        <v>Andy Booth, Felix Bull, Matt Porter, Dave Slaughter, Eliot Wilde</v>
      </c>
      <c r="I136" s="8" t="str">
        <f t="shared" si="302"/>
        <v>Dave Baldwin (2), Andy Fernando, Alex Griffiths, Tom Hatton (5)</v>
      </c>
      <c r="J136" s="8" t="str">
        <f t="shared" si="302"/>
        <v>Justin Baranowski, Darren Novell (1), Matt Payne</v>
      </c>
      <c r="K136" s="8" t="str">
        <f t="shared" si="302"/>
        <v>Dan Murphy</v>
      </c>
      <c r="L136" s="8" t="str">
        <f t="shared" si="302"/>
        <v>Felix Bull, Dara McCreary, Dave Slaughter, Eliot Wilde</v>
      </c>
      <c r="M136" s="8" t="str">
        <f t="shared" si="302"/>
        <v>Dave Baldwin (1), Ben Colville (1), Andy Fernando, Tom Hatton, James Keal</v>
      </c>
      <c r="N136" s="8" t="str">
        <f t="shared" si="302"/>
        <v>Andy Booth</v>
      </c>
      <c r="O136" s="8" t="str">
        <f t="shared" si="302"/>
        <v>Dan Murphy</v>
      </c>
      <c r="P136" s="8" t="str">
        <f t="shared" si="302"/>
        <v>Andy Booth, Felix Bull, Elliot Fry, Dara McCreary, Matt Porter, Eliot Wilde</v>
      </c>
      <c r="Q136" s="8" t="str">
        <f t="shared" si="302"/>
        <v>Dave Baldwin, Rob Clark, Andy Fernando, Alex Griffiths, Tom Hatton, James Keal, Chase Stuart</v>
      </c>
      <c r="R136" s="8" t="str">
        <f t="shared" si="302"/>
        <v>Justin Baranowski, Darren Novell, Matt Payne (2)</v>
      </c>
      <c r="S136" s="8" t="str">
        <f t="shared" si="302"/>
        <v>Dan Murphy</v>
      </c>
      <c r="T136" s="8" t="str">
        <f t="shared" si="302"/>
        <v>Andy Booth, Felix Bull, Elliot Fry, Jussi Grut, Dara McCreary, Kaspars 'Stripes' Veips</v>
      </c>
      <c r="U136" s="8" t="str">
        <f t="shared" si="302"/>
        <v>Dave Baldwin (1), Rob Clark, Andy Fernando, Alex Griffiths, Tom Hatton, James Keal</v>
      </c>
      <c r="V136" s="8" t="str">
        <f t="shared" si="302"/>
        <v>Justin Baranowski (2), Darren Novell, Matt Payne (1)</v>
      </c>
      <c r="W136" s="8" t="str">
        <f t="shared" si="302"/>
        <v/>
      </c>
      <c r="X136" s="8" t="str">
        <f t="shared" si="302"/>
        <v/>
      </c>
      <c r="Y136" s="8" t="str">
        <f t="shared" si="302"/>
        <v/>
      </c>
      <c r="Z136" s="8" t="str">
        <f t="shared" si="302"/>
        <v/>
      </c>
      <c r="AA136" s="8" t="str">
        <f t="shared" si="302"/>
        <v>Dan Murphy</v>
      </c>
      <c r="AB136" s="8" t="str">
        <f t="shared" si="302"/>
        <v>Felix Bull, Elliot Fry, Dave Slaughter, Eliot Wilde</v>
      </c>
      <c r="AC136" s="8" t="str">
        <f t="shared" si="302"/>
        <v>Dave Baldwin (1), Rob Clark, Andy Fernando, Alex Griffiths, Kaspars 'Stripes' Veips (2)</v>
      </c>
      <c r="AD136" s="8" t="str">
        <f t="shared" si="302"/>
        <v>Justin Baranowski, Tom Hatton (1), Darren Novell</v>
      </c>
      <c r="AE136" s="8" t="str">
        <f t="shared" si="302"/>
        <v>Dan Murphy</v>
      </c>
      <c r="AF136" s="8" t="str">
        <f t="shared" si="302"/>
        <v>Elliot Fry, Dara McCreary, Dave Slaughter, Eliot Wilde</v>
      </c>
      <c r="AG136" s="8" t="str">
        <f t="shared" si="302"/>
        <v>Dave Baldwin (1), Alex Griffiths, Jussi Grut, James Keal (1), Matt Payne (4)</v>
      </c>
      <c r="AH136" s="8" t="str">
        <f t="shared" si="302"/>
        <v>Justin Baranowski (1), Tom Hatton, Darren Novell (1)</v>
      </c>
      <c r="AI136" s="8" t="e">
        <f t="shared" si="302"/>
        <v>#REF!</v>
      </c>
      <c r="AJ136" s="8" t="e">
        <f t="shared" si="302"/>
        <v>#REF!</v>
      </c>
      <c r="AK136" s="8" t="e">
        <f t="shared" si="302"/>
        <v>#REF!</v>
      </c>
      <c r="AL136" s="8" t="e">
        <f t="shared" si="302"/>
        <v>#REF!</v>
      </c>
      <c r="AM136" s="8" t="str">
        <f t="shared" si="302"/>
        <v/>
      </c>
      <c r="AN136" s="8" t="str">
        <f t="shared" si="302"/>
        <v/>
      </c>
      <c r="AO136" s="8" t="str">
        <f t="shared" si="302"/>
        <v/>
      </c>
      <c r="AP136" s="8" t="str">
        <f t="shared" si="302"/>
        <v/>
      </c>
      <c r="AQ136" s="8" t="str">
        <f t="shared" si="302"/>
        <v>Dan Murphy</v>
      </c>
      <c r="AR136" s="8" t="str">
        <f t="shared" si="302"/>
        <v>Felix Bull, Elliot Fry, Dave Slaughter</v>
      </c>
      <c r="AS136" s="8" t="str">
        <f t="shared" si="302"/>
        <v>Alex Griffiths (1), Kaspars 'Stripes' Veips (2), Eliot Wilde</v>
      </c>
      <c r="AT136" s="8" t="str">
        <f t="shared" si="302"/>
        <v>Andy Booth, Jussi Grut, Dara McCreary (1)</v>
      </c>
      <c r="AU136" s="8" t="str">
        <f t="shared" si="302"/>
        <v>Eliot Pugh</v>
      </c>
      <c r="AV136" s="8" t="str">
        <f t="shared" si="302"/>
        <v>Dave Copple, Elliot Fry, Eliot Wilde</v>
      </c>
      <c r="AW136" s="8" t="str">
        <f t="shared" si="302"/>
        <v>Dave Baldwin, Andy Fernando, Alex Griffiths, Kaspars 'Stripes' Veips (4)</v>
      </c>
      <c r="AX136" s="8" t="str">
        <f t="shared" si="302"/>
        <v>Tom Hatton (1,4A), James Keal, Dara McCreary</v>
      </c>
      <c r="AY136" s="8" t="str">
        <f t="shared" si="302"/>
        <v>Eliot Pugh</v>
      </c>
      <c r="AZ136" s="8" t="str">
        <f t="shared" si="302"/>
        <v>Felix Bull, Dave Copple, Elliot Fry, Eliot Wilde</v>
      </c>
      <c r="BA136" s="8" t="str">
        <f t="shared" si="302"/>
        <v>Dave Baldwin, Andy Fernando, Kaspars 'Stripes' Veips</v>
      </c>
      <c r="BB136" s="8" t="str">
        <f t="shared" si="302"/>
        <v>Andy Booth, Alex Griffiths, Darren Novell</v>
      </c>
      <c r="BC136" s="8" t="str">
        <f t="shared" si="302"/>
        <v/>
      </c>
      <c r="BD136" s="8" t="str">
        <f t="shared" si="302"/>
        <v/>
      </c>
      <c r="BE136" s="8" t="str">
        <f t="shared" si="302"/>
        <v/>
      </c>
      <c r="BF136" s="8" t="str">
        <f t="shared" si="302"/>
        <v/>
      </c>
      <c r="BG136" s="8" t="str">
        <f t="shared" si="302"/>
        <v/>
      </c>
      <c r="BH136" s="8" t="str">
        <f t="shared" si="302"/>
        <v/>
      </c>
      <c r="BI136" s="8" t="str">
        <f t="shared" si="302"/>
        <v/>
      </c>
      <c r="BJ136" s="8" t="str">
        <f t="shared" si="302"/>
        <v/>
      </c>
      <c r="BK136" s="8" t="str">
        <f t="shared" ref="BK136:CH136" si="303">IF(BK95="",BK135,IF(BK135="",BK95,BK135&amp;", "&amp;BK95))</f>
        <v/>
      </c>
      <c r="BL136" s="8" t="str">
        <f t="shared" si="303"/>
        <v/>
      </c>
      <c r="BM136" s="8" t="str">
        <f t="shared" si="303"/>
        <v/>
      </c>
      <c r="BN136" s="8" t="str">
        <f t="shared" si="303"/>
        <v/>
      </c>
      <c r="BO136" s="8" t="str">
        <f t="shared" si="303"/>
        <v>Eliot Pugh</v>
      </c>
      <c r="BP136" s="8" t="str">
        <f t="shared" si="303"/>
        <v>Felix Bull (1), Dave Copple, Elliot Fry, Eliot Wilde</v>
      </c>
      <c r="BQ136" s="8" t="str">
        <f t="shared" si="303"/>
        <v>Andy Fernando, Alex Griffiths, Kaspars 'Stripes' Veips, Hugh Mitchison</v>
      </c>
      <c r="BR136" s="8" t="str">
        <f t="shared" si="303"/>
        <v>Tom Hatton, Darren Novell, Dave Slaughter</v>
      </c>
      <c r="BS136" s="8" t="str">
        <f t="shared" si="303"/>
        <v>Eliot Pugh</v>
      </c>
      <c r="BT136" s="8" t="str">
        <f t="shared" si="303"/>
        <v>Felix Bull, Dave Copple, Elliot Fry, Dara McCreary, Eliot Wilde</v>
      </c>
      <c r="BU136" s="8" t="str">
        <f t="shared" si="303"/>
        <v>Alex Griffiths, James Keal, Dan (2), Jeremy Lee (2)</v>
      </c>
      <c r="BV136" s="8" t="str">
        <f t="shared" si="303"/>
        <v>Tom Hatton (1), Darren Novell (1), Dave Slaughter (1)</v>
      </c>
      <c r="BW136" s="8" t="str">
        <f t="shared" si="303"/>
        <v>Eliot Pugh</v>
      </c>
      <c r="BX136" s="8" t="str">
        <f t="shared" si="303"/>
        <v>Felix Bull, Elliot Fry, Matt Porter, Eliot Wilde, Phil</v>
      </c>
      <c r="BY136" s="8" t="str">
        <f t="shared" si="303"/>
        <v>Dara McCreary, Jeremy Lee (2)</v>
      </c>
      <c r="BZ136" s="8" t="str">
        <f t="shared" si="303"/>
        <v>Dave Slaughter</v>
      </c>
      <c r="CA136" s="8" t="str">
        <f t="shared" si="303"/>
        <v>Eliot Pugh</v>
      </c>
      <c r="CB136" s="8" t="str">
        <f t="shared" si="303"/>
        <v>Felix Bull (1), Dara McCreary, Matt Porter</v>
      </c>
      <c r="CC136" s="8" t="str">
        <f t="shared" si="303"/>
        <v>Andy Fernando, Kaspars 'Stripes' Veips, Jeremy Lee (2)</v>
      </c>
      <c r="CD136" s="8" t="str">
        <f t="shared" si="303"/>
        <v>Tom Hatton, Dave Slaughter</v>
      </c>
      <c r="CE136" s="8" t="str">
        <f t="shared" si="303"/>
        <v>Eliot Pugh</v>
      </c>
      <c r="CF136" s="8" t="str">
        <f t="shared" si="303"/>
        <v>Andy Booth, Dara McCreary, Phil</v>
      </c>
      <c r="CG136" s="8" t="str">
        <f t="shared" si="303"/>
        <v>Andy Fernando, Kaspars 'Stripes' Veips, Jimmy (3)</v>
      </c>
      <c r="CH136" s="8" t="str">
        <f t="shared" si="303"/>
        <v>Alex Griffiths, Tom Hatton, Dave Slaughter</v>
      </c>
      <c r="CI136" s="8" t="str">
        <f t="shared" ref="CI136:CL136" si="304">IF(CI95="",CI135,IF(CI135="",CI95,CI135&amp;", "&amp;CI95))</f>
        <v>Eliot Pugh</v>
      </c>
      <c r="CJ136" s="8" t="str">
        <f t="shared" si="304"/>
        <v>Felix Bull, Dave Copple, Elliot Fry, Eliot Wilde</v>
      </c>
      <c r="CK136" s="8" t="str">
        <f t="shared" si="304"/>
        <v>Andy Fernando, James Keal (1), Dara McCreary, Jeremy Lee (3)</v>
      </c>
      <c r="CL136" s="8" t="str">
        <f t="shared" si="304"/>
        <v>Andy Booth, Darren Novell, Dave Slaughter</v>
      </c>
    </row>
    <row r="137" spans="3:90" x14ac:dyDescent="0.2">
      <c r="E137" s="8">
        <f t="shared" si="209"/>
        <v>36</v>
      </c>
      <c r="G137" s="8" t="str">
        <f t="shared" ref="G137:BJ137" si="305">IF(G96="",G136,IF(G136="",G96,G136&amp;", "&amp;G96))</f>
        <v>Dan Murphy</v>
      </c>
      <c r="H137" s="8" t="str">
        <f t="shared" si="305"/>
        <v>Andy Booth, Felix Bull, Matt Porter, Dave Slaughter, Eliot Wilde</v>
      </c>
      <c r="I137" s="8" t="str">
        <f t="shared" si="305"/>
        <v>Dave Baldwin (2), Andy Fernando, Alex Griffiths, Tom Hatton (5)</v>
      </c>
      <c r="J137" s="8" t="str">
        <f t="shared" si="305"/>
        <v>Justin Baranowski, Darren Novell (1), Matt Payne</v>
      </c>
      <c r="K137" s="8" t="str">
        <f t="shared" si="305"/>
        <v>Dan Murphy</v>
      </c>
      <c r="L137" s="8" t="str">
        <f t="shared" si="305"/>
        <v>Felix Bull, Dara McCreary, Dave Slaughter, Eliot Wilde</v>
      </c>
      <c r="M137" s="8" t="str">
        <f t="shared" si="305"/>
        <v>Dave Baldwin (1), Ben Colville (1), Andy Fernando, Tom Hatton, James Keal</v>
      </c>
      <c r="N137" s="8" t="str">
        <f t="shared" si="305"/>
        <v>Andy Booth</v>
      </c>
      <c r="O137" s="8" t="str">
        <f t="shared" si="305"/>
        <v>Dan Murphy</v>
      </c>
      <c r="P137" s="8" t="str">
        <f t="shared" si="305"/>
        <v>Andy Booth, Felix Bull, Elliot Fry, Dara McCreary, Matt Porter, Eliot Wilde</v>
      </c>
      <c r="Q137" s="8" t="str">
        <f t="shared" si="305"/>
        <v>Dave Baldwin, Rob Clark, Andy Fernando, Alex Griffiths, Tom Hatton, James Keal, Chase Stuart</v>
      </c>
      <c r="R137" s="8" t="str">
        <f t="shared" si="305"/>
        <v>Justin Baranowski, Darren Novell, Matt Payne (2)</v>
      </c>
      <c r="S137" s="8" t="str">
        <f t="shared" si="305"/>
        <v>Dan Murphy</v>
      </c>
      <c r="T137" s="8" t="str">
        <f t="shared" si="305"/>
        <v>Andy Booth, Felix Bull, Elliot Fry, Jussi Grut, Dara McCreary, Kaspars 'Stripes' Veips</v>
      </c>
      <c r="U137" s="8" t="str">
        <f t="shared" si="305"/>
        <v>Dave Baldwin (1), Rob Clark, Andy Fernando, Alex Griffiths, Tom Hatton, James Keal</v>
      </c>
      <c r="V137" s="8" t="str">
        <f t="shared" si="305"/>
        <v>Justin Baranowski (2), Darren Novell, Matt Payne (1)</v>
      </c>
      <c r="W137" s="8" t="str">
        <f t="shared" si="305"/>
        <v/>
      </c>
      <c r="X137" s="8" t="str">
        <f t="shared" si="305"/>
        <v/>
      </c>
      <c r="Y137" s="8" t="str">
        <f t="shared" si="305"/>
        <v/>
      </c>
      <c r="Z137" s="8" t="str">
        <f t="shared" si="305"/>
        <v/>
      </c>
      <c r="AA137" s="8" t="str">
        <f t="shared" si="305"/>
        <v>Dan Murphy</v>
      </c>
      <c r="AB137" s="8" t="str">
        <f t="shared" si="305"/>
        <v>Felix Bull, Elliot Fry, Dave Slaughter, Eliot Wilde</v>
      </c>
      <c r="AC137" s="8" t="str">
        <f t="shared" si="305"/>
        <v>Dave Baldwin (1), Rob Clark, Andy Fernando, Alex Griffiths, Kaspars 'Stripes' Veips (2)</v>
      </c>
      <c r="AD137" s="8" t="str">
        <f t="shared" si="305"/>
        <v>Justin Baranowski, Tom Hatton (1), Darren Novell</v>
      </c>
      <c r="AE137" s="8" t="str">
        <f t="shared" si="305"/>
        <v>Dan Murphy</v>
      </c>
      <c r="AF137" s="8" t="str">
        <f t="shared" si="305"/>
        <v>Elliot Fry, Dara McCreary, Dave Slaughter, Eliot Wilde</v>
      </c>
      <c r="AG137" s="8" t="str">
        <f t="shared" si="305"/>
        <v>Dave Baldwin (1), Alex Griffiths, Jussi Grut, James Keal (1), Matt Payne (4)</v>
      </c>
      <c r="AH137" s="8" t="str">
        <f t="shared" si="305"/>
        <v>Justin Baranowski (1), Tom Hatton, Darren Novell (1)</v>
      </c>
      <c r="AI137" s="8" t="e">
        <f t="shared" si="305"/>
        <v>#REF!</v>
      </c>
      <c r="AJ137" s="8" t="e">
        <f t="shared" si="305"/>
        <v>#REF!</v>
      </c>
      <c r="AK137" s="8" t="e">
        <f t="shared" si="305"/>
        <v>#REF!</v>
      </c>
      <c r="AL137" s="8" t="e">
        <f t="shared" si="305"/>
        <v>#REF!</v>
      </c>
      <c r="AM137" s="8" t="str">
        <f t="shared" si="305"/>
        <v/>
      </c>
      <c r="AN137" s="8" t="str">
        <f t="shared" si="305"/>
        <v/>
      </c>
      <c r="AO137" s="8" t="str">
        <f t="shared" si="305"/>
        <v/>
      </c>
      <c r="AP137" s="8" t="str">
        <f t="shared" si="305"/>
        <v/>
      </c>
      <c r="AQ137" s="8" t="str">
        <f t="shared" si="305"/>
        <v>Dan Murphy</v>
      </c>
      <c r="AR137" s="8" t="str">
        <f t="shared" si="305"/>
        <v>Felix Bull, Elliot Fry, Dave Slaughter</v>
      </c>
      <c r="AS137" s="8" t="str">
        <f t="shared" si="305"/>
        <v>Alex Griffiths (1), Kaspars 'Stripes' Veips (2), Eliot Wilde</v>
      </c>
      <c r="AT137" s="8" t="str">
        <f t="shared" si="305"/>
        <v>Andy Booth, Jussi Grut, Dara McCreary (1)</v>
      </c>
      <c r="AU137" s="8" t="str">
        <f t="shared" si="305"/>
        <v>Eliot Pugh</v>
      </c>
      <c r="AV137" s="8" t="str">
        <f t="shared" si="305"/>
        <v>Dave Copple, Elliot Fry, Eliot Wilde</v>
      </c>
      <c r="AW137" s="8" t="str">
        <f t="shared" si="305"/>
        <v>Dave Baldwin, Andy Fernando, Alex Griffiths, Kaspars 'Stripes' Veips (4)</v>
      </c>
      <c r="AX137" s="8" t="str">
        <f t="shared" si="305"/>
        <v>Tom Hatton (1,4A), James Keal, Dara McCreary</v>
      </c>
      <c r="AY137" s="8" t="str">
        <f t="shared" si="305"/>
        <v>Eliot Pugh</v>
      </c>
      <c r="AZ137" s="8" t="str">
        <f t="shared" si="305"/>
        <v>Felix Bull, Dave Copple, Elliot Fry, Eliot Wilde</v>
      </c>
      <c r="BA137" s="8" t="str">
        <f t="shared" si="305"/>
        <v>Dave Baldwin, Andy Fernando, Kaspars 'Stripes' Veips</v>
      </c>
      <c r="BB137" s="8" t="str">
        <f t="shared" si="305"/>
        <v>Andy Booth, Alex Griffiths, Darren Novell</v>
      </c>
      <c r="BC137" s="8" t="str">
        <f t="shared" si="305"/>
        <v/>
      </c>
      <c r="BD137" s="8" t="str">
        <f t="shared" si="305"/>
        <v/>
      </c>
      <c r="BE137" s="8" t="str">
        <f t="shared" si="305"/>
        <v/>
      </c>
      <c r="BF137" s="8" t="str">
        <f t="shared" si="305"/>
        <v/>
      </c>
      <c r="BG137" s="8" t="str">
        <f t="shared" si="305"/>
        <v/>
      </c>
      <c r="BH137" s="8" t="str">
        <f t="shared" si="305"/>
        <v/>
      </c>
      <c r="BI137" s="8" t="str">
        <f t="shared" si="305"/>
        <v/>
      </c>
      <c r="BJ137" s="8" t="str">
        <f t="shared" si="305"/>
        <v/>
      </c>
      <c r="BK137" s="8" t="str">
        <f t="shared" ref="BK137:CH137" si="306">IF(BK96="",BK136,IF(BK136="",BK96,BK136&amp;", "&amp;BK96))</f>
        <v/>
      </c>
      <c r="BL137" s="8" t="str">
        <f t="shared" si="306"/>
        <v/>
      </c>
      <c r="BM137" s="8" t="str">
        <f t="shared" si="306"/>
        <v/>
      </c>
      <c r="BN137" s="8" t="str">
        <f t="shared" si="306"/>
        <v/>
      </c>
      <c r="BO137" s="8" t="str">
        <f t="shared" si="306"/>
        <v>Eliot Pugh</v>
      </c>
      <c r="BP137" s="8" t="str">
        <f t="shared" si="306"/>
        <v>Felix Bull (1), Dave Copple, Elliot Fry, Eliot Wilde</v>
      </c>
      <c r="BQ137" s="8" t="str">
        <f t="shared" si="306"/>
        <v>Andy Fernando, Alex Griffiths, Kaspars 'Stripes' Veips, Hugh Mitchison</v>
      </c>
      <c r="BR137" s="8" t="str">
        <f t="shared" si="306"/>
        <v>Tom Hatton, Darren Novell, Dave Slaughter</v>
      </c>
      <c r="BS137" s="8" t="str">
        <f t="shared" si="306"/>
        <v>Eliot Pugh</v>
      </c>
      <c r="BT137" s="8" t="str">
        <f t="shared" si="306"/>
        <v>Felix Bull, Dave Copple, Elliot Fry, Dara McCreary, Eliot Wilde</v>
      </c>
      <c r="BU137" s="8" t="str">
        <f t="shared" si="306"/>
        <v>Alex Griffiths, James Keal, Dan (2), Jeremy Lee (2)</v>
      </c>
      <c r="BV137" s="8" t="str">
        <f t="shared" si="306"/>
        <v>Tom Hatton (1), Darren Novell (1), Dave Slaughter (1)</v>
      </c>
      <c r="BW137" s="8" t="str">
        <f t="shared" si="306"/>
        <v>Eliot Pugh</v>
      </c>
      <c r="BX137" s="8" t="str">
        <f t="shared" si="306"/>
        <v>Felix Bull, Elliot Fry, Matt Porter, Eliot Wilde, Phil</v>
      </c>
      <c r="BY137" s="8" t="str">
        <f t="shared" si="306"/>
        <v>Dara McCreary, Jeremy Lee (2)</v>
      </c>
      <c r="BZ137" s="8" t="str">
        <f t="shared" si="306"/>
        <v>Dave Slaughter</v>
      </c>
      <c r="CA137" s="8" t="str">
        <f t="shared" si="306"/>
        <v>Eliot Pugh</v>
      </c>
      <c r="CB137" s="8" t="str">
        <f t="shared" si="306"/>
        <v>Felix Bull (1), Dara McCreary, Matt Porter</v>
      </c>
      <c r="CC137" s="8" t="str">
        <f t="shared" si="306"/>
        <v>Andy Fernando, Kaspars 'Stripes' Veips, Jeremy Lee (2)</v>
      </c>
      <c r="CD137" s="8" t="str">
        <f t="shared" si="306"/>
        <v>Tom Hatton, Dave Slaughter</v>
      </c>
      <c r="CE137" s="8" t="str">
        <f t="shared" si="306"/>
        <v>Eliot Pugh</v>
      </c>
      <c r="CF137" s="8" t="str">
        <f t="shared" si="306"/>
        <v>Andy Booth, Dara McCreary, Phil</v>
      </c>
      <c r="CG137" s="8" t="str">
        <f t="shared" si="306"/>
        <v>Andy Fernando, Kaspars 'Stripes' Veips, Jimmy (3)</v>
      </c>
      <c r="CH137" s="8" t="str">
        <f t="shared" si="306"/>
        <v>Alex Griffiths, Tom Hatton, Dave Slaughter</v>
      </c>
      <c r="CI137" s="8" t="str">
        <f t="shared" ref="CI137:CL137" si="307">IF(CI96="",CI136,IF(CI136="",CI96,CI136&amp;", "&amp;CI96))</f>
        <v>Eliot Pugh</v>
      </c>
      <c r="CJ137" s="8" t="str">
        <f t="shared" si="307"/>
        <v>Felix Bull, Dave Copple, Elliot Fry, Eliot Wilde</v>
      </c>
      <c r="CK137" s="8" t="str">
        <f t="shared" si="307"/>
        <v>Andy Fernando, James Keal (1), Dara McCreary, Jeremy Lee (3)</v>
      </c>
      <c r="CL137" s="8" t="str">
        <f t="shared" si="307"/>
        <v>Andy Booth, Darren Novell, Dave Slaughter</v>
      </c>
    </row>
    <row r="138" spans="3:90" x14ac:dyDescent="0.2">
      <c r="E138" s="8">
        <f t="shared" si="209"/>
        <v>37</v>
      </c>
      <c r="G138" s="8" t="str">
        <f t="shared" ref="G138:BJ138" si="308">IF(G97="",G137,IF(G137="",G97,G137&amp;", "&amp;G97))</f>
        <v>Dan Murphy</v>
      </c>
      <c r="H138" s="8" t="str">
        <f t="shared" si="308"/>
        <v>Andy Booth, Felix Bull, Matt Porter, Dave Slaughter, Eliot Wilde</v>
      </c>
      <c r="I138" s="8" t="str">
        <f t="shared" si="308"/>
        <v>Dave Baldwin (2), Andy Fernando, Alex Griffiths, Tom Hatton (5)</v>
      </c>
      <c r="J138" s="8" t="str">
        <f t="shared" si="308"/>
        <v>Justin Baranowski, Darren Novell (1), Matt Payne</v>
      </c>
      <c r="K138" s="8" t="str">
        <f t="shared" si="308"/>
        <v>Dan Murphy</v>
      </c>
      <c r="L138" s="8" t="str">
        <f t="shared" si="308"/>
        <v>Felix Bull, Dara McCreary, Dave Slaughter, Eliot Wilde</v>
      </c>
      <c r="M138" s="8" t="str">
        <f t="shared" si="308"/>
        <v>Dave Baldwin (1), Ben Colville (1), Andy Fernando, Tom Hatton, James Keal</v>
      </c>
      <c r="N138" s="8" t="str">
        <f t="shared" si="308"/>
        <v>Andy Booth</v>
      </c>
      <c r="O138" s="8" t="str">
        <f t="shared" si="308"/>
        <v>Dan Murphy</v>
      </c>
      <c r="P138" s="8" t="str">
        <f t="shared" si="308"/>
        <v>Andy Booth, Felix Bull, Elliot Fry, Dara McCreary, Matt Porter, Eliot Wilde</v>
      </c>
      <c r="Q138" s="8" t="str">
        <f t="shared" si="308"/>
        <v>Dave Baldwin, Rob Clark, Andy Fernando, Alex Griffiths, Tom Hatton, James Keal, Chase Stuart</v>
      </c>
      <c r="R138" s="8" t="str">
        <f t="shared" si="308"/>
        <v>Justin Baranowski, Darren Novell, Matt Payne (2)</v>
      </c>
      <c r="S138" s="8" t="str">
        <f t="shared" si="308"/>
        <v>Dan Murphy</v>
      </c>
      <c r="T138" s="8" t="str">
        <f t="shared" si="308"/>
        <v>Andy Booth, Felix Bull, Elliot Fry, Jussi Grut, Dara McCreary, Kaspars 'Stripes' Veips</v>
      </c>
      <c r="U138" s="8" t="str">
        <f t="shared" si="308"/>
        <v>Dave Baldwin (1), Rob Clark, Andy Fernando, Alex Griffiths, Tom Hatton, James Keal</v>
      </c>
      <c r="V138" s="8" t="str">
        <f t="shared" si="308"/>
        <v>Justin Baranowski (2), Darren Novell, Matt Payne (1)</v>
      </c>
      <c r="W138" s="8" t="str">
        <f t="shared" si="308"/>
        <v/>
      </c>
      <c r="X138" s="8" t="str">
        <f t="shared" si="308"/>
        <v/>
      </c>
      <c r="Y138" s="8" t="str">
        <f t="shared" si="308"/>
        <v/>
      </c>
      <c r="Z138" s="8" t="str">
        <f t="shared" si="308"/>
        <v/>
      </c>
      <c r="AA138" s="8" t="str">
        <f t="shared" si="308"/>
        <v>Dan Murphy</v>
      </c>
      <c r="AB138" s="8" t="str">
        <f t="shared" si="308"/>
        <v>Felix Bull, Elliot Fry, Dave Slaughter, Eliot Wilde</v>
      </c>
      <c r="AC138" s="8" t="str">
        <f t="shared" si="308"/>
        <v>Dave Baldwin (1), Rob Clark, Andy Fernando, Alex Griffiths, Kaspars 'Stripes' Veips (2)</v>
      </c>
      <c r="AD138" s="8" t="str">
        <f t="shared" si="308"/>
        <v>Justin Baranowski, Tom Hatton (1), Darren Novell</v>
      </c>
      <c r="AE138" s="8" t="str">
        <f t="shared" si="308"/>
        <v>Dan Murphy</v>
      </c>
      <c r="AF138" s="8" t="str">
        <f t="shared" si="308"/>
        <v>Elliot Fry, Dara McCreary, Dave Slaughter, Eliot Wilde</v>
      </c>
      <c r="AG138" s="8" t="str">
        <f t="shared" si="308"/>
        <v>Dave Baldwin (1), Alex Griffiths, Jussi Grut, James Keal (1), Matt Payne (4)</v>
      </c>
      <c r="AH138" s="8" t="str">
        <f t="shared" si="308"/>
        <v>Justin Baranowski (1), Tom Hatton, Darren Novell (1)</v>
      </c>
      <c r="AI138" s="8" t="e">
        <f t="shared" si="308"/>
        <v>#REF!</v>
      </c>
      <c r="AJ138" s="8" t="e">
        <f t="shared" si="308"/>
        <v>#REF!</v>
      </c>
      <c r="AK138" s="8" t="e">
        <f t="shared" si="308"/>
        <v>#REF!</v>
      </c>
      <c r="AL138" s="8" t="e">
        <f t="shared" si="308"/>
        <v>#REF!</v>
      </c>
      <c r="AM138" s="8" t="str">
        <f t="shared" si="308"/>
        <v/>
      </c>
      <c r="AN138" s="8" t="str">
        <f t="shared" si="308"/>
        <v/>
      </c>
      <c r="AO138" s="8" t="str">
        <f t="shared" si="308"/>
        <v/>
      </c>
      <c r="AP138" s="8" t="str">
        <f t="shared" si="308"/>
        <v/>
      </c>
      <c r="AQ138" s="8" t="str">
        <f t="shared" si="308"/>
        <v>Dan Murphy</v>
      </c>
      <c r="AR138" s="8" t="str">
        <f t="shared" si="308"/>
        <v>Felix Bull, Elliot Fry, Dave Slaughter</v>
      </c>
      <c r="AS138" s="8" t="str">
        <f t="shared" si="308"/>
        <v>Alex Griffiths (1), Kaspars 'Stripes' Veips (2), Eliot Wilde</v>
      </c>
      <c r="AT138" s="8" t="str">
        <f t="shared" si="308"/>
        <v>Andy Booth, Jussi Grut, Dara McCreary (1)</v>
      </c>
      <c r="AU138" s="8" t="str">
        <f t="shared" si="308"/>
        <v>Eliot Pugh</v>
      </c>
      <c r="AV138" s="8" t="str">
        <f t="shared" si="308"/>
        <v>Dave Copple, Elliot Fry, Eliot Wilde</v>
      </c>
      <c r="AW138" s="8" t="str">
        <f t="shared" si="308"/>
        <v>Dave Baldwin, Andy Fernando, Alex Griffiths, Kaspars 'Stripes' Veips (4)</v>
      </c>
      <c r="AX138" s="8" t="str">
        <f t="shared" si="308"/>
        <v>Tom Hatton (1,4A), James Keal, Dara McCreary</v>
      </c>
      <c r="AY138" s="8" t="str">
        <f t="shared" si="308"/>
        <v>Eliot Pugh</v>
      </c>
      <c r="AZ138" s="8" t="str">
        <f t="shared" si="308"/>
        <v>Felix Bull, Dave Copple, Elliot Fry, Eliot Wilde</v>
      </c>
      <c r="BA138" s="8" t="str">
        <f t="shared" si="308"/>
        <v>Dave Baldwin, Andy Fernando, Kaspars 'Stripes' Veips</v>
      </c>
      <c r="BB138" s="8" t="str">
        <f t="shared" si="308"/>
        <v>Andy Booth, Alex Griffiths, Darren Novell</v>
      </c>
      <c r="BC138" s="8" t="str">
        <f t="shared" si="308"/>
        <v/>
      </c>
      <c r="BD138" s="8" t="str">
        <f t="shared" si="308"/>
        <v/>
      </c>
      <c r="BE138" s="8" t="str">
        <f t="shared" si="308"/>
        <v/>
      </c>
      <c r="BF138" s="8" t="str">
        <f t="shared" si="308"/>
        <v/>
      </c>
      <c r="BG138" s="8" t="str">
        <f t="shared" si="308"/>
        <v/>
      </c>
      <c r="BH138" s="8" t="str">
        <f t="shared" si="308"/>
        <v/>
      </c>
      <c r="BI138" s="8" t="str">
        <f t="shared" si="308"/>
        <v/>
      </c>
      <c r="BJ138" s="8" t="str">
        <f t="shared" si="308"/>
        <v/>
      </c>
      <c r="BK138" s="8" t="str">
        <f t="shared" ref="BK138:CH138" si="309">IF(BK97="",BK137,IF(BK137="",BK97,BK137&amp;", "&amp;BK97))</f>
        <v/>
      </c>
      <c r="BL138" s="8" t="str">
        <f t="shared" si="309"/>
        <v/>
      </c>
      <c r="BM138" s="8" t="str">
        <f t="shared" si="309"/>
        <v/>
      </c>
      <c r="BN138" s="8" t="str">
        <f t="shared" si="309"/>
        <v/>
      </c>
      <c r="BO138" s="8" t="str">
        <f t="shared" si="309"/>
        <v>Eliot Pugh</v>
      </c>
      <c r="BP138" s="8" t="str">
        <f t="shared" si="309"/>
        <v>Felix Bull (1), Dave Copple, Elliot Fry, Eliot Wilde</v>
      </c>
      <c r="BQ138" s="8" t="str">
        <f t="shared" si="309"/>
        <v>Andy Fernando, Alex Griffiths, Kaspars 'Stripes' Veips, Hugh Mitchison</v>
      </c>
      <c r="BR138" s="8" t="str">
        <f t="shared" si="309"/>
        <v>Tom Hatton, Darren Novell, Dave Slaughter</v>
      </c>
      <c r="BS138" s="8" t="str">
        <f t="shared" si="309"/>
        <v>Eliot Pugh</v>
      </c>
      <c r="BT138" s="8" t="str">
        <f t="shared" si="309"/>
        <v>Felix Bull, Dave Copple, Elliot Fry, Dara McCreary, Eliot Wilde</v>
      </c>
      <c r="BU138" s="8" t="str">
        <f t="shared" si="309"/>
        <v>Alex Griffiths, James Keal, Dan (2), Jeremy Lee (2)</v>
      </c>
      <c r="BV138" s="8" t="str">
        <f t="shared" si="309"/>
        <v>Tom Hatton (1), Darren Novell (1), Dave Slaughter (1)</v>
      </c>
      <c r="BW138" s="8" t="str">
        <f t="shared" si="309"/>
        <v>Eliot Pugh</v>
      </c>
      <c r="BX138" s="8" t="str">
        <f t="shared" si="309"/>
        <v>Felix Bull, Elliot Fry, Matt Porter, Eliot Wilde, Phil</v>
      </c>
      <c r="BY138" s="8" t="str">
        <f t="shared" si="309"/>
        <v>Dara McCreary, Jeremy Lee (2)</v>
      </c>
      <c r="BZ138" s="8" t="str">
        <f t="shared" si="309"/>
        <v>Dave Slaughter</v>
      </c>
      <c r="CA138" s="8" t="str">
        <f t="shared" si="309"/>
        <v>Eliot Pugh</v>
      </c>
      <c r="CB138" s="8" t="str">
        <f t="shared" si="309"/>
        <v>Felix Bull (1), Dara McCreary, Matt Porter</v>
      </c>
      <c r="CC138" s="8" t="str">
        <f t="shared" si="309"/>
        <v>Andy Fernando, Kaspars 'Stripes' Veips, Jeremy Lee (2)</v>
      </c>
      <c r="CD138" s="8" t="str">
        <f t="shared" si="309"/>
        <v>Tom Hatton, Dave Slaughter</v>
      </c>
      <c r="CE138" s="8" t="str">
        <f t="shared" si="309"/>
        <v>Eliot Pugh</v>
      </c>
      <c r="CF138" s="8" t="str">
        <f t="shared" si="309"/>
        <v>Andy Booth, Dara McCreary, Phil</v>
      </c>
      <c r="CG138" s="8" t="str">
        <f t="shared" si="309"/>
        <v>Andy Fernando, Kaspars 'Stripes' Veips, Jimmy (3)</v>
      </c>
      <c r="CH138" s="8" t="str">
        <f t="shared" si="309"/>
        <v>Alex Griffiths, Tom Hatton, Dave Slaughter</v>
      </c>
      <c r="CI138" s="8" t="str">
        <f t="shared" ref="CI138:CL138" si="310">IF(CI97="",CI137,IF(CI137="",CI97,CI137&amp;", "&amp;CI97))</f>
        <v>Eliot Pugh</v>
      </c>
      <c r="CJ138" s="8" t="str">
        <f t="shared" si="310"/>
        <v>Felix Bull, Dave Copple, Elliot Fry, Eliot Wilde</v>
      </c>
      <c r="CK138" s="8" t="str">
        <f t="shared" si="310"/>
        <v>Andy Fernando, James Keal (1), Dara McCreary, Jeremy Lee (3)</v>
      </c>
      <c r="CL138" s="8" t="str">
        <f t="shared" si="310"/>
        <v>Andy Booth, Darren Novell, Dave Slaughter</v>
      </c>
    </row>
    <row r="139" spans="3:90" x14ac:dyDescent="0.2">
      <c r="E139" s="8">
        <f t="shared" si="209"/>
        <v>38</v>
      </c>
      <c r="G139" s="8" t="str">
        <f t="shared" ref="G139:BJ139" si="311">IF(G98="",G138,IF(G138="",G98,G138&amp;", "&amp;G98))</f>
        <v>Dan Murphy</v>
      </c>
      <c r="H139" s="8" t="str">
        <f t="shared" si="311"/>
        <v>Andy Booth, Felix Bull, Matt Porter, Dave Slaughter, Eliot Wilde</v>
      </c>
      <c r="I139" s="8" t="str">
        <f t="shared" si="311"/>
        <v>Dave Baldwin (2), Andy Fernando, Alex Griffiths, Tom Hatton (5)</v>
      </c>
      <c r="J139" s="8" t="str">
        <f t="shared" si="311"/>
        <v>Justin Baranowski, Darren Novell (1), Matt Payne</v>
      </c>
      <c r="K139" s="8" t="str">
        <f t="shared" si="311"/>
        <v>Dan Murphy</v>
      </c>
      <c r="L139" s="8" t="str">
        <f t="shared" si="311"/>
        <v>Felix Bull, Dara McCreary, Dave Slaughter, Eliot Wilde</v>
      </c>
      <c r="M139" s="8" t="str">
        <f t="shared" si="311"/>
        <v>Dave Baldwin (1), Ben Colville (1), Andy Fernando, Tom Hatton, James Keal</v>
      </c>
      <c r="N139" s="8" t="str">
        <f t="shared" si="311"/>
        <v>Andy Booth</v>
      </c>
      <c r="O139" s="8" t="str">
        <f t="shared" si="311"/>
        <v>Dan Murphy</v>
      </c>
      <c r="P139" s="8" t="str">
        <f t="shared" si="311"/>
        <v>Andy Booth, Felix Bull, Elliot Fry, Dara McCreary, Matt Porter, Eliot Wilde</v>
      </c>
      <c r="Q139" s="8" t="str">
        <f t="shared" si="311"/>
        <v>Dave Baldwin, Rob Clark, Andy Fernando, Alex Griffiths, Tom Hatton, James Keal, Chase Stuart</v>
      </c>
      <c r="R139" s="8" t="str">
        <f t="shared" si="311"/>
        <v>Justin Baranowski, Darren Novell, Matt Payne (2)</v>
      </c>
      <c r="S139" s="8" t="str">
        <f t="shared" si="311"/>
        <v>Dan Murphy</v>
      </c>
      <c r="T139" s="8" t="str">
        <f t="shared" si="311"/>
        <v>Andy Booth, Felix Bull, Elliot Fry, Jussi Grut, Dara McCreary, Kaspars 'Stripes' Veips</v>
      </c>
      <c r="U139" s="8" t="str">
        <f t="shared" si="311"/>
        <v>Dave Baldwin (1), Rob Clark, Andy Fernando, Alex Griffiths, Tom Hatton, James Keal</v>
      </c>
      <c r="V139" s="8" t="str">
        <f t="shared" si="311"/>
        <v>Justin Baranowski (2), Darren Novell, Matt Payne (1)</v>
      </c>
      <c r="W139" s="8" t="str">
        <f t="shared" si="311"/>
        <v/>
      </c>
      <c r="X139" s="8" t="str">
        <f t="shared" si="311"/>
        <v/>
      </c>
      <c r="Y139" s="8" t="str">
        <f t="shared" si="311"/>
        <v/>
      </c>
      <c r="Z139" s="8" t="str">
        <f t="shared" si="311"/>
        <v/>
      </c>
      <c r="AA139" s="8" t="str">
        <f t="shared" si="311"/>
        <v>Dan Murphy</v>
      </c>
      <c r="AB139" s="8" t="str">
        <f t="shared" si="311"/>
        <v>Felix Bull, Elliot Fry, Dave Slaughter, Eliot Wilde</v>
      </c>
      <c r="AC139" s="8" t="str">
        <f t="shared" si="311"/>
        <v>Dave Baldwin (1), Rob Clark, Andy Fernando, Alex Griffiths, Kaspars 'Stripes' Veips (2)</v>
      </c>
      <c r="AD139" s="8" t="str">
        <f t="shared" si="311"/>
        <v>Justin Baranowski, Tom Hatton (1), Darren Novell</v>
      </c>
      <c r="AE139" s="8" t="str">
        <f t="shared" si="311"/>
        <v>Dan Murphy</v>
      </c>
      <c r="AF139" s="8" t="str">
        <f t="shared" si="311"/>
        <v>Elliot Fry, Dara McCreary, Dave Slaughter, Eliot Wilde</v>
      </c>
      <c r="AG139" s="8" t="str">
        <f t="shared" si="311"/>
        <v>Dave Baldwin (1), Alex Griffiths, Jussi Grut, James Keal (1), Matt Payne (4)</v>
      </c>
      <c r="AH139" s="8" t="str">
        <f t="shared" si="311"/>
        <v>Justin Baranowski (1), Tom Hatton, Darren Novell (1)</v>
      </c>
      <c r="AI139" s="8" t="e">
        <f t="shared" si="311"/>
        <v>#REF!</v>
      </c>
      <c r="AJ139" s="8" t="e">
        <f t="shared" si="311"/>
        <v>#REF!</v>
      </c>
      <c r="AK139" s="8" t="e">
        <f t="shared" si="311"/>
        <v>#REF!</v>
      </c>
      <c r="AL139" s="8" t="e">
        <f t="shared" si="311"/>
        <v>#REF!</v>
      </c>
      <c r="AM139" s="8" t="str">
        <f t="shared" si="311"/>
        <v/>
      </c>
      <c r="AN139" s="8" t="str">
        <f t="shared" si="311"/>
        <v/>
      </c>
      <c r="AO139" s="8" t="str">
        <f t="shared" si="311"/>
        <v/>
      </c>
      <c r="AP139" s="8" t="str">
        <f t="shared" si="311"/>
        <v/>
      </c>
      <c r="AQ139" s="8" t="str">
        <f t="shared" si="311"/>
        <v>Dan Murphy</v>
      </c>
      <c r="AR139" s="8" t="str">
        <f t="shared" si="311"/>
        <v>Felix Bull, Elliot Fry, Dave Slaughter</v>
      </c>
      <c r="AS139" s="8" t="str">
        <f t="shared" si="311"/>
        <v>Alex Griffiths (1), Kaspars 'Stripes' Veips (2), Eliot Wilde</v>
      </c>
      <c r="AT139" s="8" t="str">
        <f t="shared" si="311"/>
        <v>Andy Booth, Jussi Grut, Dara McCreary (1)</v>
      </c>
      <c r="AU139" s="8" t="str">
        <f t="shared" si="311"/>
        <v>Eliot Pugh</v>
      </c>
      <c r="AV139" s="8" t="str">
        <f t="shared" si="311"/>
        <v>Dave Copple, Elliot Fry, Eliot Wilde</v>
      </c>
      <c r="AW139" s="8" t="str">
        <f t="shared" si="311"/>
        <v>Dave Baldwin, Andy Fernando, Alex Griffiths, Kaspars 'Stripes' Veips (4)</v>
      </c>
      <c r="AX139" s="8" t="str">
        <f t="shared" si="311"/>
        <v>Tom Hatton (1,4A), James Keal, Dara McCreary</v>
      </c>
      <c r="AY139" s="8" t="str">
        <f t="shared" si="311"/>
        <v>Eliot Pugh</v>
      </c>
      <c r="AZ139" s="8" t="str">
        <f t="shared" si="311"/>
        <v>Felix Bull, Dave Copple, Elliot Fry, Eliot Wilde</v>
      </c>
      <c r="BA139" s="8" t="str">
        <f t="shared" si="311"/>
        <v>Dave Baldwin, Andy Fernando, Kaspars 'Stripes' Veips</v>
      </c>
      <c r="BB139" s="8" t="str">
        <f t="shared" si="311"/>
        <v>Andy Booth, Alex Griffiths, Darren Novell</v>
      </c>
      <c r="BC139" s="8" t="str">
        <f t="shared" si="311"/>
        <v/>
      </c>
      <c r="BD139" s="8" t="str">
        <f t="shared" si="311"/>
        <v/>
      </c>
      <c r="BE139" s="8" t="str">
        <f t="shared" si="311"/>
        <v/>
      </c>
      <c r="BF139" s="8" t="str">
        <f t="shared" si="311"/>
        <v/>
      </c>
      <c r="BG139" s="8" t="str">
        <f t="shared" si="311"/>
        <v/>
      </c>
      <c r="BH139" s="8" t="str">
        <f t="shared" si="311"/>
        <v/>
      </c>
      <c r="BI139" s="8" t="str">
        <f t="shared" si="311"/>
        <v/>
      </c>
      <c r="BJ139" s="8" t="str">
        <f t="shared" si="311"/>
        <v/>
      </c>
      <c r="BK139" s="8" t="str">
        <f t="shared" ref="BK139:CH139" si="312">IF(BK98="",BK138,IF(BK138="",BK98,BK138&amp;", "&amp;BK98))</f>
        <v/>
      </c>
      <c r="BL139" s="8" t="str">
        <f t="shared" si="312"/>
        <v/>
      </c>
      <c r="BM139" s="8" t="str">
        <f t="shared" si="312"/>
        <v/>
      </c>
      <c r="BN139" s="8" t="str">
        <f t="shared" si="312"/>
        <v/>
      </c>
      <c r="BO139" s="8" t="str">
        <f t="shared" si="312"/>
        <v>Eliot Pugh</v>
      </c>
      <c r="BP139" s="8" t="str">
        <f t="shared" si="312"/>
        <v>Felix Bull (1), Dave Copple, Elliot Fry, Eliot Wilde</v>
      </c>
      <c r="BQ139" s="8" t="str">
        <f t="shared" si="312"/>
        <v>Andy Fernando, Alex Griffiths, Kaspars 'Stripes' Veips, Hugh Mitchison</v>
      </c>
      <c r="BR139" s="8" t="str">
        <f t="shared" si="312"/>
        <v>Tom Hatton, Darren Novell, Dave Slaughter</v>
      </c>
      <c r="BS139" s="8" t="str">
        <f t="shared" si="312"/>
        <v>Eliot Pugh</v>
      </c>
      <c r="BT139" s="8" t="str">
        <f t="shared" si="312"/>
        <v>Felix Bull, Dave Copple, Elliot Fry, Dara McCreary, Eliot Wilde</v>
      </c>
      <c r="BU139" s="8" t="str">
        <f t="shared" si="312"/>
        <v>Alex Griffiths, James Keal, Dan (2), Jeremy Lee (2)</v>
      </c>
      <c r="BV139" s="8" t="str">
        <f t="shared" si="312"/>
        <v>Tom Hatton (1), Darren Novell (1), Dave Slaughter (1)</v>
      </c>
      <c r="BW139" s="8" t="str">
        <f t="shared" si="312"/>
        <v>Eliot Pugh</v>
      </c>
      <c r="BX139" s="8" t="str">
        <f t="shared" si="312"/>
        <v>Felix Bull, Elliot Fry, Matt Porter, Eliot Wilde, Phil</v>
      </c>
      <c r="BY139" s="8" t="str">
        <f t="shared" si="312"/>
        <v>Dara McCreary, Jeremy Lee (2)</v>
      </c>
      <c r="BZ139" s="8" t="str">
        <f t="shared" si="312"/>
        <v>Dave Slaughter</v>
      </c>
      <c r="CA139" s="8" t="str">
        <f t="shared" si="312"/>
        <v>Eliot Pugh</v>
      </c>
      <c r="CB139" s="8" t="str">
        <f t="shared" si="312"/>
        <v>Felix Bull (1), Dara McCreary, Matt Porter</v>
      </c>
      <c r="CC139" s="8" t="str">
        <f t="shared" si="312"/>
        <v>Andy Fernando, Kaspars 'Stripes' Veips, Jeremy Lee (2)</v>
      </c>
      <c r="CD139" s="8" t="str">
        <f t="shared" si="312"/>
        <v>Tom Hatton, Dave Slaughter</v>
      </c>
      <c r="CE139" s="8" t="str">
        <f t="shared" si="312"/>
        <v>Eliot Pugh</v>
      </c>
      <c r="CF139" s="8" t="str">
        <f t="shared" si="312"/>
        <v>Andy Booth, Dara McCreary, Phil</v>
      </c>
      <c r="CG139" s="8" t="str">
        <f t="shared" si="312"/>
        <v>Andy Fernando, Kaspars 'Stripes' Veips, Jimmy (3)</v>
      </c>
      <c r="CH139" s="8" t="str">
        <f t="shared" si="312"/>
        <v>Alex Griffiths, Tom Hatton, Dave Slaughter</v>
      </c>
      <c r="CI139" s="8" t="str">
        <f t="shared" ref="CI139:CL139" si="313">IF(CI98="",CI138,IF(CI138="",CI98,CI138&amp;", "&amp;CI98))</f>
        <v>Eliot Pugh</v>
      </c>
      <c r="CJ139" s="8" t="str">
        <f t="shared" si="313"/>
        <v>Felix Bull, Dave Copple, Elliot Fry, Eliot Wilde</v>
      </c>
      <c r="CK139" s="8" t="str">
        <f t="shared" si="313"/>
        <v>Andy Fernando, James Keal (1), Dara McCreary, Jeremy Lee (3)</v>
      </c>
      <c r="CL139" s="8" t="str">
        <f t="shared" si="313"/>
        <v>Andy Booth, Darren Novell, Dave Slaughter</v>
      </c>
    </row>
    <row r="140" spans="3:90" x14ac:dyDescent="0.2">
      <c r="E140" s="8">
        <f t="shared" si="209"/>
        <v>39</v>
      </c>
      <c r="G140" s="8" t="str">
        <f t="shared" ref="G140:BJ140" si="314">IF(G99="",G139,IF(G139="",G99,G139&amp;", "&amp;G99))</f>
        <v>Dan Murphy</v>
      </c>
      <c r="H140" s="8" t="str">
        <f t="shared" si="314"/>
        <v>Andy Booth, Felix Bull, Matt Porter, Dave Slaughter, Eliot Wilde</v>
      </c>
      <c r="I140" s="8" t="str">
        <f t="shared" si="314"/>
        <v>Dave Baldwin (2), Andy Fernando, Alex Griffiths, Tom Hatton (5)</v>
      </c>
      <c r="J140" s="8" t="str">
        <f t="shared" si="314"/>
        <v>Justin Baranowski, Darren Novell (1), Matt Payne</v>
      </c>
      <c r="K140" s="8" t="str">
        <f t="shared" si="314"/>
        <v>Dan Murphy</v>
      </c>
      <c r="L140" s="8" t="str">
        <f t="shared" si="314"/>
        <v>Felix Bull, Dara McCreary, Dave Slaughter, Eliot Wilde</v>
      </c>
      <c r="M140" s="8" t="str">
        <f t="shared" si="314"/>
        <v>Dave Baldwin (1), Ben Colville (1), Andy Fernando, Tom Hatton, James Keal</v>
      </c>
      <c r="N140" s="8" t="str">
        <f t="shared" si="314"/>
        <v>Andy Booth</v>
      </c>
      <c r="O140" s="8" t="str">
        <f t="shared" si="314"/>
        <v>Dan Murphy</v>
      </c>
      <c r="P140" s="8" t="str">
        <f t="shared" si="314"/>
        <v>Andy Booth, Felix Bull, Elliot Fry, Dara McCreary, Matt Porter, Eliot Wilde</v>
      </c>
      <c r="Q140" s="8" t="str">
        <f t="shared" si="314"/>
        <v>Dave Baldwin, Rob Clark, Andy Fernando, Alex Griffiths, Tom Hatton, James Keal, Chase Stuart</v>
      </c>
      <c r="R140" s="8" t="str">
        <f t="shared" si="314"/>
        <v>Justin Baranowski, Darren Novell, Matt Payne (2)</v>
      </c>
      <c r="S140" s="8" t="str">
        <f t="shared" si="314"/>
        <v>Dan Murphy</v>
      </c>
      <c r="T140" s="8" t="str">
        <f t="shared" si="314"/>
        <v>Andy Booth, Felix Bull, Elliot Fry, Jussi Grut, Dara McCreary, Kaspars 'Stripes' Veips</v>
      </c>
      <c r="U140" s="8" t="str">
        <f t="shared" si="314"/>
        <v>Dave Baldwin (1), Rob Clark, Andy Fernando, Alex Griffiths, Tom Hatton, James Keal</v>
      </c>
      <c r="V140" s="8" t="str">
        <f t="shared" si="314"/>
        <v>Justin Baranowski (2), Darren Novell, Matt Payne (1)</v>
      </c>
      <c r="W140" s="8" t="str">
        <f t="shared" si="314"/>
        <v/>
      </c>
      <c r="X140" s="8" t="str">
        <f t="shared" si="314"/>
        <v/>
      </c>
      <c r="Y140" s="8" t="str">
        <f t="shared" si="314"/>
        <v/>
      </c>
      <c r="Z140" s="8" t="str">
        <f t="shared" si="314"/>
        <v/>
      </c>
      <c r="AA140" s="8" t="str">
        <f t="shared" si="314"/>
        <v>Dan Murphy</v>
      </c>
      <c r="AB140" s="8" t="str">
        <f t="shared" si="314"/>
        <v>Felix Bull, Elliot Fry, Dave Slaughter, Eliot Wilde</v>
      </c>
      <c r="AC140" s="8" t="str">
        <f t="shared" si="314"/>
        <v>Dave Baldwin (1), Rob Clark, Andy Fernando, Alex Griffiths, Kaspars 'Stripes' Veips (2)</v>
      </c>
      <c r="AD140" s="8" t="str">
        <f t="shared" si="314"/>
        <v>Justin Baranowski, Tom Hatton (1), Darren Novell</v>
      </c>
      <c r="AE140" s="8" t="str">
        <f t="shared" si="314"/>
        <v>Dan Murphy</v>
      </c>
      <c r="AF140" s="8" t="str">
        <f t="shared" si="314"/>
        <v>Elliot Fry, Dara McCreary, Dave Slaughter, Eliot Wilde</v>
      </c>
      <c r="AG140" s="8" t="str">
        <f t="shared" si="314"/>
        <v>Dave Baldwin (1), Alex Griffiths, Jussi Grut, James Keal (1), Matt Payne (4)</v>
      </c>
      <c r="AH140" s="8" t="str">
        <f t="shared" si="314"/>
        <v>Justin Baranowski (1), Tom Hatton, Darren Novell (1)</v>
      </c>
      <c r="AI140" s="8" t="e">
        <f t="shared" si="314"/>
        <v>#REF!</v>
      </c>
      <c r="AJ140" s="8" t="e">
        <f t="shared" si="314"/>
        <v>#REF!</v>
      </c>
      <c r="AK140" s="8" t="e">
        <f t="shared" si="314"/>
        <v>#REF!</v>
      </c>
      <c r="AL140" s="8" t="e">
        <f t="shared" si="314"/>
        <v>#REF!</v>
      </c>
      <c r="AM140" s="8" t="str">
        <f t="shared" si="314"/>
        <v/>
      </c>
      <c r="AN140" s="8" t="str">
        <f t="shared" si="314"/>
        <v/>
      </c>
      <c r="AO140" s="8" t="str">
        <f t="shared" si="314"/>
        <v/>
      </c>
      <c r="AP140" s="8" t="str">
        <f t="shared" si="314"/>
        <v/>
      </c>
      <c r="AQ140" s="8" t="str">
        <f t="shared" si="314"/>
        <v>Dan Murphy</v>
      </c>
      <c r="AR140" s="8" t="str">
        <f t="shared" si="314"/>
        <v>Felix Bull, Elliot Fry, Dave Slaughter</v>
      </c>
      <c r="AS140" s="8" t="str">
        <f t="shared" si="314"/>
        <v>Alex Griffiths (1), Kaspars 'Stripes' Veips (2), Eliot Wilde</v>
      </c>
      <c r="AT140" s="8" t="str">
        <f t="shared" si="314"/>
        <v>Andy Booth, Jussi Grut, Dara McCreary (1)</v>
      </c>
      <c r="AU140" s="8" t="str">
        <f t="shared" si="314"/>
        <v>Eliot Pugh</v>
      </c>
      <c r="AV140" s="8" t="str">
        <f t="shared" si="314"/>
        <v>Dave Copple, Elliot Fry, Eliot Wilde</v>
      </c>
      <c r="AW140" s="8" t="str">
        <f t="shared" si="314"/>
        <v>Dave Baldwin, Andy Fernando, Alex Griffiths, Kaspars 'Stripes' Veips (4)</v>
      </c>
      <c r="AX140" s="8" t="str">
        <f t="shared" si="314"/>
        <v>Tom Hatton (1,4A), James Keal, Dara McCreary</v>
      </c>
      <c r="AY140" s="8" t="str">
        <f t="shared" si="314"/>
        <v>Eliot Pugh</v>
      </c>
      <c r="AZ140" s="8" t="str">
        <f t="shared" si="314"/>
        <v>Felix Bull, Dave Copple, Elliot Fry, Eliot Wilde</v>
      </c>
      <c r="BA140" s="8" t="str">
        <f t="shared" si="314"/>
        <v>Dave Baldwin, Andy Fernando, Kaspars 'Stripes' Veips</v>
      </c>
      <c r="BB140" s="8" t="str">
        <f t="shared" si="314"/>
        <v>Andy Booth, Alex Griffiths, Darren Novell</v>
      </c>
      <c r="BC140" s="8" t="str">
        <f t="shared" si="314"/>
        <v/>
      </c>
      <c r="BD140" s="8" t="str">
        <f t="shared" si="314"/>
        <v/>
      </c>
      <c r="BE140" s="8" t="str">
        <f t="shared" si="314"/>
        <v/>
      </c>
      <c r="BF140" s="8" t="str">
        <f t="shared" si="314"/>
        <v/>
      </c>
      <c r="BG140" s="8" t="str">
        <f t="shared" si="314"/>
        <v/>
      </c>
      <c r="BH140" s="8" t="str">
        <f t="shared" si="314"/>
        <v/>
      </c>
      <c r="BI140" s="8" t="str">
        <f t="shared" si="314"/>
        <v/>
      </c>
      <c r="BJ140" s="8" t="str">
        <f t="shared" si="314"/>
        <v/>
      </c>
      <c r="BK140" s="8" t="str">
        <f t="shared" ref="BK140:CH140" si="315">IF(BK99="",BK139,IF(BK139="",BK99,BK139&amp;", "&amp;BK99))</f>
        <v/>
      </c>
      <c r="BL140" s="8" t="str">
        <f t="shared" si="315"/>
        <v/>
      </c>
      <c r="BM140" s="8" t="str">
        <f t="shared" si="315"/>
        <v/>
      </c>
      <c r="BN140" s="8" t="str">
        <f t="shared" si="315"/>
        <v/>
      </c>
      <c r="BO140" s="8" t="str">
        <f t="shared" si="315"/>
        <v>Eliot Pugh</v>
      </c>
      <c r="BP140" s="8" t="str">
        <f t="shared" si="315"/>
        <v>Felix Bull (1), Dave Copple, Elliot Fry, Eliot Wilde</v>
      </c>
      <c r="BQ140" s="8" t="str">
        <f t="shared" si="315"/>
        <v>Andy Fernando, Alex Griffiths, Kaspars 'Stripes' Veips, Hugh Mitchison</v>
      </c>
      <c r="BR140" s="8" t="str">
        <f t="shared" si="315"/>
        <v>Tom Hatton, Darren Novell, Dave Slaughter</v>
      </c>
      <c r="BS140" s="8" t="str">
        <f t="shared" si="315"/>
        <v>Eliot Pugh</v>
      </c>
      <c r="BT140" s="8" t="str">
        <f t="shared" si="315"/>
        <v>Felix Bull, Dave Copple, Elliot Fry, Dara McCreary, Eliot Wilde</v>
      </c>
      <c r="BU140" s="8" t="str">
        <f t="shared" si="315"/>
        <v>Alex Griffiths, James Keal, Dan (2), Jeremy Lee (2)</v>
      </c>
      <c r="BV140" s="8" t="str">
        <f t="shared" si="315"/>
        <v>Tom Hatton (1), Darren Novell (1), Dave Slaughter (1)</v>
      </c>
      <c r="BW140" s="8" t="str">
        <f t="shared" si="315"/>
        <v>Eliot Pugh</v>
      </c>
      <c r="BX140" s="8" t="str">
        <f t="shared" si="315"/>
        <v>Felix Bull, Elliot Fry, Matt Porter, Eliot Wilde, Phil</v>
      </c>
      <c r="BY140" s="8" t="str">
        <f t="shared" si="315"/>
        <v>Dara McCreary, Jeremy Lee (2)</v>
      </c>
      <c r="BZ140" s="8" t="str">
        <f t="shared" si="315"/>
        <v>Dave Slaughter</v>
      </c>
      <c r="CA140" s="8" t="str">
        <f t="shared" si="315"/>
        <v>Eliot Pugh</v>
      </c>
      <c r="CB140" s="8" t="str">
        <f t="shared" si="315"/>
        <v>Felix Bull (1), Dara McCreary, Matt Porter</v>
      </c>
      <c r="CC140" s="8" t="str">
        <f t="shared" si="315"/>
        <v>Andy Fernando, Kaspars 'Stripes' Veips, Jeremy Lee (2)</v>
      </c>
      <c r="CD140" s="8" t="str">
        <f t="shared" si="315"/>
        <v>Tom Hatton, Dave Slaughter</v>
      </c>
      <c r="CE140" s="8" t="str">
        <f t="shared" si="315"/>
        <v>Eliot Pugh</v>
      </c>
      <c r="CF140" s="8" t="str">
        <f t="shared" si="315"/>
        <v>Andy Booth, Dara McCreary, Phil</v>
      </c>
      <c r="CG140" s="8" t="str">
        <f t="shared" si="315"/>
        <v>Andy Fernando, Kaspars 'Stripes' Veips, Jimmy (3)</v>
      </c>
      <c r="CH140" s="8" t="str">
        <f t="shared" si="315"/>
        <v>Alex Griffiths, Tom Hatton, Dave Slaughter</v>
      </c>
      <c r="CI140" s="8" t="str">
        <f t="shared" ref="CI140:CL140" si="316">IF(CI99="",CI139,IF(CI139="",CI99,CI139&amp;", "&amp;CI99))</f>
        <v>Eliot Pugh</v>
      </c>
      <c r="CJ140" s="8" t="str">
        <f t="shared" si="316"/>
        <v>Felix Bull, Dave Copple, Elliot Fry, Eliot Wilde</v>
      </c>
      <c r="CK140" s="8" t="str">
        <f t="shared" si="316"/>
        <v>Andy Fernando, James Keal (1), Dara McCreary, Jeremy Lee (3)</v>
      </c>
      <c r="CL140" s="8" t="str">
        <f t="shared" si="316"/>
        <v>Andy Booth, Darren Novell, Dave Slaughter</v>
      </c>
    </row>
    <row r="141" spans="3:90" x14ac:dyDescent="0.2">
      <c r="E141" s="8">
        <f t="shared" si="209"/>
        <v>40</v>
      </c>
      <c r="G141" s="8" t="str">
        <f t="shared" ref="G141:BJ141" si="317">IF(G100="",G140,IF(G140="",G100,G140&amp;", "&amp;G100))</f>
        <v>Dan Murphy</v>
      </c>
      <c r="H141" s="8" t="str">
        <f t="shared" si="317"/>
        <v>Andy Booth, Felix Bull, Matt Porter, Dave Slaughter, Eliot Wilde</v>
      </c>
      <c r="I141" s="8" t="str">
        <f t="shared" si="317"/>
        <v>Dave Baldwin (2), Andy Fernando, Alex Griffiths, Tom Hatton (5)</v>
      </c>
      <c r="J141" s="8" t="str">
        <f t="shared" si="317"/>
        <v>Justin Baranowski, Darren Novell (1), Matt Payne</v>
      </c>
      <c r="K141" s="8" t="str">
        <f t="shared" si="317"/>
        <v>Dan Murphy</v>
      </c>
      <c r="L141" s="8" t="str">
        <f t="shared" si="317"/>
        <v>Felix Bull, Dara McCreary, Dave Slaughter, Eliot Wilde</v>
      </c>
      <c r="M141" s="8" t="str">
        <f t="shared" si="317"/>
        <v>Dave Baldwin (1), Ben Colville (1), Andy Fernando, Tom Hatton, James Keal</v>
      </c>
      <c r="N141" s="8" t="str">
        <f t="shared" si="317"/>
        <v>Andy Booth, A.N.Other (1)</v>
      </c>
      <c r="O141" s="8" t="str">
        <f t="shared" si="317"/>
        <v>Dan Murphy</v>
      </c>
      <c r="P141" s="8" t="str">
        <f t="shared" si="317"/>
        <v>Andy Booth, Felix Bull, Elliot Fry, Dara McCreary, Matt Porter, Eliot Wilde</v>
      </c>
      <c r="Q141" s="8" t="str">
        <f t="shared" si="317"/>
        <v>Dave Baldwin, Rob Clark, Andy Fernando, Alex Griffiths, Tom Hatton, James Keal, Chase Stuart</v>
      </c>
      <c r="R141" s="8" t="str">
        <f t="shared" si="317"/>
        <v>Justin Baranowski, Darren Novell, Matt Payne (2)</v>
      </c>
      <c r="S141" s="8" t="str">
        <f t="shared" si="317"/>
        <v>Dan Murphy</v>
      </c>
      <c r="T141" s="8" t="str">
        <f t="shared" si="317"/>
        <v>Andy Booth, Felix Bull, Elliot Fry, Jussi Grut, Dara McCreary, Kaspars 'Stripes' Veips</v>
      </c>
      <c r="U141" s="8" t="str">
        <f t="shared" si="317"/>
        <v>Dave Baldwin (1), Rob Clark, Andy Fernando, Alex Griffiths, Tom Hatton, James Keal</v>
      </c>
      <c r="V141" s="8" t="str">
        <f t="shared" si="317"/>
        <v>Justin Baranowski (2), Darren Novell, Matt Payne (1)</v>
      </c>
      <c r="W141" s="8" t="str">
        <f t="shared" si="317"/>
        <v/>
      </c>
      <c r="X141" s="8" t="str">
        <f t="shared" si="317"/>
        <v/>
      </c>
      <c r="Y141" s="8" t="str">
        <f t="shared" si="317"/>
        <v/>
      </c>
      <c r="Z141" s="8" t="str">
        <f t="shared" si="317"/>
        <v/>
      </c>
      <c r="AA141" s="8" t="str">
        <f t="shared" si="317"/>
        <v>Dan Murphy</v>
      </c>
      <c r="AB141" s="8" t="str">
        <f t="shared" si="317"/>
        <v>Felix Bull, Elliot Fry, Dave Slaughter, Eliot Wilde</v>
      </c>
      <c r="AC141" s="8" t="str">
        <f t="shared" si="317"/>
        <v>Dave Baldwin (1), Rob Clark, Andy Fernando, Alex Griffiths, Kaspars 'Stripes' Veips (2)</v>
      </c>
      <c r="AD141" s="8" t="str">
        <f t="shared" si="317"/>
        <v>Justin Baranowski, Tom Hatton (1), Darren Novell</v>
      </c>
      <c r="AE141" s="8" t="str">
        <f t="shared" si="317"/>
        <v>Dan Murphy</v>
      </c>
      <c r="AF141" s="8" t="str">
        <f t="shared" si="317"/>
        <v>Elliot Fry, Dara McCreary, Dave Slaughter, Eliot Wilde</v>
      </c>
      <c r="AG141" s="8" t="str">
        <f t="shared" si="317"/>
        <v>Dave Baldwin (1), Alex Griffiths, Jussi Grut, James Keal (1), Matt Payne (4)</v>
      </c>
      <c r="AH141" s="8" t="str">
        <f t="shared" si="317"/>
        <v>Justin Baranowski (1), Tom Hatton, Darren Novell (1)</v>
      </c>
      <c r="AI141" s="8" t="e">
        <f t="shared" si="317"/>
        <v>#REF!</v>
      </c>
      <c r="AJ141" s="8" t="e">
        <f t="shared" si="317"/>
        <v>#REF!</v>
      </c>
      <c r="AK141" s="8" t="e">
        <f t="shared" si="317"/>
        <v>#REF!</v>
      </c>
      <c r="AL141" s="8" t="e">
        <f t="shared" si="317"/>
        <v>#REF!</v>
      </c>
      <c r="AM141" s="8" t="str">
        <f t="shared" si="317"/>
        <v/>
      </c>
      <c r="AN141" s="8" t="str">
        <f t="shared" si="317"/>
        <v/>
      </c>
      <c r="AO141" s="8" t="str">
        <f t="shared" si="317"/>
        <v/>
      </c>
      <c r="AP141" s="8" t="str">
        <f t="shared" si="317"/>
        <v/>
      </c>
      <c r="AQ141" s="8" t="str">
        <f t="shared" si="317"/>
        <v>Dan Murphy</v>
      </c>
      <c r="AR141" s="8" t="str">
        <f t="shared" si="317"/>
        <v>Felix Bull, Elliot Fry, Dave Slaughter</v>
      </c>
      <c r="AS141" s="8" t="str">
        <f t="shared" si="317"/>
        <v>Alex Griffiths (1), Kaspars 'Stripes' Veips (2), Eliot Wilde</v>
      </c>
      <c r="AT141" s="8" t="str">
        <f t="shared" si="317"/>
        <v>Andy Booth, Jussi Grut, Dara McCreary (1)</v>
      </c>
      <c r="AU141" s="8" t="str">
        <f t="shared" si="317"/>
        <v>Eliot Pugh</v>
      </c>
      <c r="AV141" s="8" t="str">
        <f t="shared" si="317"/>
        <v>Dave Copple, Elliot Fry, Eliot Wilde</v>
      </c>
      <c r="AW141" s="8" t="str">
        <f t="shared" si="317"/>
        <v>Dave Baldwin, Andy Fernando, Alex Griffiths, Kaspars 'Stripes' Veips (4)</v>
      </c>
      <c r="AX141" s="8" t="str">
        <f t="shared" si="317"/>
        <v>Tom Hatton (1,4A), James Keal, Dara McCreary</v>
      </c>
      <c r="AY141" s="8" t="str">
        <f t="shared" si="317"/>
        <v>Eliot Pugh</v>
      </c>
      <c r="AZ141" s="8" t="str">
        <f t="shared" si="317"/>
        <v>Felix Bull, Dave Copple, Elliot Fry, Eliot Wilde</v>
      </c>
      <c r="BA141" s="8" t="str">
        <f t="shared" si="317"/>
        <v>Dave Baldwin, Andy Fernando, Kaspars 'Stripes' Veips</v>
      </c>
      <c r="BB141" s="8" t="str">
        <f t="shared" si="317"/>
        <v>Andy Booth, Alex Griffiths, Darren Novell</v>
      </c>
      <c r="BC141" s="8" t="str">
        <f t="shared" si="317"/>
        <v/>
      </c>
      <c r="BD141" s="8" t="str">
        <f t="shared" si="317"/>
        <v/>
      </c>
      <c r="BE141" s="8" t="str">
        <f t="shared" si="317"/>
        <v/>
      </c>
      <c r="BF141" s="8" t="str">
        <f t="shared" si="317"/>
        <v/>
      </c>
      <c r="BG141" s="8" t="str">
        <f t="shared" si="317"/>
        <v/>
      </c>
      <c r="BH141" s="8" t="str">
        <f t="shared" si="317"/>
        <v/>
      </c>
      <c r="BI141" s="8" t="str">
        <f t="shared" si="317"/>
        <v/>
      </c>
      <c r="BJ141" s="8" t="str">
        <f t="shared" si="317"/>
        <v/>
      </c>
      <c r="BK141" s="8" t="str">
        <f t="shared" ref="BK141:CH141" si="318">IF(BK100="",BK140,IF(BK140="",BK100,BK140&amp;", "&amp;BK100))</f>
        <v/>
      </c>
      <c r="BL141" s="8" t="str">
        <f t="shared" si="318"/>
        <v/>
      </c>
      <c r="BM141" s="8" t="str">
        <f t="shared" si="318"/>
        <v/>
      </c>
      <c r="BN141" s="8" t="str">
        <f t="shared" si="318"/>
        <v/>
      </c>
      <c r="BO141" s="8" t="str">
        <f t="shared" si="318"/>
        <v>Eliot Pugh</v>
      </c>
      <c r="BP141" s="8" t="str">
        <f t="shared" si="318"/>
        <v>Felix Bull (1), Dave Copple, Elliot Fry, Eliot Wilde</v>
      </c>
      <c r="BQ141" s="8" t="str">
        <f t="shared" si="318"/>
        <v>Andy Fernando, Alex Griffiths, Kaspars 'Stripes' Veips, Hugh Mitchison</v>
      </c>
      <c r="BR141" s="8" t="str">
        <f t="shared" si="318"/>
        <v>Tom Hatton, Darren Novell, Dave Slaughter</v>
      </c>
      <c r="BS141" s="8" t="str">
        <f t="shared" si="318"/>
        <v>Eliot Pugh</v>
      </c>
      <c r="BT141" s="8" t="str">
        <f t="shared" si="318"/>
        <v>Felix Bull, Dave Copple, Elliot Fry, Dara McCreary, Eliot Wilde</v>
      </c>
      <c r="BU141" s="8" t="str">
        <f t="shared" si="318"/>
        <v>Alex Griffiths, James Keal, Dan (2), Jeremy Lee (2)</v>
      </c>
      <c r="BV141" s="8" t="str">
        <f t="shared" si="318"/>
        <v>Tom Hatton (1), Darren Novell (1), Dave Slaughter (1)</v>
      </c>
      <c r="BW141" s="8" t="str">
        <f t="shared" si="318"/>
        <v>Eliot Pugh</v>
      </c>
      <c r="BX141" s="8" t="str">
        <f t="shared" si="318"/>
        <v>Felix Bull, Elliot Fry, Matt Porter, Eliot Wilde, Phil</v>
      </c>
      <c r="BY141" s="8" t="str">
        <f t="shared" si="318"/>
        <v>Dara McCreary, Jeremy Lee (2)</v>
      </c>
      <c r="BZ141" s="8" t="str">
        <f t="shared" si="318"/>
        <v>Dave Slaughter</v>
      </c>
      <c r="CA141" s="8" t="str">
        <f t="shared" si="318"/>
        <v>Eliot Pugh</v>
      </c>
      <c r="CB141" s="8" t="str">
        <f t="shared" si="318"/>
        <v>Felix Bull (1), Dara McCreary, Matt Porter</v>
      </c>
      <c r="CC141" s="8" t="str">
        <f t="shared" si="318"/>
        <v>Andy Fernando, Kaspars 'Stripes' Veips, Jeremy Lee (2)</v>
      </c>
      <c r="CD141" s="8" t="str">
        <f t="shared" si="318"/>
        <v>Tom Hatton, Dave Slaughter</v>
      </c>
      <c r="CE141" s="8" t="str">
        <f t="shared" si="318"/>
        <v>Eliot Pugh</v>
      </c>
      <c r="CF141" s="8" t="str">
        <f t="shared" si="318"/>
        <v>Andy Booth, Dara McCreary, Phil</v>
      </c>
      <c r="CG141" s="8" t="str">
        <f t="shared" si="318"/>
        <v>Andy Fernando, Kaspars 'Stripes' Veips, Jimmy (3)</v>
      </c>
      <c r="CH141" s="8" t="str">
        <f t="shared" si="318"/>
        <v>Alex Griffiths, Tom Hatton, Dave Slaughter</v>
      </c>
      <c r="CI141" s="8" t="str">
        <f t="shared" ref="CI141:CL141" si="319">IF(CI100="",CI140,IF(CI140="",CI100,CI140&amp;", "&amp;CI100))</f>
        <v>Eliot Pugh</v>
      </c>
      <c r="CJ141" s="8" t="str">
        <f t="shared" si="319"/>
        <v>Felix Bull, Dave Copple, Elliot Fry, Eliot Wilde</v>
      </c>
      <c r="CK141" s="8" t="str">
        <f t="shared" si="319"/>
        <v>Andy Fernando, James Keal (1), Dara McCreary, Jeremy Lee (3)</v>
      </c>
      <c r="CL141" s="8" t="str">
        <f t="shared" si="319"/>
        <v>Andy Booth, Darren Novell, Dave Slaughter</v>
      </c>
    </row>
    <row r="142" spans="3:90" x14ac:dyDescent="0.2">
      <c r="F142" s="8" t="s">
        <v>49</v>
      </c>
    </row>
    <row r="143" spans="3:90" s="37" customFormat="1" x14ac:dyDescent="0.2">
      <c r="C143" s="37" t="s">
        <v>52</v>
      </c>
      <c r="E143" s="8">
        <v>1</v>
      </c>
      <c r="G143" s="37" t="str">
        <f>IF(J10&gt;0,Stats!$B10,"")</f>
        <v/>
      </c>
      <c r="H143" s="37" t="str">
        <f>IF(G143="",IF(ISBLANK(G56),"",G56),IF(G56="",G143,G56&amp;", "&amp;G143))</f>
        <v/>
      </c>
      <c r="K143" s="37" t="str">
        <f>IF(N10&gt;0,Stats!$B10,"")</f>
        <v/>
      </c>
      <c r="L143" s="37" t="str">
        <f>IF(K143="",IF(ISBLANK(K56),"",K56),IF(K56="",K143,K56&amp;", "&amp;K143))</f>
        <v>Rob Collinge, Henry Collinge</v>
      </c>
      <c r="O143" s="37" t="str">
        <f>IF(R10&gt;0,Stats!$B10,"")</f>
        <v/>
      </c>
      <c r="P143" s="37" t="str">
        <f>IF(O143="",IF(ISBLANK(O56),"",O56),IF(O56="",O143,O56&amp;", "&amp;O143))</f>
        <v/>
      </c>
      <c r="S143" s="37" t="str">
        <f>IF(V10&gt;0,Stats!$B10,"")</f>
        <v/>
      </c>
      <c r="T143" s="37" t="str">
        <f>IF(S143="",IF(ISBLANK(S56),"",S56),IF(S56="",S143,S56&amp;", "&amp;S143))</f>
        <v>Simon Peach</v>
      </c>
      <c r="W143" s="37" t="str">
        <f>IF(Z10&gt;0,Stats!$B10,"")</f>
        <v/>
      </c>
      <c r="X143" s="37" t="str">
        <f>IF(W143="",IF(ISBLANK(W56),"",W56),IF(W56="",W143,W56&amp;", "&amp;W143))</f>
        <v/>
      </c>
      <c r="AA143" s="37" t="str">
        <f>IF(AD10&gt;0,Stats!$B10,"")</f>
        <v/>
      </c>
      <c r="AB143" s="37" t="str">
        <f>IF(AA143="",IF(ISBLANK(AA56),"",AA56),IF(AA56="",AA143,AA56&amp;", "&amp;AA143))</f>
        <v>Simon Peach</v>
      </c>
      <c r="AE143" s="37" t="str">
        <f>IF(AH10&gt;0,Stats!$B10,"")</f>
        <v/>
      </c>
      <c r="AF143" s="37" t="str">
        <f>IF(AE143="",IF(ISBLANK(AE56),"",AE56),IF(AE56="",AE143,AE56&amp;", "&amp;AE143))</f>
        <v>Buckers, Trevor Rogers</v>
      </c>
      <c r="AI143" s="37" t="str">
        <f>IF(AL10&gt;0,Stats!$B10,"")</f>
        <v/>
      </c>
      <c r="AJ143" s="37" t="str">
        <f>IF(AI143="",IF(ISBLANK(AI56),"",AI56),IF(AI56="",AI143,AI56&amp;", "&amp;AI143))</f>
        <v/>
      </c>
      <c r="AM143" s="37" t="str">
        <f>IF(AP10&gt;0,Stats!$B10,"")</f>
        <v/>
      </c>
      <c r="AN143" s="37" t="str">
        <f>IF(AM143="",IF(ISBLANK(AM56),"",AM56),IF(AM56="",AM143,AM56&amp;", "&amp;AM143))</f>
        <v/>
      </c>
      <c r="AQ143" s="37" t="str">
        <f>IF(AT10&gt;0,Stats!$B10,"")</f>
        <v/>
      </c>
      <c r="AR143" s="37" t="str">
        <f>IF(AQ143="",IF(ISBLANK(AQ56),"",AQ56),IF(AQ56="",AQ143,AQ56&amp;", "&amp;AQ143))</f>
        <v/>
      </c>
      <c r="AU143" s="37" t="str">
        <f>IF(AX10&gt;0,Stats!$B10,"")</f>
        <v/>
      </c>
      <c r="AV143" s="37" t="str">
        <f>IF(AU143="",IF(ISBLANK(AU56),"",AU56),IF(AU56="",AU143,AU56&amp;", "&amp;AU143))</f>
        <v>Miles Whittle</v>
      </c>
      <c r="AY143" s="37" t="str">
        <f>IF(BB10&gt;0,Stats!$B10,"")</f>
        <v/>
      </c>
      <c r="AZ143" s="37" t="str">
        <f>IF(AY143="",IF(ISBLANK(AY56),"",AY56),IF(AY56="",AY143,AY56&amp;", "&amp;AY143))</f>
        <v/>
      </c>
      <c r="BC143" s="37" t="str">
        <f>IF(BF10&gt;0,Stats!$B10,"")</f>
        <v/>
      </c>
      <c r="BD143" s="37" t="str">
        <f>IF(BC143="",IF(ISBLANK(BC56),"",BC56),IF(BC56="",BC143,BC56&amp;", "&amp;BC143))</f>
        <v/>
      </c>
      <c r="BG143" s="37" t="str">
        <f>IF(BJ10&gt;0,Stats!$B10,"")</f>
        <v/>
      </c>
      <c r="BH143" s="37" t="str">
        <f>IF(BG143="",IF(ISBLANK(BG56),"",BG56),IF(BG56="",BG143,BG56&amp;", "&amp;BG143))</f>
        <v/>
      </c>
      <c r="BK143" s="37" t="str">
        <f>IF(BN10&gt;0,Stats!$B10,"")</f>
        <v/>
      </c>
      <c r="BL143" s="37" t="str">
        <f>IF(BK143="",IF(ISBLANK(BK56),"",BK56),IF(BK56="",BK143,BK56&amp;", "&amp;BK143))</f>
        <v/>
      </c>
      <c r="BO143" s="37" t="str">
        <f>IF(BR10&gt;0,Stats!$B10,"")</f>
        <v/>
      </c>
      <c r="BP143" s="37" t="str">
        <f>IF(BO143="",IF(ISBLANK(BO56),"",BO56),IF(BO56="",BO143,BO56&amp;", "&amp;BO143))</f>
        <v>Debbie Field</v>
      </c>
      <c r="BS143" s="37" t="str">
        <f>IF(BV10&gt;0,Stats!$B10,"")</f>
        <v/>
      </c>
      <c r="BT143" s="37" t="str">
        <f>IF(BS143="",IF(ISBLANK(BS56),"",BS56),IF(BS56="",BS143,BS56&amp;", "&amp;BS143))</f>
        <v>??Hillcroft Guy</v>
      </c>
      <c r="BW143" s="37" t="str">
        <f>IF(BZ10&gt;0,Stats!$B10,"")</f>
        <v/>
      </c>
      <c r="BX143" s="37" t="str">
        <f>IF(BW143="",IF(ISBLANK(BW56),"",BW56),IF(BW56="",BW143,BW56&amp;", "&amp;BW143))</f>
        <v>Gregg Urwin+Spencer</v>
      </c>
      <c r="CA143" s="37" t="str">
        <f>IF(CD10&gt;0,Stats!$B10,"")</f>
        <v/>
      </c>
      <c r="CB143" s="37" t="str">
        <f>IF(CA143="",IF(ISBLANK(CA56),"",CA56),IF(CA56="",CA143,CA56&amp;", "&amp;CA143))</f>
        <v>Ray Harry</v>
      </c>
      <c r="CE143" s="37" t="str">
        <f>IF(CH10&gt;0,Stats!$B10,"")</f>
        <v/>
      </c>
      <c r="CF143" s="37" t="str">
        <f>IF(CE143="",IF(ISBLANK(CE56),"",CE56),IF(CE56="",CE143,CE56&amp;", "&amp;CE143))</f>
        <v>James Kellam+EG</v>
      </c>
      <c r="CI143" s="37" t="str">
        <f>IF(CL10&gt;0,Stats!$B10,"")</f>
        <v/>
      </c>
      <c r="CJ143" s="37" t="str">
        <f>IF(CI143="",IF(ISBLANK(CI56),"",CI56),IF(CI56="",CI143,CI56&amp;", "&amp;CI143))</f>
        <v/>
      </c>
    </row>
    <row r="144" spans="3:90" s="37" customFormat="1" x14ac:dyDescent="0.2">
      <c r="E144" s="8">
        <f>E143+1</f>
        <v>2</v>
      </c>
      <c r="G144" s="37" t="str">
        <f>IF(J11&gt;0,Stats!$B11,"")</f>
        <v>Justin Baranowski</v>
      </c>
      <c r="H144" s="37" t="str">
        <f>IF(G144="",H143,IF(H143="",G144,H143&amp;", "&amp;G144))</f>
        <v>Justin Baranowski</v>
      </c>
      <c r="K144" s="37" t="str">
        <f>IF(N11&gt;0,Stats!$B11,"")</f>
        <v/>
      </c>
      <c r="L144" s="37" t="str">
        <f t="shared" ref="L144" si="320">IF(K144="",L143,IF(L143="",K144,L143&amp;", "&amp;K144))</f>
        <v>Rob Collinge, Henry Collinge</v>
      </c>
      <c r="O144" s="37" t="str">
        <f>IF(R11&gt;0,Stats!$B11,"")</f>
        <v/>
      </c>
      <c r="P144" s="37" t="str">
        <f t="shared" ref="P144" si="321">IF(O144="",P143,IF(P143="",O144,P143&amp;", "&amp;O144))</f>
        <v/>
      </c>
      <c r="S144" s="37" t="str">
        <f>IF(V11&gt;0,Stats!$B11,"")</f>
        <v/>
      </c>
      <c r="T144" s="37" t="str">
        <f t="shared" ref="T144" si="322">IF(S144="",T143,IF(T143="",S144,T143&amp;", "&amp;S144))</f>
        <v>Simon Peach</v>
      </c>
      <c r="W144" s="37" t="str">
        <f>IF(Z11&gt;0,Stats!$B11,"")</f>
        <v/>
      </c>
      <c r="X144" s="37" t="str">
        <f t="shared" ref="X144" si="323">IF(W144="",X143,IF(X143="",W144,X143&amp;", "&amp;W144))</f>
        <v/>
      </c>
      <c r="AA144" s="37" t="str">
        <f>IF(AD11&gt;0,Stats!$B11,"")</f>
        <v/>
      </c>
      <c r="AB144" s="37" t="str">
        <f t="shared" ref="AB144" si="324">IF(AA144="",AB143,IF(AB143="",AA144,AB143&amp;", "&amp;AA144))</f>
        <v>Simon Peach</v>
      </c>
      <c r="AE144" s="37" t="str">
        <f>IF(AH11&gt;0,Stats!$B11,"")</f>
        <v/>
      </c>
      <c r="AF144" s="37" t="str">
        <f t="shared" ref="AF144" si="325">IF(AE144="",AF143,IF(AF143="",AE144,AF143&amp;", "&amp;AE144))</f>
        <v>Buckers, Trevor Rogers</v>
      </c>
      <c r="AI144" s="37" t="str">
        <f>IF(AL11&gt;0,Stats!$B11,"")</f>
        <v/>
      </c>
      <c r="AJ144" s="37" t="str">
        <f t="shared" ref="AJ144" si="326">IF(AI144="",AJ143,IF(AJ143="",AI144,AJ143&amp;", "&amp;AI144))</f>
        <v/>
      </c>
      <c r="AM144" s="37" t="str">
        <f>IF(AP11&gt;0,Stats!$B11,"")</f>
        <v/>
      </c>
      <c r="AN144" s="37" t="str">
        <f t="shared" ref="AN144" si="327">IF(AM144="",AN143,IF(AN143="",AM144,AN143&amp;", "&amp;AM144))</f>
        <v/>
      </c>
      <c r="AQ144" s="37" t="str">
        <f>IF(AT11&gt;0,Stats!$B11,"")</f>
        <v/>
      </c>
      <c r="AR144" s="37" t="str">
        <f t="shared" ref="AR144" si="328">IF(AQ144="",AR143,IF(AR143="",AQ144,AR143&amp;", "&amp;AQ144))</f>
        <v/>
      </c>
      <c r="AU144" s="37" t="str">
        <f>IF(AX11&gt;0,Stats!$B11,"")</f>
        <v/>
      </c>
      <c r="AV144" s="37" t="str">
        <f t="shared" ref="AV144" si="329">IF(AU144="",AV143,IF(AV143="",AU144,AV143&amp;", "&amp;AU144))</f>
        <v>Miles Whittle</v>
      </c>
      <c r="AY144" s="37" t="str">
        <f>IF(BB11&gt;0,Stats!$B11,"")</f>
        <v/>
      </c>
      <c r="AZ144" s="37" t="str">
        <f t="shared" ref="AZ144" si="330">IF(AY144="",AZ143,IF(AZ143="",AY144,AZ143&amp;", "&amp;AY144))</f>
        <v/>
      </c>
      <c r="BC144" s="37" t="str">
        <f>IF(BF11&gt;0,Stats!$B11,"")</f>
        <v/>
      </c>
      <c r="BD144" s="37" t="str">
        <f t="shared" ref="BD144" si="331">IF(BC144="",BD143,IF(BD143="",BC144,BD143&amp;", "&amp;BC144))</f>
        <v/>
      </c>
      <c r="BG144" s="37" t="str">
        <f>IF(BJ11&gt;0,Stats!$B11,"")</f>
        <v/>
      </c>
      <c r="BH144" s="37" t="str">
        <f t="shared" ref="BH144" si="332">IF(BG144="",BH143,IF(BH143="",BG144,BH143&amp;", "&amp;BG144))</f>
        <v/>
      </c>
      <c r="BK144" s="37" t="str">
        <f>IF(BN11&gt;0,Stats!$B11,"")</f>
        <v/>
      </c>
      <c r="BL144" s="37" t="str">
        <f t="shared" ref="BL144" si="333">IF(BK144="",BL143,IF(BL143="",BK144,BL143&amp;", "&amp;BK144))</f>
        <v/>
      </c>
      <c r="BO144" s="37" t="str">
        <f>IF(BR11&gt;0,Stats!$B11,"")</f>
        <v/>
      </c>
      <c r="BP144" s="37" t="str">
        <f t="shared" ref="BP144" si="334">IF(BO144="",BP143,IF(BP143="",BO144,BP143&amp;", "&amp;BO144))</f>
        <v>Debbie Field</v>
      </c>
      <c r="BS144" s="37" t="str">
        <f>IF(BV11&gt;0,Stats!$B11,"")</f>
        <v/>
      </c>
      <c r="BT144" s="37" t="str">
        <f t="shared" ref="BT144" si="335">IF(BS144="",BT143,IF(BT143="",BS144,BT143&amp;", "&amp;BS144))</f>
        <v>??Hillcroft Guy</v>
      </c>
      <c r="BW144" s="37" t="str">
        <f>IF(BZ11&gt;0,Stats!$B11,"")</f>
        <v/>
      </c>
      <c r="BX144" s="37" t="str">
        <f t="shared" ref="BX144" si="336">IF(BW144="",BX143,IF(BX143="",BW144,BX143&amp;", "&amp;BW144))</f>
        <v>Gregg Urwin+Spencer</v>
      </c>
      <c r="CA144" s="37" t="str">
        <f>IF(CD11&gt;0,Stats!$B11,"")</f>
        <v/>
      </c>
      <c r="CB144" s="37" t="str">
        <f t="shared" ref="CB144" si="337">IF(CA144="",CB143,IF(CB143="",CA144,CB143&amp;", "&amp;CA144))</f>
        <v>Ray Harry</v>
      </c>
      <c r="CE144" s="37" t="str">
        <f>IF(CH11&gt;0,Stats!$B11,"")</f>
        <v/>
      </c>
      <c r="CF144" s="37" t="str">
        <f t="shared" ref="CF144" si="338">IF(CE144="",CF143,IF(CF143="",CE144,CF143&amp;", "&amp;CE144))</f>
        <v>James Kellam+EG</v>
      </c>
      <c r="CI144" s="37" t="str">
        <f>IF(CL11&gt;0,Stats!$B11,"")</f>
        <v/>
      </c>
      <c r="CJ144" s="37" t="str">
        <f t="shared" ref="CJ144:CJ182" si="339">IF(CI144="",CJ143,IF(CJ143="",CI144,CJ143&amp;", "&amp;CI144))</f>
        <v/>
      </c>
    </row>
    <row r="145" spans="5:88" s="37" customFormat="1" x14ac:dyDescent="0.2">
      <c r="E145" s="8">
        <f t="shared" ref="E145:E182" si="340">E144+1</f>
        <v>3</v>
      </c>
      <c r="G145" s="37" t="str">
        <f>IF(J12&gt;0,Stats!$B12,"")</f>
        <v/>
      </c>
      <c r="H145" s="37" t="str">
        <f t="shared" ref="H145:H182" si="341">IF(G145="",H144,IF(H144="",G145,H144&amp;", "&amp;G145))</f>
        <v>Justin Baranowski</v>
      </c>
      <c r="K145" s="37" t="str">
        <f>IF(N12&gt;0,Stats!$B12,"")</f>
        <v/>
      </c>
      <c r="L145" s="37" t="str">
        <f t="shared" ref="L145:L182" si="342">IF(K145="",L144,IF(L144="",K145,L144&amp;", "&amp;K145))</f>
        <v>Rob Collinge, Henry Collinge</v>
      </c>
      <c r="O145" s="37" t="str">
        <f>IF(R12&gt;0,Stats!$B12,"")</f>
        <v/>
      </c>
      <c r="P145" s="37" t="str">
        <f t="shared" ref="P145:P182" si="343">IF(O145="",P144,IF(P144="",O145,P144&amp;", "&amp;O145))</f>
        <v/>
      </c>
      <c r="S145" s="37" t="str">
        <f>IF(V12&gt;0,Stats!$B12,"")</f>
        <v/>
      </c>
      <c r="T145" s="37" t="str">
        <f t="shared" ref="T145:T182" si="344">IF(S145="",T144,IF(T144="",S145,T144&amp;", "&amp;S145))</f>
        <v>Simon Peach</v>
      </c>
      <c r="W145" s="37" t="str">
        <f>IF(Z12&gt;0,Stats!$B12,"")</f>
        <v/>
      </c>
      <c r="X145" s="37" t="str">
        <f t="shared" ref="X145:X182" si="345">IF(W145="",X144,IF(X144="",W145,X144&amp;", "&amp;W145))</f>
        <v/>
      </c>
      <c r="AA145" s="37" t="str">
        <f>IF(AD12&gt;0,Stats!$B12,"")</f>
        <v/>
      </c>
      <c r="AB145" s="37" t="str">
        <f t="shared" ref="AB145:AB182" si="346">IF(AA145="",AB144,IF(AB144="",AA145,AB144&amp;", "&amp;AA145))</f>
        <v>Simon Peach</v>
      </c>
      <c r="AE145" s="37" t="str">
        <f>IF(AH12&gt;0,Stats!$B12,"")</f>
        <v/>
      </c>
      <c r="AF145" s="37" t="str">
        <f t="shared" ref="AF145:AF182" si="347">IF(AE145="",AF144,IF(AF144="",AE145,AF144&amp;", "&amp;AE145))</f>
        <v>Buckers, Trevor Rogers</v>
      </c>
      <c r="AI145" s="37" t="str">
        <f>IF(AL12&gt;0,Stats!$B12,"")</f>
        <v/>
      </c>
      <c r="AJ145" s="37" t="str">
        <f t="shared" ref="AJ145:AJ182" si="348">IF(AI145="",AJ144,IF(AJ144="",AI145,AJ144&amp;", "&amp;AI145))</f>
        <v/>
      </c>
      <c r="AM145" s="37" t="str">
        <f>IF(AP12&gt;0,Stats!$B12,"")</f>
        <v/>
      </c>
      <c r="AN145" s="37" t="str">
        <f t="shared" ref="AN145:AN182" si="349">IF(AM145="",AN144,IF(AN144="",AM145,AN144&amp;", "&amp;AM145))</f>
        <v/>
      </c>
      <c r="AQ145" s="37" t="str">
        <f>IF(AT12&gt;0,Stats!$B12,"")</f>
        <v/>
      </c>
      <c r="AR145" s="37" t="str">
        <f t="shared" ref="AR145:AR182" si="350">IF(AQ145="",AR144,IF(AR144="",AQ145,AR144&amp;", "&amp;AQ145))</f>
        <v/>
      </c>
      <c r="AU145" s="37" t="str">
        <f>IF(AX12&gt;0,Stats!$B12,"")</f>
        <v/>
      </c>
      <c r="AV145" s="37" t="str">
        <f t="shared" ref="AV145:AV182" si="351">IF(AU145="",AV144,IF(AV144="",AU145,AV144&amp;", "&amp;AU145))</f>
        <v>Miles Whittle</v>
      </c>
      <c r="AY145" s="37" t="str">
        <f>IF(BB12&gt;0,Stats!$B12,"")</f>
        <v/>
      </c>
      <c r="AZ145" s="37" t="str">
        <f t="shared" ref="AZ145:AZ182" si="352">IF(AY145="",AZ144,IF(AZ144="",AY145,AZ144&amp;", "&amp;AY145))</f>
        <v/>
      </c>
      <c r="BC145" s="37" t="str">
        <f>IF(BF12&gt;0,Stats!$B12,"")</f>
        <v/>
      </c>
      <c r="BD145" s="37" t="str">
        <f t="shared" ref="BD145:BD182" si="353">IF(BC145="",BD144,IF(BD144="",BC145,BD144&amp;", "&amp;BC145))</f>
        <v/>
      </c>
      <c r="BG145" s="37" t="str">
        <f>IF(BJ12&gt;0,Stats!$B12,"")</f>
        <v/>
      </c>
      <c r="BH145" s="37" t="str">
        <f t="shared" ref="BH145:BH182" si="354">IF(BG145="",BH144,IF(BH144="",BG145,BH144&amp;", "&amp;BG145))</f>
        <v/>
      </c>
      <c r="BK145" s="37" t="str">
        <f>IF(BN12&gt;0,Stats!$B12,"")</f>
        <v/>
      </c>
      <c r="BL145" s="37" t="str">
        <f t="shared" ref="BL145:BL182" si="355">IF(BK145="",BL144,IF(BL144="",BK145,BL144&amp;", "&amp;BK145))</f>
        <v/>
      </c>
      <c r="BO145" s="37" t="str">
        <f>IF(BR12&gt;0,Stats!$B12,"")</f>
        <v/>
      </c>
      <c r="BP145" s="37" t="str">
        <f t="shared" ref="BP145:BP182" si="356">IF(BO145="",BP144,IF(BP144="",BO145,BP144&amp;", "&amp;BO145))</f>
        <v>Debbie Field</v>
      </c>
      <c r="BS145" s="37" t="str">
        <f>IF(BV12&gt;0,Stats!$B12,"")</f>
        <v/>
      </c>
      <c r="BT145" s="37" t="str">
        <f t="shared" ref="BT145:BT182" si="357">IF(BS145="",BT144,IF(BT144="",BS145,BT144&amp;", "&amp;BS145))</f>
        <v>??Hillcroft Guy</v>
      </c>
      <c r="BW145" s="37" t="str">
        <f>IF(BZ12&gt;0,Stats!$B12,"")</f>
        <v/>
      </c>
      <c r="BX145" s="37" t="str">
        <f t="shared" ref="BX145:BX182" si="358">IF(BW145="",BX144,IF(BX144="",BW145,BX144&amp;", "&amp;BW145))</f>
        <v>Gregg Urwin+Spencer</v>
      </c>
      <c r="CA145" s="37" t="str">
        <f>IF(CD12&gt;0,Stats!$B12,"")</f>
        <v/>
      </c>
      <c r="CB145" s="37" t="str">
        <f t="shared" ref="CB145:CB182" si="359">IF(CA145="",CB144,IF(CB144="",CA145,CB144&amp;", "&amp;CA145))</f>
        <v>Ray Harry</v>
      </c>
      <c r="CE145" s="37" t="str">
        <f>IF(CH12&gt;0,Stats!$B12,"")</f>
        <v/>
      </c>
      <c r="CF145" s="37" t="str">
        <f t="shared" ref="CF145:CF182" si="360">IF(CE145="",CF144,IF(CF144="",CE145,CF144&amp;", "&amp;CE145))</f>
        <v>James Kellam+EG</v>
      </c>
      <c r="CI145" s="37" t="str">
        <f>IF(CL12&gt;0,Stats!$B12,"")</f>
        <v/>
      </c>
      <c r="CJ145" s="37" t="str">
        <f t="shared" si="339"/>
        <v/>
      </c>
    </row>
    <row r="146" spans="5:88" s="37" customFormat="1" x14ac:dyDescent="0.2">
      <c r="E146" s="8">
        <f t="shared" si="340"/>
        <v>4</v>
      </c>
      <c r="G146" s="37" t="str">
        <f>IF(J13&gt;0,Stats!$B13,"")</f>
        <v/>
      </c>
      <c r="H146" s="37" t="str">
        <f t="shared" si="341"/>
        <v>Justin Baranowski</v>
      </c>
      <c r="K146" s="37" t="str">
        <f>IF(N13&gt;0,Stats!$B13,"")</f>
        <v/>
      </c>
      <c r="L146" s="37" t="str">
        <f t="shared" si="342"/>
        <v>Rob Collinge, Henry Collinge</v>
      </c>
      <c r="O146" s="37" t="str">
        <f>IF(R13&gt;0,Stats!$B13,"")</f>
        <v/>
      </c>
      <c r="P146" s="37" t="str">
        <f t="shared" si="343"/>
        <v/>
      </c>
      <c r="S146" s="37" t="str">
        <f>IF(V13&gt;0,Stats!$B13,"")</f>
        <v/>
      </c>
      <c r="T146" s="37" t="str">
        <f t="shared" si="344"/>
        <v>Simon Peach</v>
      </c>
      <c r="W146" s="37" t="str">
        <f>IF(Z13&gt;0,Stats!$B13,"")</f>
        <v/>
      </c>
      <c r="X146" s="37" t="str">
        <f t="shared" si="345"/>
        <v/>
      </c>
      <c r="AA146" s="37" t="str">
        <f>IF(AD13&gt;0,Stats!$B13,"")</f>
        <v/>
      </c>
      <c r="AB146" s="37" t="str">
        <f t="shared" si="346"/>
        <v>Simon Peach</v>
      </c>
      <c r="AE146" s="37" t="str">
        <f>IF(AH13&gt;0,Stats!$B13,"")</f>
        <v/>
      </c>
      <c r="AF146" s="37" t="str">
        <f t="shared" si="347"/>
        <v>Buckers, Trevor Rogers</v>
      </c>
      <c r="AI146" s="37" t="str">
        <f>IF(AL13&gt;0,Stats!$B13,"")</f>
        <v/>
      </c>
      <c r="AJ146" s="37" t="str">
        <f t="shared" si="348"/>
        <v/>
      </c>
      <c r="AM146" s="37" t="str">
        <f>IF(AP13&gt;0,Stats!$B13,"")</f>
        <v/>
      </c>
      <c r="AN146" s="37" t="str">
        <f t="shared" si="349"/>
        <v/>
      </c>
      <c r="AQ146" s="37" t="str">
        <f>IF(AT13&gt;0,Stats!$B13,"")</f>
        <v/>
      </c>
      <c r="AR146" s="37" t="str">
        <f t="shared" si="350"/>
        <v/>
      </c>
      <c r="AU146" s="37" t="str">
        <f>IF(AX13&gt;0,Stats!$B13,"")</f>
        <v/>
      </c>
      <c r="AV146" s="37" t="str">
        <f t="shared" si="351"/>
        <v>Miles Whittle</v>
      </c>
      <c r="AY146" s="37" t="str">
        <f>IF(BB13&gt;0,Stats!$B13,"")</f>
        <v/>
      </c>
      <c r="AZ146" s="37" t="str">
        <f t="shared" si="352"/>
        <v/>
      </c>
      <c r="BC146" s="37" t="str">
        <f>IF(BF13&gt;0,Stats!$B13,"")</f>
        <v/>
      </c>
      <c r="BD146" s="37" t="str">
        <f t="shared" si="353"/>
        <v/>
      </c>
      <c r="BG146" s="37" t="str">
        <f>IF(BJ13&gt;0,Stats!$B13,"")</f>
        <v/>
      </c>
      <c r="BH146" s="37" t="str">
        <f t="shared" si="354"/>
        <v/>
      </c>
      <c r="BK146" s="37" t="str">
        <f>IF(BN13&gt;0,Stats!$B13,"")</f>
        <v/>
      </c>
      <c r="BL146" s="37" t="str">
        <f t="shared" si="355"/>
        <v/>
      </c>
      <c r="BO146" s="37" t="str">
        <f>IF(BR13&gt;0,Stats!$B13,"")</f>
        <v/>
      </c>
      <c r="BP146" s="37" t="str">
        <f t="shared" si="356"/>
        <v>Debbie Field</v>
      </c>
      <c r="BS146" s="37" t="str">
        <f>IF(BV13&gt;0,Stats!$B13,"")</f>
        <v/>
      </c>
      <c r="BT146" s="37" t="str">
        <f t="shared" si="357"/>
        <v>??Hillcroft Guy</v>
      </c>
      <c r="BW146" s="37" t="str">
        <f>IF(BZ13&gt;0,Stats!$B13,"")</f>
        <v/>
      </c>
      <c r="BX146" s="37" t="str">
        <f t="shared" si="358"/>
        <v>Gregg Urwin+Spencer</v>
      </c>
      <c r="CA146" s="37" t="str">
        <f>IF(CD13&gt;0,Stats!$B13,"")</f>
        <v/>
      </c>
      <c r="CB146" s="37" t="str">
        <f t="shared" si="359"/>
        <v>Ray Harry</v>
      </c>
      <c r="CE146" s="37" t="str">
        <f>IF(CH13&gt;0,Stats!$B13,"")</f>
        <v/>
      </c>
      <c r="CF146" s="37" t="str">
        <f t="shared" si="360"/>
        <v>James Kellam+EG</v>
      </c>
      <c r="CI146" s="37" t="str">
        <f>IF(CL13&gt;0,Stats!$B13,"")</f>
        <v/>
      </c>
      <c r="CJ146" s="37" t="str">
        <f t="shared" si="339"/>
        <v/>
      </c>
    </row>
    <row r="147" spans="5:88" s="37" customFormat="1" x14ac:dyDescent="0.2">
      <c r="E147" s="8">
        <f t="shared" si="340"/>
        <v>5</v>
      </c>
      <c r="G147" s="37" t="str">
        <f>IF(J14&gt;0,Stats!$B14,"")</f>
        <v/>
      </c>
      <c r="H147" s="37" t="str">
        <f t="shared" si="341"/>
        <v>Justin Baranowski</v>
      </c>
      <c r="K147" s="37" t="str">
        <f>IF(N14&gt;0,Stats!$B14,"")</f>
        <v/>
      </c>
      <c r="L147" s="37" t="str">
        <f t="shared" si="342"/>
        <v>Rob Collinge, Henry Collinge</v>
      </c>
      <c r="O147" s="37" t="str">
        <f>IF(R14&gt;0,Stats!$B14,"")</f>
        <v/>
      </c>
      <c r="P147" s="37" t="str">
        <f t="shared" si="343"/>
        <v/>
      </c>
      <c r="S147" s="37" t="str">
        <f>IF(V14&gt;0,Stats!$B14,"")</f>
        <v/>
      </c>
      <c r="T147" s="37" t="str">
        <f t="shared" si="344"/>
        <v>Simon Peach</v>
      </c>
      <c r="W147" s="37" t="str">
        <f>IF(Z14&gt;0,Stats!$B14,"")</f>
        <v/>
      </c>
      <c r="X147" s="37" t="str">
        <f t="shared" si="345"/>
        <v/>
      </c>
      <c r="AA147" s="37" t="str">
        <f>IF(AD14&gt;0,Stats!$B14,"")</f>
        <v>Andy Booth</v>
      </c>
      <c r="AB147" s="37" t="str">
        <f t="shared" si="346"/>
        <v>Simon Peach, Andy Booth</v>
      </c>
      <c r="AE147" s="37" t="str">
        <f>IF(AH14&gt;0,Stats!$B14,"")</f>
        <v/>
      </c>
      <c r="AF147" s="37" t="str">
        <f t="shared" si="347"/>
        <v>Buckers, Trevor Rogers</v>
      </c>
      <c r="AI147" s="37" t="str">
        <f>IF(AL14&gt;0,Stats!$B14,"")</f>
        <v/>
      </c>
      <c r="AJ147" s="37" t="str">
        <f t="shared" si="348"/>
        <v/>
      </c>
      <c r="AM147" s="37" t="str">
        <f>IF(AP14&gt;0,Stats!$B14,"")</f>
        <v/>
      </c>
      <c r="AN147" s="37" t="str">
        <f t="shared" si="349"/>
        <v/>
      </c>
      <c r="AQ147" s="37" t="str">
        <f>IF(AT14&gt;0,Stats!$B14,"")</f>
        <v/>
      </c>
      <c r="AR147" s="37" t="str">
        <f t="shared" si="350"/>
        <v/>
      </c>
      <c r="AU147" s="37" t="str">
        <f>IF(AX14&gt;0,Stats!$B14,"")</f>
        <v/>
      </c>
      <c r="AV147" s="37" t="str">
        <f t="shared" si="351"/>
        <v>Miles Whittle</v>
      </c>
      <c r="AY147" s="37" t="str">
        <f>IF(BB14&gt;0,Stats!$B14,"")</f>
        <v/>
      </c>
      <c r="AZ147" s="37" t="str">
        <f t="shared" si="352"/>
        <v/>
      </c>
      <c r="BC147" s="37" t="str">
        <f>IF(BF14&gt;0,Stats!$B14,"")</f>
        <v/>
      </c>
      <c r="BD147" s="37" t="str">
        <f t="shared" si="353"/>
        <v/>
      </c>
      <c r="BG147" s="37" t="str">
        <f>IF(BJ14&gt;0,Stats!$B14,"")</f>
        <v/>
      </c>
      <c r="BH147" s="37" t="str">
        <f t="shared" si="354"/>
        <v/>
      </c>
      <c r="BK147" s="37" t="str">
        <f>IF(BN14&gt;0,Stats!$B14,"")</f>
        <v/>
      </c>
      <c r="BL147" s="37" t="str">
        <f t="shared" si="355"/>
        <v/>
      </c>
      <c r="BO147" s="37" t="str">
        <f>IF(BR14&gt;0,Stats!$B14,"")</f>
        <v/>
      </c>
      <c r="BP147" s="37" t="str">
        <f t="shared" si="356"/>
        <v>Debbie Field</v>
      </c>
      <c r="BS147" s="37" t="str">
        <f>IF(BV14&gt;0,Stats!$B14,"")</f>
        <v/>
      </c>
      <c r="BT147" s="37" t="str">
        <f t="shared" si="357"/>
        <v>??Hillcroft Guy</v>
      </c>
      <c r="BW147" s="37" t="str">
        <f>IF(BZ14&gt;0,Stats!$B14,"")</f>
        <v/>
      </c>
      <c r="BX147" s="37" t="str">
        <f t="shared" si="358"/>
        <v>Gregg Urwin+Spencer</v>
      </c>
      <c r="CA147" s="37" t="str">
        <f>IF(CD14&gt;0,Stats!$B14,"")</f>
        <v/>
      </c>
      <c r="CB147" s="37" t="str">
        <f t="shared" si="359"/>
        <v>Ray Harry</v>
      </c>
      <c r="CE147" s="37" t="str">
        <f>IF(CH14&gt;0,Stats!$B14,"")</f>
        <v/>
      </c>
      <c r="CF147" s="37" t="str">
        <f t="shared" si="360"/>
        <v>James Kellam+EG</v>
      </c>
      <c r="CI147" s="37" t="str">
        <f>IF(CL14&gt;0,Stats!$B14,"")</f>
        <v/>
      </c>
      <c r="CJ147" s="37" t="str">
        <f t="shared" si="339"/>
        <v/>
      </c>
    </row>
    <row r="148" spans="5:88" s="37" customFormat="1" x14ac:dyDescent="0.2">
      <c r="E148" s="8">
        <f t="shared" si="340"/>
        <v>6</v>
      </c>
      <c r="G148" s="37" t="str">
        <f>IF(J15&gt;0,Stats!$B15,"")</f>
        <v/>
      </c>
      <c r="H148" s="37" t="str">
        <f t="shared" si="341"/>
        <v>Justin Baranowski</v>
      </c>
      <c r="K148" s="37" t="str">
        <f>IF(N15&gt;0,Stats!$B15,"")</f>
        <v/>
      </c>
      <c r="L148" s="37" t="str">
        <f t="shared" si="342"/>
        <v>Rob Collinge, Henry Collinge</v>
      </c>
      <c r="O148" s="37" t="str">
        <f>IF(R15&gt;0,Stats!$B15,"")</f>
        <v/>
      </c>
      <c r="P148" s="37" t="str">
        <f t="shared" si="343"/>
        <v/>
      </c>
      <c r="S148" s="37" t="str">
        <f>IF(V15&gt;0,Stats!$B15,"")</f>
        <v/>
      </c>
      <c r="T148" s="37" t="str">
        <f t="shared" si="344"/>
        <v>Simon Peach</v>
      </c>
      <c r="W148" s="37" t="str">
        <f>IF(Z15&gt;0,Stats!$B15,"")</f>
        <v/>
      </c>
      <c r="X148" s="37" t="str">
        <f t="shared" si="345"/>
        <v/>
      </c>
      <c r="AA148" s="37" t="str">
        <f>IF(AD15&gt;0,Stats!$B15,"")</f>
        <v/>
      </c>
      <c r="AB148" s="37" t="str">
        <f t="shared" si="346"/>
        <v>Simon Peach, Andy Booth</v>
      </c>
      <c r="AE148" s="37" t="str">
        <f>IF(AH15&gt;0,Stats!$B15,"")</f>
        <v/>
      </c>
      <c r="AF148" s="37" t="str">
        <f t="shared" si="347"/>
        <v>Buckers, Trevor Rogers</v>
      </c>
      <c r="AI148" s="37" t="str">
        <f>IF(AL15&gt;0,Stats!$B15,"")</f>
        <v/>
      </c>
      <c r="AJ148" s="37" t="str">
        <f t="shared" si="348"/>
        <v/>
      </c>
      <c r="AM148" s="37" t="str">
        <f>IF(AP15&gt;0,Stats!$B15,"")</f>
        <v/>
      </c>
      <c r="AN148" s="37" t="str">
        <f t="shared" si="349"/>
        <v/>
      </c>
      <c r="AQ148" s="37" t="str">
        <f>IF(AT15&gt;0,Stats!$B15,"")</f>
        <v/>
      </c>
      <c r="AR148" s="37" t="str">
        <f t="shared" si="350"/>
        <v/>
      </c>
      <c r="AU148" s="37" t="str">
        <f>IF(AX15&gt;0,Stats!$B15,"")</f>
        <v/>
      </c>
      <c r="AV148" s="37" t="str">
        <f t="shared" si="351"/>
        <v>Miles Whittle</v>
      </c>
      <c r="AY148" s="37" t="str">
        <f>IF(BB15&gt;0,Stats!$B15,"")</f>
        <v/>
      </c>
      <c r="AZ148" s="37" t="str">
        <f t="shared" si="352"/>
        <v/>
      </c>
      <c r="BC148" s="37" t="str">
        <f>IF(BF15&gt;0,Stats!$B15,"")</f>
        <v/>
      </c>
      <c r="BD148" s="37" t="str">
        <f t="shared" si="353"/>
        <v/>
      </c>
      <c r="BG148" s="37" t="str">
        <f>IF(BJ15&gt;0,Stats!$B15,"")</f>
        <v/>
      </c>
      <c r="BH148" s="37" t="str">
        <f t="shared" si="354"/>
        <v/>
      </c>
      <c r="BK148" s="37" t="str">
        <f>IF(BN15&gt;0,Stats!$B15,"")</f>
        <v/>
      </c>
      <c r="BL148" s="37" t="str">
        <f t="shared" si="355"/>
        <v/>
      </c>
      <c r="BO148" s="37" t="str">
        <f>IF(BR15&gt;0,Stats!$B15,"")</f>
        <v/>
      </c>
      <c r="BP148" s="37" t="str">
        <f t="shared" si="356"/>
        <v>Debbie Field</v>
      </c>
      <c r="BS148" s="37" t="str">
        <f>IF(BV15&gt;0,Stats!$B15,"")</f>
        <v/>
      </c>
      <c r="BT148" s="37" t="str">
        <f t="shared" si="357"/>
        <v>??Hillcroft Guy</v>
      </c>
      <c r="BW148" s="37" t="str">
        <f>IF(BZ15&gt;0,Stats!$B15,"")</f>
        <v/>
      </c>
      <c r="BX148" s="37" t="str">
        <f t="shared" si="358"/>
        <v>Gregg Urwin+Spencer</v>
      </c>
      <c r="CA148" s="37" t="str">
        <f>IF(CD15&gt;0,Stats!$B15,"")</f>
        <v/>
      </c>
      <c r="CB148" s="37" t="str">
        <f t="shared" si="359"/>
        <v>Ray Harry</v>
      </c>
      <c r="CE148" s="37" t="str">
        <f>IF(CH15&gt;0,Stats!$B15,"")</f>
        <v/>
      </c>
      <c r="CF148" s="37" t="str">
        <f t="shared" si="360"/>
        <v>James Kellam+EG</v>
      </c>
      <c r="CI148" s="37" t="str">
        <f>IF(CL15&gt;0,Stats!$B15,"")</f>
        <v/>
      </c>
      <c r="CJ148" s="37" t="str">
        <f t="shared" si="339"/>
        <v/>
      </c>
    </row>
    <row r="149" spans="5:88" s="37" customFormat="1" x14ac:dyDescent="0.2">
      <c r="E149" s="8">
        <f t="shared" si="340"/>
        <v>7</v>
      </c>
      <c r="G149" s="37" t="str">
        <f>IF(J16&gt;0,Stats!$B16,"")</f>
        <v/>
      </c>
      <c r="H149" s="37" t="str">
        <f t="shared" si="341"/>
        <v>Justin Baranowski</v>
      </c>
      <c r="K149" s="37" t="str">
        <f>IF(N16&gt;0,Stats!$B16,"")</f>
        <v/>
      </c>
      <c r="L149" s="37" t="str">
        <f t="shared" si="342"/>
        <v>Rob Collinge, Henry Collinge</v>
      </c>
      <c r="O149" s="37" t="str">
        <f>IF(R16&gt;0,Stats!$B16,"")</f>
        <v/>
      </c>
      <c r="P149" s="37" t="str">
        <f t="shared" si="343"/>
        <v/>
      </c>
      <c r="S149" s="37" t="str">
        <f>IF(V16&gt;0,Stats!$B16,"")</f>
        <v/>
      </c>
      <c r="T149" s="37" t="str">
        <f t="shared" si="344"/>
        <v>Simon Peach</v>
      </c>
      <c r="W149" s="37" t="str">
        <f>IF(Z16&gt;0,Stats!$B16,"")</f>
        <v/>
      </c>
      <c r="X149" s="37" t="str">
        <f t="shared" si="345"/>
        <v/>
      </c>
      <c r="AA149" s="37" t="str">
        <f>IF(AD16&gt;0,Stats!$B16,"")</f>
        <v/>
      </c>
      <c r="AB149" s="37" t="str">
        <f t="shared" si="346"/>
        <v>Simon Peach, Andy Booth</v>
      </c>
      <c r="AE149" s="37" t="str">
        <f>IF(AH16&gt;0,Stats!$B16,"")</f>
        <v/>
      </c>
      <c r="AF149" s="37" t="str">
        <f t="shared" si="347"/>
        <v>Buckers, Trevor Rogers</v>
      </c>
      <c r="AI149" s="37" t="str">
        <f>IF(AL16&gt;0,Stats!$B16,"")</f>
        <v/>
      </c>
      <c r="AJ149" s="37" t="str">
        <f t="shared" si="348"/>
        <v/>
      </c>
      <c r="AM149" s="37" t="str">
        <f>IF(AP16&gt;0,Stats!$B16,"")</f>
        <v/>
      </c>
      <c r="AN149" s="37" t="str">
        <f t="shared" si="349"/>
        <v/>
      </c>
      <c r="AQ149" s="37" t="str">
        <f>IF(AT16&gt;0,Stats!$B16,"")</f>
        <v/>
      </c>
      <c r="AR149" s="37" t="str">
        <f t="shared" si="350"/>
        <v/>
      </c>
      <c r="AU149" s="37" t="str">
        <f>IF(AX16&gt;0,Stats!$B16,"")</f>
        <v/>
      </c>
      <c r="AV149" s="37" t="str">
        <f t="shared" si="351"/>
        <v>Miles Whittle</v>
      </c>
      <c r="AY149" s="37" t="str">
        <f>IF(BB16&gt;0,Stats!$B16,"")</f>
        <v/>
      </c>
      <c r="AZ149" s="37" t="str">
        <f t="shared" si="352"/>
        <v/>
      </c>
      <c r="BC149" s="37" t="str">
        <f>IF(BF16&gt;0,Stats!$B16,"")</f>
        <v/>
      </c>
      <c r="BD149" s="37" t="str">
        <f t="shared" si="353"/>
        <v/>
      </c>
      <c r="BG149" s="37" t="str">
        <f>IF(BJ16&gt;0,Stats!$B16,"")</f>
        <v/>
      </c>
      <c r="BH149" s="37" t="str">
        <f t="shared" si="354"/>
        <v/>
      </c>
      <c r="BK149" s="37" t="str">
        <f>IF(BN16&gt;0,Stats!$B16,"")</f>
        <v/>
      </c>
      <c r="BL149" s="37" t="str">
        <f t="shared" si="355"/>
        <v/>
      </c>
      <c r="BO149" s="37" t="str">
        <f>IF(BR16&gt;0,Stats!$B16,"")</f>
        <v/>
      </c>
      <c r="BP149" s="37" t="str">
        <f t="shared" si="356"/>
        <v>Debbie Field</v>
      </c>
      <c r="BS149" s="37" t="str">
        <f>IF(BV16&gt;0,Stats!$B16,"")</f>
        <v/>
      </c>
      <c r="BT149" s="37" t="str">
        <f t="shared" si="357"/>
        <v>??Hillcroft Guy</v>
      </c>
      <c r="BW149" s="37" t="str">
        <f>IF(BZ16&gt;0,Stats!$B16,"")</f>
        <v/>
      </c>
      <c r="BX149" s="37" t="str">
        <f t="shared" si="358"/>
        <v>Gregg Urwin+Spencer</v>
      </c>
      <c r="CA149" s="37" t="str">
        <f>IF(CD16&gt;0,Stats!$B16,"")</f>
        <v/>
      </c>
      <c r="CB149" s="37" t="str">
        <f t="shared" si="359"/>
        <v>Ray Harry</v>
      </c>
      <c r="CE149" s="37" t="str">
        <f>IF(CH16&gt;0,Stats!$B16,"")</f>
        <v/>
      </c>
      <c r="CF149" s="37" t="str">
        <f t="shared" si="360"/>
        <v>James Kellam+EG</v>
      </c>
      <c r="CI149" s="37" t="str">
        <f>IF(CL16&gt;0,Stats!$B16,"")</f>
        <v/>
      </c>
      <c r="CJ149" s="37" t="str">
        <f t="shared" si="339"/>
        <v/>
      </c>
    </row>
    <row r="150" spans="5:88" s="37" customFormat="1" x14ac:dyDescent="0.2">
      <c r="E150" s="8">
        <f t="shared" si="340"/>
        <v>8</v>
      </c>
      <c r="G150" s="37" t="str">
        <f>IF(J17&gt;0,Stats!$B17,"")</f>
        <v/>
      </c>
      <c r="H150" s="37" t="str">
        <f t="shared" si="341"/>
        <v>Justin Baranowski</v>
      </c>
      <c r="K150" s="37" t="str">
        <f>IF(N17&gt;0,Stats!$B17,"")</f>
        <v/>
      </c>
      <c r="L150" s="37" t="str">
        <f t="shared" si="342"/>
        <v>Rob Collinge, Henry Collinge</v>
      </c>
      <c r="O150" s="37" t="str">
        <f>IF(R17&gt;0,Stats!$B17,"")</f>
        <v/>
      </c>
      <c r="P150" s="37" t="str">
        <f t="shared" si="343"/>
        <v/>
      </c>
      <c r="S150" s="37" t="str">
        <f>IF(V17&gt;0,Stats!$B17,"")</f>
        <v/>
      </c>
      <c r="T150" s="37" t="str">
        <f t="shared" si="344"/>
        <v>Simon Peach</v>
      </c>
      <c r="W150" s="37" t="str">
        <f>IF(Z17&gt;0,Stats!$B17,"")</f>
        <v/>
      </c>
      <c r="X150" s="37" t="str">
        <f t="shared" si="345"/>
        <v/>
      </c>
      <c r="AA150" s="37" t="str">
        <f>IF(AD17&gt;0,Stats!$B17,"")</f>
        <v/>
      </c>
      <c r="AB150" s="37" t="str">
        <f t="shared" si="346"/>
        <v>Simon Peach, Andy Booth</v>
      </c>
      <c r="AE150" s="37" t="str">
        <f>IF(AH17&gt;0,Stats!$B17,"")</f>
        <v/>
      </c>
      <c r="AF150" s="37" t="str">
        <f t="shared" si="347"/>
        <v>Buckers, Trevor Rogers</v>
      </c>
      <c r="AI150" s="37" t="str">
        <f>IF(AL17&gt;0,Stats!$B17,"")</f>
        <v/>
      </c>
      <c r="AJ150" s="37" t="str">
        <f t="shared" si="348"/>
        <v/>
      </c>
      <c r="AM150" s="37" t="str">
        <f>IF(AP17&gt;0,Stats!$B17,"")</f>
        <v/>
      </c>
      <c r="AN150" s="37" t="str">
        <f t="shared" si="349"/>
        <v/>
      </c>
      <c r="AQ150" s="37" t="str">
        <f>IF(AT17&gt;0,Stats!$B17,"")</f>
        <v/>
      </c>
      <c r="AR150" s="37" t="str">
        <f t="shared" si="350"/>
        <v/>
      </c>
      <c r="AU150" s="37" t="str">
        <f>IF(AX17&gt;0,Stats!$B17,"")</f>
        <v/>
      </c>
      <c r="AV150" s="37" t="str">
        <f t="shared" si="351"/>
        <v>Miles Whittle</v>
      </c>
      <c r="AY150" s="37" t="str">
        <f>IF(BB17&gt;0,Stats!$B17,"")</f>
        <v/>
      </c>
      <c r="AZ150" s="37" t="str">
        <f t="shared" si="352"/>
        <v/>
      </c>
      <c r="BC150" s="37" t="str">
        <f>IF(BF17&gt;0,Stats!$B17,"")</f>
        <v/>
      </c>
      <c r="BD150" s="37" t="str">
        <f t="shared" si="353"/>
        <v/>
      </c>
      <c r="BG150" s="37" t="str">
        <f>IF(BJ17&gt;0,Stats!$B17,"")</f>
        <v/>
      </c>
      <c r="BH150" s="37" t="str">
        <f t="shared" si="354"/>
        <v/>
      </c>
      <c r="BK150" s="37" t="str">
        <f>IF(BN17&gt;0,Stats!$B17,"")</f>
        <v/>
      </c>
      <c r="BL150" s="37" t="str">
        <f t="shared" si="355"/>
        <v/>
      </c>
      <c r="BO150" s="37" t="str">
        <f>IF(BR17&gt;0,Stats!$B17,"")</f>
        <v/>
      </c>
      <c r="BP150" s="37" t="str">
        <f t="shared" si="356"/>
        <v>Debbie Field</v>
      </c>
      <c r="BS150" s="37" t="str">
        <f>IF(BV17&gt;0,Stats!$B17,"")</f>
        <v/>
      </c>
      <c r="BT150" s="37" t="str">
        <f t="shared" si="357"/>
        <v>??Hillcroft Guy</v>
      </c>
      <c r="BW150" s="37" t="str">
        <f>IF(BZ17&gt;0,Stats!$B17,"")</f>
        <v/>
      </c>
      <c r="BX150" s="37" t="str">
        <f t="shared" si="358"/>
        <v>Gregg Urwin+Spencer</v>
      </c>
      <c r="CA150" s="37" t="str">
        <f>IF(CD17&gt;0,Stats!$B17,"")</f>
        <v/>
      </c>
      <c r="CB150" s="37" t="str">
        <f t="shared" si="359"/>
        <v>Ray Harry</v>
      </c>
      <c r="CE150" s="37" t="str">
        <f>IF(CH17&gt;0,Stats!$B17,"")</f>
        <v/>
      </c>
      <c r="CF150" s="37" t="str">
        <f t="shared" si="360"/>
        <v>James Kellam+EG</v>
      </c>
      <c r="CI150" s="37" t="str">
        <f>IF(CL17&gt;0,Stats!$B17,"")</f>
        <v/>
      </c>
      <c r="CJ150" s="37" t="str">
        <f t="shared" si="339"/>
        <v/>
      </c>
    </row>
    <row r="151" spans="5:88" s="37" customFormat="1" x14ac:dyDescent="0.2">
      <c r="E151" s="8">
        <f t="shared" si="340"/>
        <v>9</v>
      </c>
      <c r="G151" s="37" t="str">
        <f>IF(J18&gt;0,Stats!$B18,"")</f>
        <v/>
      </c>
      <c r="H151" s="37" t="str">
        <f t="shared" si="341"/>
        <v>Justin Baranowski</v>
      </c>
      <c r="K151" s="37" t="str">
        <f>IF(N18&gt;0,Stats!$B18,"")</f>
        <v/>
      </c>
      <c r="L151" s="37" t="str">
        <f t="shared" si="342"/>
        <v>Rob Collinge, Henry Collinge</v>
      </c>
      <c r="O151" s="37" t="str">
        <f>IF(R18&gt;0,Stats!$B18,"")</f>
        <v/>
      </c>
      <c r="P151" s="37" t="str">
        <f t="shared" si="343"/>
        <v/>
      </c>
      <c r="S151" s="37" t="str">
        <f>IF(V18&gt;0,Stats!$B18,"")</f>
        <v/>
      </c>
      <c r="T151" s="37" t="str">
        <f t="shared" si="344"/>
        <v>Simon Peach</v>
      </c>
      <c r="W151" s="37" t="str">
        <f>IF(Z18&gt;0,Stats!$B18,"")</f>
        <v/>
      </c>
      <c r="X151" s="37" t="str">
        <f t="shared" si="345"/>
        <v/>
      </c>
      <c r="AA151" s="37" t="str">
        <f>IF(AD18&gt;0,Stats!$B18,"")</f>
        <v/>
      </c>
      <c r="AB151" s="37" t="str">
        <f t="shared" si="346"/>
        <v>Simon Peach, Andy Booth</v>
      </c>
      <c r="AE151" s="37" t="str">
        <f>IF(AH18&gt;0,Stats!$B18,"")</f>
        <v/>
      </c>
      <c r="AF151" s="37" t="str">
        <f t="shared" si="347"/>
        <v>Buckers, Trevor Rogers</v>
      </c>
      <c r="AI151" s="37" t="str">
        <f>IF(AL18&gt;0,Stats!$B18,"")</f>
        <v/>
      </c>
      <c r="AJ151" s="37" t="str">
        <f t="shared" si="348"/>
        <v/>
      </c>
      <c r="AM151" s="37" t="str">
        <f>IF(AP18&gt;0,Stats!$B18,"")</f>
        <v/>
      </c>
      <c r="AN151" s="37" t="str">
        <f t="shared" si="349"/>
        <v/>
      </c>
      <c r="AQ151" s="37" t="str">
        <f>IF(AT18&gt;0,Stats!$B18,"")</f>
        <v/>
      </c>
      <c r="AR151" s="37" t="str">
        <f t="shared" si="350"/>
        <v/>
      </c>
      <c r="AU151" s="37" t="str">
        <f>IF(AX18&gt;0,Stats!$B18,"")</f>
        <v/>
      </c>
      <c r="AV151" s="37" t="str">
        <f t="shared" si="351"/>
        <v>Miles Whittle</v>
      </c>
      <c r="AY151" s="37" t="str">
        <f>IF(BB18&gt;0,Stats!$B18,"")</f>
        <v/>
      </c>
      <c r="AZ151" s="37" t="str">
        <f t="shared" si="352"/>
        <v/>
      </c>
      <c r="BC151" s="37" t="str">
        <f>IF(BF18&gt;0,Stats!$B18,"")</f>
        <v/>
      </c>
      <c r="BD151" s="37" t="str">
        <f t="shared" si="353"/>
        <v/>
      </c>
      <c r="BG151" s="37" t="str">
        <f>IF(BJ18&gt;0,Stats!$B18,"")</f>
        <v/>
      </c>
      <c r="BH151" s="37" t="str">
        <f t="shared" si="354"/>
        <v/>
      </c>
      <c r="BK151" s="37" t="str">
        <f>IF(BN18&gt;0,Stats!$B18,"")</f>
        <v/>
      </c>
      <c r="BL151" s="37" t="str">
        <f t="shared" si="355"/>
        <v/>
      </c>
      <c r="BO151" s="37" t="str">
        <f>IF(BR18&gt;0,Stats!$B18,"")</f>
        <v/>
      </c>
      <c r="BP151" s="37" t="str">
        <f t="shared" si="356"/>
        <v>Debbie Field</v>
      </c>
      <c r="BS151" s="37" t="str">
        <f>IF(BV18&gt;0,Stats!$B18,"")</f>
        <v/>
      </c>
      <c r="BT151" s="37" t="str">
        <f t="shared" si="357"/>
        <v>??Hillcroft Guy</v>
      </c>
      <c r="BW151" s="37" t="str">
        <f>IF(BZ18&gt;0,Stats!$B18,"")</f>
        <v/>
      </c>
      <c r="BX151" s="37" t="str">
        <f t="shared" si="358"/>
        <v>Gregg Urwin+Spencer</v>
      </c>
      <c r="CA151" s="37" t="str">
        <f>IF(CD18&gt;0,Stats!$B18,"")</f>
        <v/>
      </c>
      <c r="CB151" s="37" t="str">
        <f t="shared" si="359"/>
        <v>Ray Harry</v>
      </c>
      <c r="CE151" s="37" t="str">
        <f>IF(CH18&gt;0,Stats!$B18,"")</f>
        <v/>
      </c>
      <c r="CF151" s="37" t="str">
        <f t="shared" si="360"/>
        <v>James Kellam+EG</v>
      </c>
      <c r="CI151" s="37" t="str">
        <f>IF(CL18&gt;0,Stats!$B18,"")</f>
        <v/>
      </c>
      <c r="CJ151" s="37" t="str">
        <f t="shared" si="339"/>
        <v/>
      </c>
    </row>
    <row r="152" spans="5:88" s="37" customFormat="1" x14ac:dyDescent="0.2">
      <c r="E152" s="8">
        <f t="shared" si="340"/>
        <v>10</v>
      </c>
      <c r="G152" s="37" t="str">
        <f>IF(J19&gt;0,Stats!$B19,"")</f>
        <v/>
      </c>
      <c r="H152" s="37" t="str">
        <f t="shared" si="341"/>
        <v>Justin Baranowski</v>
      </c>
      <c r="K152" s="37" t="str">
        <f>IF(N19&gt;0,Stats!$B19,"")</f>
        <v/>
      </c>
      <c r="L152" s="37" t="str">
        <f t="shared" si="342"/>
        <v>Rob Collinge, Henry Collinge</v>
      </c>
      <c r="O152" s="37" t="str">
        <f>IF(R19&gt;0,Stats!$B19,"")</f>
        <v/>
      </c>
      <c r="P152" s="37" t="str">
        <f t="shared" si="343"/>
        <v/>
      </c>
      <c r="S152" s="37" t="str">
        <f>IF(V19&gt;0,Stats!$B19,"")</f>
        <v/>
      </c>
      <c r="T152" s="37" t="str">
        <f t="shared" si="344"/>
        <v>Simon Peach</v>
      </c>
      <c r="W152" s="37" t="str">
        <f>IF(Z19&gt;0,Stats!$B19,"")</f>
        <v/>
      </c>
      <c r="X152" s="37" t="str">
        <f t="shared" si="345"/>
        <v/>
      </c>
      <c r="AA152" s="37" t="str">
        <f>IF(AD19&gt;0,Stats!$B19,"")</f>
        <v/>
      </c>
      <c r="AB152" s="37" t="str">
        <f t="shared" si="346"/>
        <v>Simon Peach, Andy Booth</v>
      </c>
      <c r="AE152" s="37" t="str">
        <f>IF(AH19&gt;0,Stats!$B19,"")</f>
        <v/>
      </c>
      <c r="AF152" s="37" t="str">
        <f t="shared" si="347"/>
        <v>Buckers, Trevor Rogers</v>
      </c>
      <c r="AI152" s="37" t="str">
        <f>IF(AL19&gt;0,Stats!$B19,"")</f>
        <v/>
      </c>
      <c r="AJ152" s="37" t="str">
        <f t="shared" si="348"/>
        <v/>
      </c>
      <c r="AM152" s="37" t="str">
        <f>IF(AP19&gt;0,Stats!$B19,"")</f>
        <v/>
      </c>
      <c r="AN152" s="37" t="str">
        <f t="shared" si="349"/>
        <v/>
      </c>
      <c r="AQ152" s="37" t="str">
        <f>IF(AT19&gt;0,Stats!$B19,"")</f>
        <v/>
      </c>
      <c r="AR152" s="37" t="str">
        <f t="shared" si="350"/>
        <v/>
      </c>
      <c r="AU152" s="37" t="str">
        <f>IF(AX19&gt;0,Stats!$B19,"")</f>
        <v/>
      </c>
      <c r="AV152" s="37" t="str">
        <f t="shared" si="351"/>
        <v>Miles Whittle</v>
      </c>
      <c r="AY152" s="37" t="str">
        <f>IF(BB19&gt;0,Stats!$B19,"")</f>
        <v/>
      </c>
      <c r="AZ152" s="37" t="str">
        <f t="shared" si="352"/>
        <v/>
      </c>
      <c r="BC152" s="37" t="str">
        <f>IF(BF19&gt;0,Stats!$B19,"")</f>
        <v/>
      </c>
      <c r="BD152" s="37" t="str">
        <f t="shared" si="353"/>
        <v/>
      </c>
      <c r="BG152" s="37" t="str">
        <f>IF(BJ19&gt;0,Stats!$B19,"")</f>
        <v/>
      </c>
      <c r="BH152" s="37" t="str">
        <f t="shared" si="354"/>
        <v/>
      </c>
      <c r="BK152" s="37" t="str">
        <f>IF(BN19&gt;0,Stats!$B19,"")</f>
        <v/>
      </c>
      <c r="BL152" s="37" t="str">
        <f t="shared" si="355"/>
        <v/>
      </c>
      <c r="BO152" s="37" t="str">
        <f>IF(BR19&gt;0,Stats!$B19,"")</f>
        <v/>
      </c>
      <c r="BP152" s="37" t="str">
        <f t="shared" si="356"/>
        <v>Debbie Field</v>
      </c>
      <c r="BS152" s="37" t="str">
        <f>IF(BV19&gt;0,Stats!$B19,"")</f>
        <v/>
      </c>
      <c r="BT152" s="37" t="str">
        <f t="shared" si="357"/>
        <v>??Hillcroft Guy</v>
      </c>
      <c r="BW152" s="37" t="str">
        <f>IF(BZ19&gt;0,Stats!$B19,"")</f>
        <v/>
      </c>
      <c r="BX152" s="37" t="str">
        <f t="shared" si="358"/>
        <v>Gregg Urwin+Spencer</v>
      </c>
      <c r="CA152" s="37" t="str">
        <f>IF(CD19&gt;0,Stats!$B19,"")</f>
        <v/>
      </c>
      <c r="CB152" s="37" t="str">
        <f t="shared" si="359"/>
        <v>Ray Harry</v>
      </c>
      <c r="CE152" s="37" t="str">
        <f>IF(CH19&gt;0,Stats!$B19,"")</f>
        <v/>
      </c>
      <c r="CF152" s="37" t="str">
        <f t="shared" si="360"/>
        <v>James Kellam+EG</v>
      </c>
      <c r="CI152" s="37" t="str">
        <f>IF(CL19&gt;0,Stats!$B19,"")</f>
        <v/>
      </c>
      <c r="CJ152" s="37" t="str">
        <f t="shared" si="339"/>
        <v/>
      </c>
    </row>
    <row r="153" spans="5:88" s="37" customFormat="1" x14ac:dyDescent="0.2">
      <c r="E153" s="8">
        <f t="shared" si="340"/>
        <v>11</v>
      </c>
      <c r="G153" s="37" t="str">
        <f>IF(J20&gt;0,Stats!$B20,"")</f>
        <v>Andy Fernando</v>
      </c>
      <c r="H153" s="37" t="str">
        <f t="shared" si="341"/>
        <v>Justin Baranowski, Andy Fernando</v>
      </c>
      <c r="K153" s="37" t="str">
        <f>IF(N20&gt;0,Stats!$B20,"")</f>
        <v/>
      </c>
      <c r="L153" s="37" t="str">
        <f t="shared" si="342"/>
        <v>Rob Collinge, Henry Collinge</v>
      </c>
      <c r="O153" s="37" t="str">
        <f>IF(R20&gt;0,Stats!$B20,"")</f>
        <v/>
      </c>
      <c r="P153" s="37" t="str">
        <f t="shared" si="343"/>
        <v/>
      </c>
      <c r="S153" s="37" t="str">
        <f>IF(V20&gt;0,Stats!$B20,"")</f>
        <v/>
      </c>
      <c r="T153" s="37" t="str">
        <f t="shared" si="344"/>
        <v>Simon Peach</v>
      </c>
      <c r="W153" s="37" t="str">
        <f>IF(Z20&gt;0,Stats!$B20,"")</f>
        <v/>
      </c>
      <c r="X153" s="37" t="str">
        <f t="shared" si="345"/>
        <v/>
      </c>
      <c r="AA153" s="37" t="str">
        <f>IF(AD20&gt;0,Stats!$B20,"")</f>
        <v/>
      </c>
      <c r="AB153" s="37" t="str">
        <f t="shared" si="346"/>
        <v>Simon Peach, Andy Booth</v>
      </c>
      <c r="AE153" s="37" t="str">
        <f>IF(AH20&gt;0,Stats!$B20,"")</f>
        <v/>
      </c>
      <c r="AF153" s="37" t="str">
        <f t="shared" si="347"/>
        <v>Buckers, Trevor Rogers</v>
      </c>
      <c r="AI153" s="37" t="str">
        <f>IF(AL20&gt;0,Stats!$B20,"")</f>
        <v/>
      </c>
      <c r="AJ153" s="37" t="str">
        <f t="shared" si="348"/>
        <v/>
      </c>
      <c r="AM153" s="37" t="str">
        <f>IF(AP20&gt;0,Stats!$B20,"")</f>
        <v/>
      </c>
      <c r="AN153" s="37" t="str">
        <f t="shared" si="349"/>
        <v/>
      </c>
      <c r="AQ153" s="37" t="str">
        <f>IF(AT20&gt;0,Stats!$B20,"")</f>
        <v/>
      </c>
      <c r="AR153" s="37" t="str">
        <f t="shared" si="350"/>
        <v/>
      </c>
      <c r="AU153" s="37" t="str">
        <f>IF(AX20&gt;0,Stats!$B20,"")</f>
        <v/>
      </c>
      <c r="AV153" s="37" t="str">
        <f t="shared" si="351"/>
        <v>Miles Whittle</v>
      </c>
      <c r="AY153" s="37" t="str">
        <f>IF(BB20&gt;0,Stats!$B20,"")</f>
        <v/>
      </c>
      <c r="AZ153" s="37" t="str">
        <f t="shared" si="352"/>
        <v/>
      </c>
      <c r="BC153" s="37" t="str">
        <f>IF(BF20&gt;0,Stats!$B20,"")</f>
        <v/>
      </c>
      <c r="BD153" s="37" t="str">
        <f t="shared" si="353"/>
        <v/>
      </c>
      <c r="BG153" s="37" t="str">
        <f>IF(BJ20&gt;0,Stats!$B20,"")</f>
        <v/>
      </c>
      <c r="BH153" s="37" t="str">
        <f t="shared" si="354"/>
        <v/>
      </c>
      <c r="BK153" s="37" t="str">
        <f>IF(BN20&gt;0,Stats!$B20,"")</f>
        <v/>
      </c>
      <c r="BL153" s="37" t="str">
        <f t="shared" si="355"/>
        <v/>
      </c>
      <c r="BO153" s="37" t="str">
        <f>IF(BR20&gt;0,Stats!$B20,"")</f>
        <v/>
      </c>
      <c r="BP153" s="37" t="str">
        <f t="shared" si="356"/>
        <v>Debbie Field</v>
      </c>
      <c r="BS153" s="37" t="str">
        <f>IF(BV20&gt;0,Stats!$B20,"")</f>
        <v/>
      </c>
      <c r="BT153" s="37" t="str">
        <f t="shared" si="357"/>
        <v>??Hillcroft Guy</v>
      </c>
      <c r="BW153" s="37" t="str">
        <f>IF(BZ20&gt;0,Stats!$B20,"")</f>
        <v/>
      </c>
      <c r="BX153" s="37" t="str">
        <f t="shared" si="358"/>
        <v>Gregg Urwin+Spencer</v>
      </c>
      <c r="CA153" s="37" t="str">
        <f>IF(CD20&gt;0,Stats!$B20,"")</f>
        <v/>
      </c>
      <c r="CB153" s="37" t="str">
        <f t="shared" si="359"/>
        <v>Ray Harry</v>
      </c>
      <c r="CE153" s="37" t="str">
        <f>IF(CH20&gt;0,Stats!$B20,"")</f>
        <v/>
      </c>
      <c r="CF153" s="37" t="str">
        <f t="shared" si="360"/>
        <v>James Kellam+EG</v>
      </c>
      <c r="CI153" s="37" t="str">
        <f>IF(CL20&gt;0,Stats!$B20,"")</f>
        <v/>
      </c>
      <c r="CJ153" s="37" t="str">
        <f t="shared" si="339"/>
        <v/>
      </c>
    </row>
    <row r="154" spans="5:88" s="37" customFormat="1" x14ac:dyDescent="0.2">
      <c r="E154" s="8">
        <f t="shared" si="340"/>
        <v>12</v>
      </c>
      <c r="G154" s="37" t="str">
        <f>IF(J21&gt;0,Stats!$B21,"")</f>
        <v/>
      </c>
      <c r="H154" s="37" t="str">
        <f t="shared" si="341"/>
        <v>Justin Baranowski, Andy Fernando</v>
      </c>
      <c r="K154" s="37" t="str">
        <f>IF(N21&gt;0,Stats!$B21,"")</f>
        <v/>
      </c>
      <c r="L154" s="37" t="str">
        <f t="shared" si="342"/>
        <v>Rob Collinge, Henry Collinge</v>
      </c>
      <c r="O154" s="37" t="str">
        <f>IF(R21&gt;0,Stats!$B21,"")</f>
        <v/>
      </c>
      <c r="P154" s="37" t="str">
        <f t="shared" si="343"/>
        <v/>
      </c>
      <c r="S154" s="37" t="str">
        <f>IF(V21&gt;0,Stats!$B21,"")</f>
        <v/>
      </c>
      <c r="T154" s="37" t="str">
        <f t="shared" si="344"/>
        <v>Simon Peach</v>
      </c>
      <c r="W154" s="37" t="str">
        <f>IF(Z21&gt;0,Stats!$B21,"")</f>
        <v/>
      </c>
      <c r="X154" s="37" t="str">
        <f t="shared" si="345"/>
        <v/>
      </c>
      <c r="AA154" s="37" t="str">
        <f>IF(AD21&gt;0,Stats!$B21,"")</f>
        <v/>
      </c>
      <c r="AB154" s="37" t="str">
        <f t="shared" si="346"/>
        <v>Simon Peach, Andy Booth</v>
      </c>
      <c r="AE154" s="37" t="str">
        <f>IF(AH21&gt;0,Stats!$B21,"")</f>
        <v/>
      </c>
      <c r="AF154" s="37" t="str">
        <f t="shared" si="347"/>
        <v>Buckers, Trevor Rogers</v>
      </c>
      <c r="AI154" s="37" t="str">
        <f>IF(AL21&gt;0,Stats!$B21,"")</f>
        <v/>
      </c>
      <c r="AJ154" s="37" t="str">
        <f t="shared" si="348"/>
        <v/>
      </c>
      <c r="AM154" s="37" t="str">
        <f>IF(AP21&gt;0,Stats!$B21,"")</f>
        <v/>
      </c>
      <c r="AN154" s="37" t="str">
        <f t="shared" si="349"/>
        <v/>
      </c>
      <c r="AQ154" s="37" t="str">
        <f>IF(AT21&gt;0,Stats!$B21,"")</f>
        <v/>
      </c>
      <c r="AR154" s="37" t="str">
        <f t="shared" si="350"/>
        <v/>
      </c>
      <c r="AU154" s="37" t="str">
        <f>IF(AX21&gt;0,Stats!$B21,"")</f>
        <v/>
      </c>
      <c r="AV154" s="37" t="str">
        <f t="shared" si="351"/>
        <v>Miles Whittle</v>
      </c>
      <c r="AY154" s="37" t="str">
        <f>IF(BB21&gt;0,Stats!$B21,"")</f>
        <v/>
      </c>
      <c r="AZ154" s="37" t="str">
        <f t="shared" si="352"/>
        <v/>
      </c>
      <c r="BC154" s="37" t="str">
        <f>IF(BF21&gt;0,Stats!$B21,"")</f>
        <v/>
      </c>
      <c r="BD154" s="37" t="str">
        <f t="shared" si="353"/>
        <v/>
      </c>
      <c r="BG154" s="37" t="str">
        <f>IF(BJ21&gt;0,Stats!$B21,"")</f>
        <v/>
      </c>
      <c r="BH154" s="37" t="str">
        <f t="shared" si="354"/>
        <v/>
      </c>
      <c r="BK154" s="37" t="str">
        <f>IF(BN21&gt;0,Stats!$B21,"")</f>
        <v/>
      </c>
      <c r="BL154" s="37" t="str">
        <f t="shared" si="355"/>
        <v/>
      </c>
      <c r="BO154" s="37" t="str">
        <f>IF(BR21&gt;0,Stats!$B21,"")</f>
        <v/>
      </c>
      <c r="BP154" s="37" t="str">
        <f t="shared" si="356"/>
        <v>Debbie Field</v>
      </c>
      <c r="BS154" s="37" t="str">
        <f>IF(BV21&gt;0,Stats!$B21,"")</f>
        <v/>
      </c>
      <c r="BT154" s="37" t="str">
        <f t="shared" si="357"/>
        <v>??Hillcroft Guy</v>
      </c>
      <c r="BW154" s="37" t="str">
        <f>IF(BZ21&gt;0,Stats!$B21,"")</f>
        <v/>
      </c>
      <c r="BX154" s="37" t="str">
        <f t="shared" si="358"/>
        <v>Gregg Urwin+Spencer</v>
      </c>
      <c r="CA154" s="37" t="str">
        <f>IF(CD21&gt;0,Stats!$B21,"")</f>
        <v/>
      </c>
      <c r="CB154" s="37" t="str">
        <f t="shared" si="359"/>
        <v>Ray Harry</v>
      </c>
      <c r="CE154" s="37" t="str">
        <f>IF(CH21&gt;0,Stats!$B21,"")</f>
        <v/>
      </c>
      <c r="CF154" s="37" t="str">
        <f t="shared" si="360"/>
        <v>James Kellam+EG</v>
      </c>
      <c r="CI154" s="37" t="str">
        <f>IF(CL21&gt;0,Stats!$B21,"")</f>
        <v/>
      </c>
      <c r="CJ154" s="37" t="str">
        <f t="shared" si="339"/>
        <v/>
      </c>
    </row>
    <row r="155" spans="5:88" s="37" customFormat="1" x14ac:dyDescent="0.2">
      <c r="E155" s="8">
        <f t="shared" si="340"/>
        <v>13</v>
      </c>
      <c r="G155" s="37" t="str">
        <f>IF(J22&gt;0,Stats!$B22,"")</f>
        <v/>
      </c>
      <c r="H155" s="37" t="str">
        <f t="shared" si="341"/>
        <v>Justin Baranowski, Andy Fernando</v>
      </c>
      <c r="K155" s="37" t="str">
        <f>IF(N22&gt;0,Stats!$B22,"")</f>
        <v/>
      </c>
      <c r="L155" s="37" t="str">
        <f t="shared" si="342"/>
        <v>Rob Collinge, Henry Collinge</v>
      </c>
      <c r="O155" s="37" t="str">
        <f>IF(R22&gt;0,Stats!$B22,"")</f>
        <v/>
      </c>
      <c r="P155" s="37" t="str">
        <f t="shared" si="343"/>
        <v/>
      </c>
      <c r="S155" s="37" t="str">
        <f>IF(V22&gt;0,Stats!$B22,"")</f>
        <v/>
      </c>
      <c r="T155" s="37" t="str">
        <f t="shared" si="344"/>
        <v>Simon Peach</v>
      </c>
      <c r="W155" s="37" t="str">
        <f>IF(Z22&gt;0,Stats!$B22,"")</f>
        <v/>
      </c>
      <c r="X155" s="37" t="str">
        <f t="shared" si="345"/>
        <v/>
      </c>
      <c r="AA155" s="37" t="str">
        <f>IF(AD22&gt;0,Stats!$B22,"")</f>
        <v/>
      </c>
      <c r="AB155" s="37" t="str">
        <f t="shared" si="346"/>
        <v>Simon Peach, Andy Booth</v>
      </c>
      <c r="AE155" s="37" t="str">
        <f>IF(AH22&gt;0,Stats!$B22,"")</f>
        <v/>
      </c>
      <c r="AF155" s="37" t="str">
        <f t="shared" si="347"/>
        <v>Buckers, Trevor Rogers</v>
      </c>
      <c r="AI155" s="37" t="str">
        <f>IF(AL22&gt;0,Stats!$B22,"")</f>
        <v/>
      </c>
      <c r="AJ155" s="37" t="str">
        <f t="shared" si="348"/>
        <v/>
      </c>
      <c r="AM155" s="37" t="str">
        <f>IF(AP22&gt;0,Stats!$B22,"")</f>
        <v/>
      </c>
      <c r="AN155" s="37" t="str">
        <f t="shared" si="349"/>
        <v/>
      </c>
      <c r="AQ155" s="37" t="str">
        <f>IF(AT22&gt;0,Stats!$B22,"")</f>
        <v/>
      </c>
      <c r="AR155" s="37" t="str">
        <f t="shared" si="350"/>
        <v/>
      </c>
      <c r="AU155" s="37" t="str">
        <f>IF(AX22&gt;0,Stats!$B22,"")</f>
        <v/>
      </c>
      <c r="AV155" s="37" t="str">
        <f t="shared" si="351"/>
        <v>Miles Whittle</v>
      </c>
      <c r="AY155" s="37" t="str">
        <f>IF(BB22&gt;0,Stats!$B22,"")</f>
        <v/>
      </c>
      <c r="AZ155" s="37" t="str">
        <f t="shared" si="352"/>
        <v/>
      </c>
      <c r="BC155" s="37" t="str">
        <f>IF(BF22&gt;0,Stats!$B22,"")</f>
        <v/>
      </c>
      <c r="BD155" s="37" t="str">
        <f t="shared" si="353"/>
        <v/>
      </c>
      <c r="BG155" s="37" t="str">
        <f>IF(BJ22&gt;0,Stats!$B22,"")</f>
        <v/>
      </c>
      <c r="BH155" s="37" t="str">
        <f t="shared" si="354"/>
        <v/>
      </c>
      <c r="BK155" s="37" t="str">
        <f>IF(BN22&gt;0,Stats!$B22,"")</f>
        <v/>
      </c>
      <c r="BL155" s="37" t="str">
        <f t="shared" si="355"/>
        <v/>
      </c>
      <c r="BO155" s="37" t="str">
        <f>IF(BR22&gt;0,Stats!$B22,"")</f>
        <v/>
      </c>
      <c r="BP155" s="37" t="str">
        <f t="shared" si="356"/>
        <v>Debbie Field</v>
      </c>
      <c r="BS155" s="37" t="str">
        <f>IF(BV22&gt;0,Stats!$B22,"")</f>
        <v/>
      </c>
      <c r="BT155" s="37" t="str">
        <f t="shared" si="357"/>
        <v>??Hillcroft Guy</v>
      </c>
      <c r="BW155" s="37" t="str">
        <f>IF(BZ22&gt;0,Stats!$B22,"")</f>
        <v/>
      </c>
      <c r="BX155" s="37" t="str">
        <f t="shared" si="358"/>
        <v>Gregg Urwin+Spencer</v>
      </c>
      <c r="CA155" s="37" t="str">
        <f>IF(CD22&gt;0,Stats!$B22,"")</f>
        <v/>
      </c>
      <c r="CB155" s="37" t="str">
        <f t="shared" si="359"/>
        <v>Ray Harry</v>
      </c>
      <c r="CE155" s="37" t="str">
        <f>IF(CH22&gt;0,Stats!$B22,"")</f>
        <v/>
      </c>
      <c r="CF155" s="37" t="str">
        <f t="shared" si="360"/>
        <v>James Kellam+EG</v>
      </c>
      <c r="CI155" s="37" t="str">
        <f>IF(CL22&gt;0,Stats!$B22,"")</f>
        <v/>
      </c>
      <c r="CJ155" s="37" t="str">
        <f t="shared" si="339"/>
        <v/>
      </c>
    </row>
    <row r="156" spans="5:88" s="37" customFormat="1" x14ac:dyDescent="0.2">
      <c r="E156" s="8">
        <f t="shared" si="340"/>
        <v>14</v>
      </c>
      <c r="G156" s="37" t="str">
        <f>IF(J23&gt;0,Stats!$B23,"")</f>
        <v/>
      </c>
      <c r="H156" s="37" t="str">
        <f t="shared" si="341"/>
        <v>Justin Baranowski, Andy Fernando</v>
      </c>
      <c r="K156" s="37" t="str">
        <f>IF(N23&gt;0,Stats!$B23,"")</f>
        <v/>
      </c>
      <c r="L156" s="37" t="str">
        <f t="shared" si="342"/>
        <v>Rob Collinge, Henry Collinge</v>
      </c>
      <c r="O156" s="37" t="str">
        <f>IF(R23&gt;0,Stats!$B23,"")</f>
        <v/>
      </c>
      <c r="P156" s="37" t="str">
        <f t="shared" si="343"/>
        <v/>
      </c>
      <c r="S156" s="37" t="str">
        <f>IF(V23&gt;0,Stats!$B23,"")</f>
        <v/>
      </c>
      <c r="T156" s="37" t="str">
        <f t="shared" si="344"/>
        <v>Simon Peach</v>
      </c>
      <c r="W156" s="37" t="str">
        <f>IF(Z23&gt;0,Stats!$B23,"")</f>
        <v/>
      </c>
      <c r="X156" s="37" t="str">
        <f t="shared" si="345"/>
        <v/>
      </c>
      <c r="AA156" s="37" t="str">
        <f>IF(AD23&gt;0,Stats!$B23,"")</f>
        <v/>
      </c>
      <c r="AB156" s="37" t="str">
        <f t="shared" si="346"/>
        <v>Simon Peach, Andy Booth</v>
      </c>
      <c r="AE156" s="37" t="str">
        <f>IF(AH23&gt;0,Stats!$B23,"")</f>
        <v/>
      </c>
      <c r="AF156" s="37" t="str">
        <f t="shared" si="347"/>
        <v>Buckers, Trevor Rogers</v>
      </c>
      <c r="AI156" s="37" t="str">
        <f>IF(AL23&gt;0,Stats!$B23,"")</f>
        <v/>
      </c>
      <c r="AJ156" s="37" t="str">
        <f t="shared" si="348"/>
        <v/>
      </c>
      <c r="AM156" s="37" t="str">
        <f>IF(AP23&gt;0,Stats!$B23,"")</f>
        <v/>
      </c>
      <c r="AN156" s="37" t="str">
        <f t="shared" si="349"/>
        <v/>
      </c>
      <c r="AQ156" s="37" t="str">
        <f>IF(AT23&gt;0,Stats!$B23,"")</f>
        <v/>
      </c>
      <c r="AR156" s="37" t="str">
        <f t="shared" si="350"/>
        <v/>
      </c>
      <c r="AU156" s="37" t="str">
        <f>IF(AX23&gt;0,Stats!$B23,"")</f>
        <v/>
      </c>
      <c r="AV156" s="37" t="str">
        <f t="shared" si="351"/>
        <v>Miles Whittle</v>
      </c>
      <c r="AY156" s="37" t="str">
        <f>IF(BB23&gt;0,Stats!$B23,"")</f>
        <v/>
      </c>
      <c r="AZ156" s="37" t="str">
        <f t="shared" si="352"/>
        <v/>
      </c>
      <c r="BC156" s="37" t="str">
        <f>IF(BF23&gt;0,Stats!$B23,"")</f>
        <v/>
      </c>
      <c r="BD156" s="37" t="str">
        <f t="shared" si="353"/>
        <v/>
      </c>
      <c r="BG156" s="37" t="str">
        <f>IF(BJ23&gt;0,Stats!$B23,"")</f>
        <v/>
      </c>
      <c r="BH156" s="37" t="str">
        <f t="shared" si="354"/>
        <v/>
      </c>
      <c r="BK156" s="37" t="str">
        <f>IF(BN23&gt;0,Stats!$B23,"")</f>
        <v/>
      </c>
      <c r="BL156" s="37" t="str">
        <f t="shared" si="355"/>
        <v/>
      </c>
      <c r="BO156" s="37" t="str">
        <f>IF(BR23&gt;0,Stats!$B23,"")</f>
        <v/>
      </c>
      <c r="BP156" s="37" t="str">
        <f t="shared" si="356"/>
        <v>Debbie Field</v>
      </c>
      <c r="BS156" s="37" t="str">
        <f>IF(BV23&gt;0,Stats!$B23,"")</f>
        <v/>
      </c>
      <c r="BT156" s="37" t="str">
        <f t="shared" si="357"/>
        <v>??Hillcroft Guy</v>
      </c>
      <c r="BW156" s="37" t="str">
        <f>IF(BZ23&gt;0,Stats!$B23,"")</f>
        <v/>
      </c>
      <c r="BX156" s="37" t="str">
        <f t="shared" si="358"/>
        <v>Gregg Urwin+Spencer</v>
      </c>
      <c r="CA156" s="37" t="str">
        <f>IF(CD23&gt;0,Stats!$B23,"")</f>
        <v/>
      </c>
      <c r="CB156" s="37" t="str">
        <f t="shared" si="359"/>
        <v>Ray Harry</v>
      </c>
      <c r="CE156" s="37" t="str">
        <f>IF(CH23&gt;0,Stats!$B23,"")</f>
        <v/>
      </c>
      <c r="CF156" s="37" t="str">
        <f t="shared" si="360"/>
        <v>James Kellam+EG</v>
      </c>
      <c r="CI156" s="37" t="str">
        <f>IF(CL23&gt;0,Stats!$B23,"")</f>
        <v/>
      </c>
      <c r="CJ156" s="37" t="str">
        <f t="shared" si="339"/>
        <v/>
      </c>
    </row>
    <row r="157" spans="5:88" s="37" customFormat="1" x14ac:dyDescent="0.2">
      <c r="E157" s="8">
        <f t="shared" si="340"/>
        <v>15</v>
      </c>
      <c r="G157" s="37" t="str">
        <f>IF(J24&gt;0,Stats!$B24,"")</f>
        <v/>
      </c>
      <c r="H157" s="37" t="str">
        <f t="shared" si="341"/>
        <v>Justin Baranowski, Andy Fernando</v>
      </c>
      <c r="K157" s="37" t="str">
        <f>IF(N24&gt;0,Stats!$B24,"")</f>
        <v/>
      </c>
      <c r="L157" s="37" t="str">
        <f t="shared" si="342"/>
        <v>Rob Collinge, Henry Collinge</v>
      </c>
      <c r="O157" s="37" t="str">
        <f>IF(R24&gt;0,Stats!$B24,"")</f>
        <v/>
      </c>
      <c r="P157" s="37" t="str">
        <f t="shared" si="343"/>
        <v/>
      </c>
      <c r="S157" s="37" t="str">
        <f>IF(V24&gt;0,Stats!$B24,"")</f>
        <v/>
      </c>
      <c r="T157" s="37" t="str">
        <f t="shared" si="344"/>
        <v>Simon Peach</v>
      </c>
      <c r="W157" s="37" t="str">
        <f>IF(Z24&gt;0,Stats!$B24,"")</f>
        <v/>
      </c>
      <c r="X157" s="37" t="str">
        <f t="shared" si="345"/>
        <v/>
      </c>
      <c r="AA157" s="37" t="str">
        <f>IF(AD24&gt;0,Stats!$B24,"")</f>
        <v/>
      </c>
      <c r="AB157" s="37" t="str">
        <f t="shared" si="346"/>
        <v>Simon Peach, Andy Booth</v>
      </c>
      <c r="AE157" s="37" t="str">
        <f>IF(AH24&gt;0,Stats!$B24,"")</f>
        <v/>
      </c>
      <c r="AF157" s="37" t="str">
        <f t="shared" si="347"/>
        <v>Buckers, Trevor Rogers</v>
      </c>
      <c r="AI157" s="37" t="str">
        <f>IF(AL24&gt;0,Stats!$B24,"")</f>
        <v/>
      </c>
      <c r="AJ157" s="37" t="str">
        <f t="shared" si="348"/>
        <v/>
      </c>
      <c r="AM157" s="37" t="str">
        <f>IF(AP24&gt;0,Stats!$B24,"")</f>
        <v/>
      </c>
      <c r="AN157" s="37" t="str">
        <f t="shared" si="349"/>
        <v/>
      </c>
      <c r="AQ157" s="37" t="str">
        <f>IF(AT24&gt;0,Stats!$B24,"")</f>
        <v/>
      </c>
      <c r="AR157" s="37" t="str">
        <f t="shared" si="350"/>
        <v/>
      </c>
      <c r="AU157" s="37" t="str">
        <f>IF(AX24&gt;0,Stats!$B24,"")</f>
        <v/>
      </c>
      <c r="AV157" s="37" t="str">
        <f t="shared" si="351"/>
        <v>Miles Whittle</v>
      </c>
      <c r="AY157" s="37" t="str">
        <f>IF(BB24&gt;0,Stats!$B24,"")</f>
        <v/>
      </c>
      <c r="AZ157" s="37" t="str">
        <f t="shared" si="352"/>
        <v/>
      </c>
      <c r="BC157" s="37" t="str">
        <f>IF(BF24&gt;0,Stats!$B24,"")</f>
        <v/>
      </c>
      <c r="BD157" s="37" t="str">
        <f t="shared" si="353"/>
        <v/>
      </c>
      <c r="BG157" s="37" t="str">
        <f>IF(BJ24&gt;0,Stats!$B24,"")</f>
        <v/>
      </c>
      <c r="BH157" s="37" t="str">
        <f t="shared" si="354"/>
        <v/>
      </c>
      <c r="BK157" s="37" t="str">
        <f>IF(BN24&gt;0,Stats!$B24,"")</f>
        <v/>
      </c>
      <c r="BL157" s="37" t="str">
        <f t="shared" si="355"/>
        <v/>
      </c>
      <c r="BO157" s="37" t="str">
        <f>IF(BR24&gt;0,Stats!$B24,"")</f>
        <v/>
      </c>
      <c r="BP157" s="37" t="str">
        <f t="shared" si="356"/>
        <v>Debbie Field</v>
      </c>
      <c r="BS157" s="37" t="str">
        <f>IF(BV24&gt;0,Stats!$B24,"")</f>
        <v/>
      </c>
      <c r="BT157" s="37" t="str">
        <f t="shared" si="357"/>
        <v>??Hillcroft Guy</v>
      </c>
      <c r="BW157" s="37" t="str">
        <f>IF(BZ24&gt;0,Stats!$B24,"")</f>
        <v/>
      </c>
      <c r="BX157" s="37" t="str">
        <f t="shared" si="358"/>
        <v>Gregg Urwin+Spencer</v>
      </c>
      <c r="CA157" s="37" t="str">
        <f>IF(CD24&gt;0,Stats!$B24,"")</f>
        <v/>
      </c>
      <c r="CB157" s="37" t="str">
        <f t="shared" si="359"/>
        <v>Ray Harry</v>
      </c>
      <c r="CE157" s="37" t="str">
        <f>IF(CH24&gt;0,Stats!$B24,"")</f>
        <v/>
      </c>
      <c r="CF157" s="37" t="str">
        <f t="shared" si="360"/>
        <v>James Kellam+EG</v>
      </c>
      <c r="CI157" s="37" t="str">
        <f>IF(CL24&gt;0,Stats!$B24,"")</f>
        <v/>
      </c>
      <c r="CJ157" s="37" t="str">
        <f t="shared" si="339"/>
        <v/>
      </c>
    </row>
    <row r="158" spans="5:88" s="37" customFormat="1" x14ac:dyDescent="0.2">
      <c r="E158" s="8">
        <f t="shared" si="340"/>
        <v>16</v>
      </c>
      <c r="G158" s="37" t="str">
        <f>IF(J25&gt;0,Stats!$B25,"")</f>
        <v/>
      </c>
      <c r="H158" s="37" t="str">
        <f t="shared" si="341"/>
        <v>Justin Baranowski, Andy Fernando</v>
      </c>
      <c r="K158" s="37" t="str">
        <f>IF(N25&gt;0,Stats!$B25,"")</f>
        <v/>
      </c>
      <c r="L158" s="37" t="str">
        <f t="shared" si="342"/>
        <v>Rob Collinge, Henry Collinge</v>
      </c>
      <c r="O158" s="37" t="str">
        <f>IF(R25&gt;0,Stats!$B25,"")</f>
        <v/>
      </c>
      <c r="P158" s="37" t="str">
        <f t="shared" si="343"/>
        <v/>
      </c>
      <c r="S158" s="37" t="str">
        <f>IF(V25&gt;0,Stats!$B25,"")</f>
        <v/>
      </c>
      <c r="T158" s="37" t="str">
        <f t="shared" si="344"/>
        <v>Simon Peach</v>
      </c>
      <c r="W158" s="37" t="str">
        <f>IF(Z25&gt;0,Stats!$B25,"")</f>
        <v/>
      </c>
      <c r="X158" s="37" t="str">
        <f t="shared" si="345"/>
        <v/>
      </c>
      <c r="AA158" s="37" t="str">
        <f>IF(AD25&gt;0,Stats!$B25,"")</f>
        <v/>
      </c>
      <c r="AB158" s="37" t="str">
        <f t="shared" si="346"/>
        <v>Simon Peach, Andy Booth</v>
      </c>
      <c r="AE158" s="37" t="str">
        <f>IF(AH25&gt;0,Stats!$B25,"")</f>
        <v/>
      </c>
      <c r="AF158" s="37" t="str">
        <f t="shared" si="347"/>
        <v>Buckers, Trevor Rogers</v>
      </c>
      <c r="AI158" s="37" t="str">
        <f>IF(AL25&gt;0,Stats!$B25,"")</f>
        <v/>
      </c>
      <c r="AJ158" s="37" t="str">
        <f t="shared" si="348"/>
        <v/>
      </c>
      <c r="AM158" s="37" t="str">
        <f>IF(AP25&gt;0,Stats!$B25,"")</f>
        <v/>
      </c>
      <c r="AN158" s="37" t="str">
        <f t="shared" si="349"/>
        <v/>
      </c>
      <c r="AQ158" s="37" t="str">
        <f>IF(AT25&gt;0,Stats!$B25,"")</f>
        <v/>
      </c>
      <c r="AR158" s="37" t="str">
        <f t="shared" si="350"/>
        <v/>
      </c>
      <c r="AU158" s="37" t="str">
        <f>IF(AX25&gt;0,Stats!$B25,"")</f>
        <v/>
      </c>
      <c r="AV158" s="37" t="str">
        <f t="shared" si="351"/>
        <v>Miles Whittle</v>
      </c>
      <c r="AY158" s="37" t="str">
        <f>IF(BB25&gt;0,Stats!$B25,"")</f>
        <v/>
      </c>
      <c r="AZ158" s="37" t="str">
        <f t="shared" si="352"/>
        <v/>
      </c>
      <c r="BC158" s="37" t="str">
        <f>IF(BF25&gt;0,Stats!$B25,"")</f>
        <v/>
      </c>
      <c r="BD158" s="37" t="str">
        <f t="shared" si="353"/>
        <v/>
      </c>
      <c r="BG158" s="37" t="str">
        <f>IF(BJ25&gt;0,Stats!$B25,"")</f>
        <v/>
      </c>
      <c r="BH158" s="37" t="str">
        <f t="shared" si="354"/>
        <v/>
      </c>
      <c r="BK158" s="37" t="str">
        <f>IF(BN25&gt;0,Stats!$B25,"")</f>
        <v/>
      </c>
      <c r="BL158" s="37" t="str">
        <f t="shared" si="355"/>
        <v/>
      </c>
      <c r="BO158" s="37" t="str">
        <f>IF(BR25&gt;0,Stats!$B25,"")</f>
        <v/>
      </c>
      <c r="BP158" s="37" t="str">
        <f t="shared" si="356"/>
        <v>Debbie Field</v>
      </c>
      <c r="BS158" s="37" t="str">
        <f>IF(BV25&gt;0,Stats!$B25,"")</f>
        <v/>
      </c>
      <c r="BT158" s="37" t="str">
        <f t="shared" si="357"/>
        <v>??Hillcroft Guy</v>
      </c>
      <c r="BW158" s="37" t="str">
        <f>IF(BZ25&gt;0,Stats!$B25,"")</f>
        <v/>
      </c>
      <c r="BX158" s="37" t="str">
        <f t="shared" si="358"/>
        <v>Gregg Urwin+Spencer</v>
      </c>
      <c r="CA158" s="37" t="str">
        <f>IF(CD25&gt;0,Stats!$B25,"")</f>
        <v/>
      </c>
      <c r="CB158" s="37" t="str">
        <f t="shared" si="359"/>
        <v>Ray Harry</v>
      </c>
      <c r="CE158" s="37" t="str">
        <f>IF(CH25&gt;0,Stats!$B25,"")</f>
        <v/>
      </c>
      <c r="CF158" s="37" t="str">
        <f t="shared" si="360"/>
        <v>James Kellam+EG</v>
      </c>
      <c r="CI158" s="37" t="str">
        <f>IF(CL25&gt;0,Stats!$B25,"")</f>
        <v/>
      </c>
      <c r="CJ158" s="37" t="str">
        <f t="shared" si="339"/>
        <v/>
      </c>
    </row>
    <row r="159" spans="5:88" s="37" customFormat="1" x14ac:dyDescent="0.2">
      <c r="E159" s="8">
        <f t="shared" si="340"/>
        <v>17</v>
      </c>
      <c r="G159" s="37" t="str">
        <f>IF(J26&gt;0,Stats!$B26,"")</f>
        <v/>
      </c>
      <c r="H159" s="37" t="str">
        <f t="shared" si="341"/>
        <v>Justin Baranowski, Andy Fernando</v>
      </c>
      <c r="K159" s="37" t="str">
        <f>IF(N26&gt;0,Stats!$B26,"")</f>
        <v/>
      </c>
      <c r="L159" s="37" t="str">
        <f t="shared" si="342"/>
        <v>Rob Collinge, Henry Collinge</v>
      </c>
      <c r="O159" s="37" t="str">
        <f>IF(R26&gt;0,Stats!$B26,"")</f>
        <v/>
      </c>
      <c r="P159" s="37" t="str">
        <f t="shared" si="343"/>
        <v/>
      </c>
      <c r="S159" s="37" t="str">
        <f>IF(V26&gt;0,Stats!$B26,"")</f>
        <v/>
      </c>
      <c r="T159" s="37" t="str">
        <f t="shared" si="344"/>
        <v>Simon Peach</v>
      </c>
      <c r="W159" s="37" t="str">
        <f>IF(Z26&gt;0,Stats!$B26,"")</f>
        <v/>
      </c>
      <c r="X159" s="37" t="str">
        <f t="shared" si="345"/>
        <v/>
      </c>
      <c r="AA159" s="37" t="str">
        <f>IF(AD26&gt;0,Stats!$B26,"")</f>
        <v/>
      </c>
      <c r="AB159" s="37" t="str">
        <f t="shared" si="346"/>
        <v>Simon Peach, Andy Booth</v>
      </c>
      <c r="AE159" s="37" t="str">
        <f>IF(AH26&gt;0,Stats!$B26,"")</f>
        <v/>
      </c>
      <c r="AF159" s="37" t="str">
        <f t="shared" si="347"/>
        <v>Buckers, Trevor Rogers</v>
      </c>
      <c r="AI159" s="37" t="str">
        <f>IF(AL26&gt;0,Stats!$B26,"")</f>
        <v/>
      </c>
      <c r="AJ159" s="37" t="str">
        <f t="shared" si="348"/>
        <v/>
      </c>
      <c r="AM159" s="37" t="str">
        <f>IF(AP26&gt;0,Stats!$B26,"")</f>
        <v/>
      </c>
      <c r="AN159" s="37" t="str">
        <f t="shared" si="349"/>
        <v/>
      </c>
      <c r="AQ159" s="37" t="str">
        <f>IF(AT26&gt;0,Stats!$B26,"")</f>
        <v/>
      </c>
      <c r="AR159" s="37" t="str">
        <f t="shared" si="350"/>
        <v/>
      </c>
      <c r="AU159" s="37" t="str">
        <f>IF(AX26&gt;0,Stats!$B26,"")</f>
        <v/>
      </c>
      <c r="AV159" s="37" t="str">
        <f t="shared" si="351"/>
        <v>Miles Whittle</v>
      </c>
      <c r="AY159" s="37" t="str">
        <f>IF(BB26&gt;0,Stats!$B26,"")</f>
        <v/>
      </c>
      <c r="AZ159" s="37" t="str">
        <f t="shared" si="352"/>
        <v/>
      </c>
      <c r="BC159" s="37" t="str">
        <f>IF(BF26&gt;0,Stats!$B26,"")</f>
        <v/>
      </c>
      <c r="BD159" s="37" t="str">
        <f t="shared" si="353"/>
        <v/>
      </c>
      <c r="BG159" s="37" t="str">
        <f>IF(BJ26&gt;0,Stats!$B26,"")</f>
        <v/>
      </c>
      <c r="BH159" s="37" t="str">
        <f t="shared" si="354"/>
        <v/>
      </c>
      <c r="BK159" s="37" t="str">
        <f>IF(BN26&gt;0,Stats!$B26,"")</f>
        <v/>
      </c>
      <c r="BL159" s="37" t="str">
        <f t="shared" si="355"/>
        <v/>
      </c>
      <c r="BO159" s="37" t="str">
        <f>IF(BR26&gt;0,Stats!$B26,"")</f>
        <v/>
      </c>
      <c r="BP159" s="37" t="str">
        <f t="shared" si="356"/>
        <v>Debbie Field</v>
      </c>
      <c r="BS159" s="37" t="str">
        <f>IF(BV26&gt;0,Stats!$B26,"")</f>
        <v/>
      </c>
      <c r="BT159" s="37" t="str">
        <f t="shared" si="357"/>
        <v>??Hillcroft Guy</v>
      </c>
      <c r="BW159" s="37" t="str">
        <f>IF(BZ26&gt;0,Stats!$B26,"")</f>
        <v/>
      </c>
      <c r="BX159" s="37" t="str">
        <f t="shared" si="358"/>
        <v>Gregg Urwin+Spencer</v>
      </c>
      <c r="CA159" s="37" t="str">
        <f>IF(CD26&gt;0,Stats!$B26,"")</f>
        <v/>
      </c>
      <c r="CB159" s="37" t="str">
        <f t="shared" si="359"/>
        <v>Ray Harry</v>
      </c>
      <c r="CE159" s="37" t="str">
        <f>IF(CH26&gt;0,Stats!$B26,"")</f>
        <v/>
      </c>
      <c r="CF159" s="37" t="str">
        <f t="shared" si="360"/>
        <v>James Kellam+EG</v>
      </c>
      <c r="CI159" s="37" t="str">
        <f>IF(CL26&gt;0,Stats!$B26,"")</f>
        <v/>
      </c>
      <c r="CJ159" s="37" t="str">
        <f t="shared" si="339"/>
        <v/>
      </c>
    </row>
    <row r="160" spans="5:88" s="37" customFormat="1" x14ac:dyDescent="0.2">
      <c r="E160" s="8">
        <f t="shared" si="340"/>
        <v>18</v>
      </c>
      <c r="G160" s="37" t="str">
        <f>IF(J27&gt;0,Stats!$B27,"")</f>
        <v/>
      </c>
      <c r="H160" s="37" t="str">
        <f t="shared" si="341"/>
        <v>Justin Baranowski, Andy Fernando</v>
      </c>
      <c r="K160" s="37" t="str">
        <f>IF(N27&gt;0,Stats!$B27,"")</f>
        <v/>
      </c>
      <c r="L160" s="37" t="str">
        <f t="shared" si="342"/>
        <v>Rob Collinge, Henry Collinge</v>
      </c>
      <c r="O160" s="37" t="str">
        <f>IF(R27&gt;0,Stats!$B27,"")</f>
        <v/>
      </c>
      <c r="P160" s="37" t="str">
        <f t="shared" si="343"/>
        <v/>
      </c>
      <c r="S160" s="37" t="str">
        <f>IF(V27&gt;0,Stats!$B27,"")</f>
        <v/>
      </c>
      <c r="T160" s="37" t="str">
        <f t="shared" si="344"/>
        <v>Simon Peach</v>
      </c>
      <c r="W160" s="37" t="str">
        <f>IF(Z27&gt;0,Stats!$B27,"")</f>
        <v/>
      </c>
      <c r="X160" s="37" t="str">
        <f t="shared" si="345"/>
        <v/>
      </c>
      <c r="AA160" s="37" t="str">
        <f>IF(AD27&gt;0,Stats!$B27,"")</f>
        <v/>
      </c>
      <c r="AB160" s="37" t="str">
        <f t="shared" si="346"/>
        <v>Simon Peach, Andy Booth</v>
      </c>
      <c r="AE160" s="37" t="str">
        <f>IF(AH27&gt;0,Stats!$B27,"")</f>
        <v/>
      </c>
      <c r="AF160" s="37" t="str">
        <f t="shared" si="347"/>
        <v>Buckers, Trevor Rogers</v>
      </c>
      <c r="AI160" s="37" t="str">
        <f>IF(AL27&gt;0,Stats!$B27,"")</f>
        <v/>
      </c>
      <c r="AJ160" s="37" t="str">
        <f t="shared" si="348"/>
        <v/>
      </c>
      <c r="AM160" s="37" t="str">
        <f>IF(AP27&gt;0,Stats!$B27,"")</f>
        <v/>
      </c>
      <c r="AN160" s="37" t="str">
        <f t="shared" si="349"/>
        <v/>
      </c>
      <c r="AQ160" s="37" t="str">
        <f>IF(AT27&gt;0,Stats!$B27,"")</f>
        <v/>
      </c>
      <c r="AR160" s="37" t="str">
        <f t="shared" si="350"/>
        <v/>
      </c>
      <c r="AU160" s="37" t="str">
        <f>IF(AX27&gt;0,Stats!$B27,"")</f>
        <v/>
      </c>
      <c r="AV160" s="37" t="str">
        <f t="shared" si="351"/>
        <v>Miles Whittle</v>
      </c>
      <c r="AY160" s="37" t="str">
        <f>IF(BB27&gt;0,Stats!$B27,"")</f>
        <v/>
      </c>
      <c r="AZ160" s="37" t="str">
        <f t="shared" si="352"/>
        <v/>
      </c>
      <c r="BC160" s="37" t="str">
        <f>IF(BF27&gt;0,Stats!$B27,"")</f>
        <v/>
      </c>
      <c r="BD160" s="37" t="str">
        <f t="shared" si="353"/>
        <v/>
      </c>
      <c r="BG160" s="37" t="str">
        <f>IF(BJ27&gt;0,Stats!$B27,"")</f>
        <v/>
      </c>
      <c r="BH160" s="37" t="str">
        <f t="shared" si="354"/>
        <v/>
      </c>
      <c r="BK160" s="37" t="str">
        <f>IF(BN27&gt;0,Stats!$B27,"")</f>
        <v/>
      </c>
      <c r="BL160" s="37" t="str">
        <f t="shared" si="355"/>
        <v/>
      </c>
      <c r="BO160" s="37" t="str">
        <f>IF(BR27&gt;0,Stats!$B27,"")</f>
        <v/>
      </c>
      <c r="BP160" s="37" t="str">
        <f t="shared" si="356"/>
        <v>Debbie Field</v>
      </c>
      <c r="BS160" s="37" t="str">
        <f>IF(BV27&gt;0,Stats!$B27,"")</f>
        <v/>
      </c>
      <c r="BT160" s="37" t="str">
        <f t="shared" si="357"/>
        <v>??Hillcroft Guy</v>
      </c>
      <c r="BW160" s="37" t="str">
        <f>IF(BZ27&gt;0,Stats!$B27,"")</f>
        <v/>
      </c>
      <c r="BX160" s="37" t="str">
        <f t="shared" si="358"/>
        <v>Gregg Urwin+Spencer</v>
      </c>
      <c r="CA160" s="37" t="str">
        <f>IF(CD27&gt;0,Stats!$B27,"")</f>
        <v/>
      </c>
      <c r="CB160" s="37" t="str">
        <f t="shared" si="359"/>
        <v>Ray Harry</v>
      </c>
      <c r="CE160" s="37" t="str">
        <f>IF(CH27&gt;0,Stats!$B27,"")</f>
        <v/>
      </c>
      <c r="CF160" s="37" t="str">
        <f t="shared" si="360"/>
        <v>James Kellam+EG</v>
      </c>
      <c r="CI160" s="37" t="str">
        <f>IF(CL27&gt;0,Stats!$B27,"")</f>
        <v/>
      </c>
      <c r="CJ160" s="37" t="str">
        <f t="shared" si="339"/>
        <v/>
      </c>
    </row>
    <row r="161" spans="5:88" s="37" customFormat="1" x14ac:dyDescent="0.2">
      <c r="E161" s="8">
        <f t="shared" si="340"/>
        <v>19</v>
      </c>
      <c r="G161" s="37" t="str">
        <f>IF(J28&gt;0,Stats!$B28,"")</f>
        <v/>
      </c>
      <c r="H161" s="37" t="str">
        <f t="shared" si="341"/>
        <v>Justin Baranowski, Andy Fernando</v>
      </c>
      <c r="K161" s="37" t="str">
        <f>IF(N28&gt;0,Stats!$B28,"")</f>
        <v/>
      </c>
      <c r="L161" s="37" t="str">
        <f t="shared" si="342"/>
        <v>Rob Collinge, Henry Collinge</v>
      </c>
      <c r="O161" s="37" t="str">
        <f>IF(R28&gt;0,Stats!$B28,"")</f>
        <v/>
      </c>
      <c r="P161" s="37" t="str">
        <f t="shared" si="343"/>
        <v/>
      </c>
      <c r="S161" s="37" t="str">
        <f>IF(V28&gt;0,Stats!$B28,"")</f>
        <v/>
      </c>
      <c r="T161" s="37" t="str">
        <f t="shared" si="344"/>
        <v>Simon Peach</v>
      </c>
      <c r="W161" s="37" t="str">
        <f>IF(Z28&gt;0,Stats!$B28,"")</f>
        <v/>
      </c>
      <c r="X161" s="37" t="str">
        <f t="shared" si="345"/>
        <v/>
      </c>
      <c r="AA161" s="37" t="str">
        <f>IF(AD28&gt;0,Stats!$B28,"")</f>
        <v/>
      </c>
      <c r="AB161" s="37" t="str">
        <f t="shared" si="346"/>
        <v>Simon Peach, Andy Booth</v>
      </c>
      <c r="AE161" s="37" t="str">
        <f>IF(AH28&gt;0,Stats!$B28,"")</f>
        <v/>
      </c>
      <c r="AF161" s="37" t="str">
        <f t="shared" si="347"/>
        <v>Buckers, Trevor Rogers</v>
      </c>
      <c r="AI161" s="37" t="str">
        <f>IF(AL28&gt;0,Stats!$B28,"")</f>
        <v/>
      </c>
      <c r="AJ161" s="37" t="str">
        <f t="shared" si="348"/>
        <v/>
      </c>
      <c r="AM161" s="37" t="str">
        <f>IF(AP28&gt;0,Stats!$B28,"")</f>
        <v/>
      </c>
      <c r="AN161" s="37" t="str">
        <f t="shared" si="349"/>
        <v/>
      </c>
      <c r="AQ161" s="37" t="str">
        <f>IF(AT28&gt;0,Stats!$B28,"")</f>
        <v/>
      </c>
      <c r="AR161" s="37" t="str">
        <f t="shared" si="350"/>
        <v/>
      </c>
      <c r="AU161" s="37" t="str">
        <f>IF(AX28&gt;0,Stats!$B28,"")</f>
        <v/>
      </c>
      <c r="AV161" s="37" t="str">
        <f t="shared" si="351"/>
        <v>Miles Whittle</v>
      </c>
      <c r="AY161" s="37" t="str">
        <f>IF(BB28&gt;0,Stats!$B28,"")</f>
        <v/>
      </c>
      <c r="AZ161" s="37" t="str">
        <f t="shared" si="352"/>
        <v/>
      </c>
      <c r="BC161" s="37" t="str">
        <f>IF(BF28&gt;0,Stats!$B28,"")</f>
        <v/>
      </c>
      <c r="BD161" s="37" t="str">
        <f t="shared" si="353"/>
        <v/>
      </c>
      <c r="BG161" s="37" t="str">
        <f>IF(BJ28&gt;0,Stats!$B28,"")</f>
        <v/>
      </c>
      <c r="BH161" s="37" t="str">
        <f t="shared" si="354"/>
        <v/>
      </c>
      <c r="BK161" s="37" t="str">
        <f>IF(BN28&gt;0,Stats!$B28,"")</f>
        <v/>
      </c>
      <c r="BL161" s="37" t="str">
        <f t="shared" si="355"/>
        <v/>
      </c>
      <c r="BO161" s="37" t="str">
        <f>IF(BR28&gt;0,Stats!$B28,"")</f>
        <v/>
      </c>
      <c r="BP161" s="37" t="str">
        <f t="shared" si="356"/>
        <v>Debbie Field</v>
      </c>
      <c r="BS161" s="37" t="str">
        <f>IF(BV28&gt;0,Stats!$B28,"")</f>
        <v/>
      </c>
      <c r="BT161" s="37" t="str">
        <f t="shared" si="357"/>
        <v>??Hillcroft Guy</v>
      </c>
      <c r="BW161" s="37" t="str">
        <f>IF(BZ28&gt;0,Stats!$B28,"")</f>
        <v/>
      </c>
      <c r="BX161" s="37" t="str">
        <f t="shared" si="358"/>
        <v>Gregg Urwin+Spencer</v>
      </c>
      <c r="CA161" s="37" t="str">
        <f>IF(CD28&gt;0,Stats!$B28,"")</f>
        <v/>
      </c>
      <c r="CB161" s="37" t="str">
        <f t="shared" si="359"/>
        <v>Ray Harry</v>
      </c>
      <c r="CE161" s="37" t="str">
        <f>IF(CH28&gt;0,Stats!$B28,"")</f>
        <v/>
      </c>
      <c r="CF161" s="37" t="str">
        <f t="shared" si="360"/>
        <v>James Kellam+EG</v>
      </c>
      <c r="CI161" s="37" t="str">
        <f>IF(CL28&gt;0,Stats!$B28,"")</f>
        <v/>
      </c>
      <c r="CJ161" s="37" t="str">
        <f t="shared" si="339"/>
        <v/>
      </c>
    </row>
    <row r="162" spans="5:88" s="37" customFormat="1" x14ac:dyDescent="0.2">
      <c r="E162" s="8">
        <f t="shared" si="340"/>
        <v>20</v>
      </c>
      <c r="G162" s="37" t="str">
        <f>IF(J29&gt;0,Stats!$B29,"")</f>
        <v/>
      </c>
      <c r="H162" s="37" t="str">
        <f t="shared" si="341"/>
        <v>Justin Baranowski, Andy Fernando</v>
      </c>
      <c r="K162" s="37" t="str">
        <f>IF(N29&gt;0,Stats!$B29,"")</f>
        <v/>
      </c>
      <c r="L162" s="37" t="str">
        <f t="shared" si="342"/>
        <v>Rob Collinge, Henry Collinge</v>
      </c>
      <c r="O162" s="37" t="str">
        <f>IF(R29&gt;0,Stats!$B29,"")</f>
        <v/>
      </c>
      <c r="P162" s="37" t="str">
        <f t="shared" si="343"/>
        <v/>
      </c>
      <c r="S162" s="37" t="str">
        <f>IF(V29&gt;0,Stats!$B29,"")</f>
        <v/>
      </c>
      <c r="T162" s="37" t="str">
        <f t="shared" si="344"/>
        <v>Simon Peach</v>
      </c>
      <c r="W162" s="37" t="str">
        <f>IF(Z29&gt;0,Stats!$B29,"")</f>
        <v/>
      </c>
      <c r="X162" s="37" t="str">
        <f t="shared" si="345"/>
        <v/>
      </c>
      <c r="AA162" s="37" t="str">
        <f>IF(AD29&gt;0,Stats!$B29,"")</f>
        <v/>
      </c>
      <c r="AB162" s="37" t="str">
        <f t="shared" si="346"/>
        <v>Simon Peach, Andy Booth</v>
      </c>
      <c r="AE162" s="37" t="str">
        <f>IF(AH29&gt;0,Stats!$B29,"")</f>
        <v/>
      </c>
      <c r="AF162" s="37" t="str">
        <f t="shared" si="347"/>
        <v>Buckers, Trevor Rogers</v>
      </c>
      <c r="AI162" s="37" t="str">
        <f>IF(AL29&gt;0,Stats!$B29,"")</f>
        <v/>
      </c>
      <c r="AJ162" s="37" t="str">
        <f t="shared" si="348"/>
        <v/>
      </c>
      <c r="AM162" s="37" t="str">
        <f>IF(AP29&gt;0,Stats!$B29,"")</f>
        <v/>
      </c>
      <c r="AN162" s="37" t="str">
        <f t="shared" si="349"/>
        <v/>
      </c>
      <c r="AQ162" s="37" t="str">
        <f>IF(AT29&gt;0,Stats!$B29,"")</f>
        <v/>
      </c>
      <c r="AR162" s="37" t="str">
        <f t="shared" si="350"/>
        <v/>
      </c>
      <c r="AU162" s="37" t="str">
        <f>IF(AX29&gt;0,Stats!$B29,"")</f>
        <v/>
      </c>
      <c r="AV162" s="37" t="str">
        <f t="shared" si="351"/>
        <v>Miles Whittle</v>
      </c>
      <c r="AY162" s="37" t="str">
        <f>IF(BB29&gt;0,Stats!$B29,"")</f>
        <v/>
      </c>
      <c r="AZ162" s="37" t="str">
        <f t="shared" si="352"/>
        <v/>
      </c>
      <c r="BC162" s="37" t="str">
        <f>IF(BF29&gt;0,Stats!$B29,"")</f>
        <v/>
      </c>
      <c r="BD162" s="37" t="str">
        <f t="shared" si="353"/>
        <v/>
      </c>
      <c r="BG162" s="37" t="str">
        <f>IF(BJ29&gt;0,Stats!$B29,"")</f>
        <v/>
      </c>
      <c r="BH162" s="37" t="str">
        <f t="shared" si="354"/>
        <v/>
      </c>
      <c r="BK162" s="37" t="str">
        <f>IF(BN29&gt;0,Stats!$B29,"")</f>
        <v/>
      </c>
      <c r="BL162" s="37" t="str">
        <f t="shared" si="355"/>
        <v/>
      </c>
      <c r="BO162" s="37" t="str">
        <f>IF(BR29&gt;0,Stats!$B29,"")</f>
        <v/>
      </c>
      <c r="BP162" s="37" t="str">
        <f t="shared" si="356"/>
        <v>Debbie Field</v>
      </c>
      <c r="BS162" s="37" t="str">
        <f>IF(BV29&gt;0,Stats!$B29,"")</f>
        <v/>
      </c>
      <c r="BT162" s="37" t="str">
        <f t="shared" si="357"/>
        <v>??Hillcroft Guy</v>
      </c>
      <c r="BW162" s="37" t="str">
        <f>IF(BZ29&gt;0,Stats!$B29,"")</f>
        <v/>
      </c>
      <c r="BX162" s="37" t="str">
        <f t="shared" si="358"/>
        <v>Gregg Urwin+Spencer</v>
      </c>
      <c r="CA162" s="37" t="str">
        <f>IF(CD29&gt;0,Stats!$B29,"")</f>
        <v/>
      </c>
      <c r="CB162" s="37" t="str">
        <f t="shared" si="359"/>
        <v>Ray Harry</v>
      </c>
      <c r="CE162" s="37" t="str">
        <f>IF(CH29&gt;0,Stats!$B29,"")</f>
        <v/>
      </c>
      <c r="CF162" s="37" t="str">
        <f t="shared" si="360"/>
        <v>James Kellam+EG</v>
      </c>
      <c r="CI162" s="37" t="str">
        <f>IF(CL29&gt;0,Stats!$B29,"")</f>
        <v/>
      </c>
      <c r="CJ162" s="37" t="str">
        <f t="shared" si="339"/>
        <v/>
      </c>
    </row>
    <row r="163" spans="5:88" s="37" customFormat="1" x14ac:dyDescent="0.2">
      <c r="E163" s="8">
        <f t="shared" si="340"/>
        <v>21</v>
      </c>
      <c r="G163" s="37" t="str">
        <f>IF(J30&gt;0,Stats!$B30,"")</f>
        <v/>
      </c>
      <c r="H163" s="37" t="str">
        <f t="shared" si="341"/>
        <v>Justin Baranowski, Andy Fernando</v>
      </c>
      <c r="K163" s="37" t="str">
        <f>IF(N30&gt;0,Stats!$B30,"")</f>
        <v/>
      </c>
      <c r="L163" s="37" t="str">
        <f t="shared" si="342"/>
        <v>Rob Collinge, Henry Collinge</v>
      </c>
      <c r="O163" s="37" t="str">
        <f>IF(R30&gt;0,Stats!$B30,"")</f>
        <v/>
      </c>
      <c r="P163" s="37" t="str">
        <f t="shared" si="343"/>
        <v/>
      </c>
      <c r="S163" s="37" t="str">
        <f>IF(V30&gt;0,Stats!$B30,"")</f>
        <v/>
      </c>
      <c r="T163" s="37" t="str">
        <f t="shared" si="344"/>
        <v>Simon Peach</v>
      </c>
      <c r="W163" s="37" t="str">
        <f>IF(Z30&gt;0,Stats!$B30,"")</f>
        <v/>
      </c>
      <c r="X163" s="37" t="str">
        <f t="shared" si="345"/>
        <v/>
      </c>
      <c r="AA163" s="37" t="str">
        <f>IF(AD30&gt;0,Stats!$B30,"")</f>
        <v/>
      </c>
      <c r="AB163" s="37" t="str">
        <f t="shared" si="346"/>
        <v>Simon Peach, Andy Booth</v>
      </c>
      <c r="AE163" s="37" t="str">
        <f>IF(AH30&gt;0,Stats!$B30,"")</f>
        <v/>
      </c>
      <c r="AF163" s="37" t="str">
        <f t="shared" si="347"/>
        <v>Buckers, Trevor Rogers</v>
      </c>
      <c r="AI163" s="37" t="str">
        <f>IF(AL30&gt;0,Stats!$B30,"")</f>
        <v/>
      </c>
      <c r="AJ163" s="37" t="str">
        <f t="shared" si="348"/>
        <v/>
      </c>
      <c r="AM163" s="37" t="str">
        <f>IF(AP30&gt;0,Stats!$B30,"")</f>
        <v/>
      </c>
      <c r="AN163" s="37" t="str">
        <f t="shared" si="349"/>
        <v/>
      </c>
      <c r="AQ163" s="37" t="str">
        <f>IF(AT30&gt;0,Stats!$B30,"")</f>
        <v/>
      </c>
      <c r="AR163" s="37" t="str">
        <f t="shared" si="350"/>
        <v/>
      </c>
      <c r="AU163" s="37" t="str">
        <f>IF(AX30&gt;0,Stats!$B30,"")</f>
        <v/>
      </c>
      <c r="AV163" s="37" t="str">
        <f t="shared" si="351"/>
        <v>Miles Whittle</v>
      </c>
      <c r="AY163" s="37" t="str">
        <f>IF(BB30&gt;0,Stats!$B30,"")</f>
        <v/>
      </c>
      <c r="AZ163" s="37" t="str">
        <f t="shared" si="352"/>
        <v/>
      </c>
      <c r="BC163" s="37" t="str">
        <f>IF(BF30&gt;0,Stats!$B30,"")</f>
        <v/>
      </c>
      <c r="BD163" s="37" t="str">
        <f t="shared" si="353"/>
        <v/>
      </c>
      <c r="BG163" s="37" t="str">
        <f>IF(BJ30&gt;0,Stats!$B30,"")</f>
        <v/>
      </c>
      <c r="BH163" s="37" t="str">
        <f t="shared" si="354"/>
        <v/>
      </c>
      <c r="BK163" s="37" t="str">
        <f>IF(BN30&gt;0,Stats!$B30,"")</f>
        <v/>
      </c>
      <c r="BL163" s="37" t="str">
        <f t="shared" si="355"/>
        <v/>
      </c>
      <c r="BO163" s="37" t="str">
        <f>IF(BR30&gt;0,Stats!$B30,"")</f>
        <v/>
      </c>
      <c r="BP163" s="37" t="str">
        <f t="shared" si="356"/>
        <v>Debbie Field</v>
      </c>
      <c r="BS163" s="37" t="str">
        <f>IF(BV30&gt;0,Stats!$B30,"")</f>
        <v/>
      </c>
      <c r="BT163" s="37" t="str">
        <f t="shared" si="357"/>
        <v>??Hillcroft Guy</v>
      </c>
      <c r="BW163" s="37" t="str">
        <f>IF(BZ30&gt;0,Stats!$B30,"")</f>
        <v/>
      </c>
      <c r="BX163" s="37" t="str">
        <f t="shared" si="358"/>
        <v>Gregg Urwin+Spencer</v>
      </c>
      <c r="CA163" s="37" t="str">
        <f>IF(CD30&gt;0,Stats!$B30,"")</f>
        <v/>
      </c>
      <c r="CB163" s="37" t="str">
        <f t="shared" si="359"/>
        <v>Ray Harry</v>
      </c>
      <c r="CE163" s="37" t="str">
        <f>IF(CH30&gt;0,Stats!$B30,"")</f>
        <v/>
      </c>
      <c r="CF163" s="37" t="str">
        <f t="shared" si="360"/>
        <v>James Kellam+EG</v>
      </c>
      <c r="CI163" s="37" t="str">
        <f>IF(CL30&gt;0,Stats!$B30,"")</f>
        <v/>
      </c>
      <c r="CJ163" s="37" t="str">
        <f t="shared" si="339"/>
        <v/>
      </c>
    </row>
    <row r="164" spans="5:88" s="37" customFormat="1" x14ac:dyDescent="0.2">
      <c r="E164" s="8">
        <f t="shared" si="340"/>
        <v>22</v>
      </c>
      <c r="G164" s="37" t="str">
        <f>IF(J31&gt;0,Stats!$B31,"")</f>
        <v/>
      </c>
      <c r="H164" s="37" t="str">
        <f t="shared" si="341"/>
        <v>Justin Baranowski, Andy Fernando</v>
      </c>
      <c r="K164" s="37" t="str">
        <f>IF(N31&gt;0,Stats!$B31,"")</f>
        <v/>
      </c>
      <c r="L164" s="37" t="str">
        <f t="shared" si="342"/>
        <v>Rob Collinge, Henry Collinge</v>
      </c>
      <c r="O164" s="37" t="str">
        <f>IF(R31&gt;0,Stats!$B31,"")</f>
        <v/>
      </c>
      <c r="P164" s="37" t="str">
        <f t="shared" si="343"/>
        <v/>
      </c>
      <c r="S164" s="37" t="str">
        <f>IF(V31&gt;0,Stats!$B31,"")</f>
        <v/>
      </c>
      <c r="T164" s="37" t="str">
        <f t="shared" si="344"/>
        <v>Simon Peach</v>
      </c>
      <c r="W164" s="37" t="str">
        <f>IF(Z31&gt;0,Stats!$B31,"")</f>
        <v/>
      </c>
      <c r="X164" s="37" t="str">
        <f t="shared" si="345"/>
        <v/>
      </c>
      <c r="AA164" s="37" t="str">
        <f>IF(AD31&gt;0,Stats!$B31,"")</f>
        <v/>
      </c>
      <c r="AB164" s="37" t="str">
        <f t="shared" si="346"/>
        <v>Simon Peach, Andy Booth</v>
      </c>
      <c r="AE164" s="37" t="str">
        <f>IF(AH31&gt;0,Stats!$B31,"")</f>
        <v/>
      </c>
      <c r="AF164" s="37" t="str">
        <f t="shared" si="347"/>
        <v>Buckers, Trevor Rogers</v>
      </c>
      <c r="AI164" s="37" t="str">
        <f>IF(AL31&gt;0,Stats!$B31,"")</f>
        <v/>
      </c>
      <c r="AJ164" s="37" t="str">
        <f t="shared" si="348"/>
        <v/>
      </c>
      <c r="AM164" s="37" t="str">
        <f>IF(AP31&gt;0,Stats!$B31,"")</f>
        <v/>
      </c>
      <c r="AN164" s="37" t="str">
        <f t="shared" si="349"/>
        <v/>
      </c>
      <c r="AQ164" s="37" t="str">
        <f>IF(AT31&gt;0,Stats!$B31,"")</f>
        <v/>
      </c>
      <c r="AR164" s="37" t="str">
        <f t="shared" si="350"/>
        <v/>
      </c>
      <c r="AU164" s="37" t="str">
        <f>IF(AX31&gt;0,Stats!$B31,"")</f>
        <v/>
      </c>
      <c r="AV164" s="37" t="str">
        <f t="shared" si="351"/>
        <v>Miles Whittle</v>
      </c>
      <c r="AY164" s="37" t="str">
        <f>IF(BB31&gt;0,Stats!$B31,"")</f>
        <v/>
      </c>
      <c r="AZ164" s="37" t="str">
        <f t="shared" si="352"/>
        <v/>
      </c>
      <c r="BC164" s="37" t="str">
        <f>IF(BF31&gt;0,Stats!$B31,"")</f>
        <v/>
      </c>
      <c r="BD164" s="37" t="str">
        <f t="shared" si="353"/>
        <v/>
      </c>
      <c r="BG164" s="37" t="str">
        <f>IF(BJ31&gt;0,Stats!$B31,"")</f>
        <v/>
      </c>
      <c r="BH164" s="37" t="str">
        <f t="shared" si="354"/>
        <v/>
      </c>
      <c r="BK164" s="37" t="str">
        <f>IF(BN31&gt;0,Stats!$B31,"")</f>
        <v/>
      </c>
      <c r="BL164" s="37" t="str">
        <f t="shared" si="355"/>
        <v/>
      </c>
      <c r="BO164" s="37" t="str">
        <f>IF(BR31&gt;0,Stats!$B31,"")</f>
        <v/>
      </c>
      <c r="BP164" s="37" t="str">
        <f t="shared" si="356"/>
        <v>Debbie Field</v>
      </c>
      <c r="BS164" s="37" t="str">
        <f>IF(BV31&gt;0,Stats!$B31,"")</f>
        <v/>
      </c>
      <c r="BT164" s="37" t="str">
        <f t="shared" si="357"/>
        <v>??Hillcroft Guy</v>
      </c>
      <c r="BW164" s="37" t="str">
        <f>IF(BZ31&gt;0,Stats!$B31,"")</f>
        <v/>
      </c>
      <c r="BX164" s="37" t="str">
        <f t="shared" si="358"/>
        <v>Gregg Urwin+Spencer</v>
      </c>
      <c r="CA164" s="37" t="str">
        <f>IF(CD31&gt;0,Stats!$B31,"")</f>
        <v/>
      </c>
      <c r="CB164" s="37" t="str">
        <f t="shared" si="359"/>
        <v>Ray Harry</v>
      </c>
      <c r="CE164" s="37" t="str">
        <f>IF(CH31&gt;0,Stats!$B31,"")</f>
        <v/>
      </c>
      <c r="CF164" s="37" t="str">
        <f t="shared" si="360"/>
        <v>James Kellam+EG</v>
      </c>
      <c r="CI164" s="37" t="str">
        <f>IF(CL31&gt;0,Stats!$B31,"")</f>
        <v/>
      </c>
      <c r="CJ164" s="37" t="str">
        <f t="shared" si="339"/>
        <v/>
      </c>
    </row>
    <row r="165" spans="5:88" s="37" customFormat="1" x14ac:dyDescent="0.2">
      <c r="E165" s="8">
        <f t="shared" si="340"/>
        <v>23</v>
      </c>
      <c r="G165" s="37" t="str">
        <f>IF(J32&gt;0,Stats!$B32,"")</f>
        <v/>
      </c>
      <c r="H165" s="37" t="str">
        <f t="shared" si="341"/>
        <v>Justin Baranowski, Andy Fernando</v>
      </c>
      <c r="K165" s="37" t="str">
        <f>IF(N32&gt;0,Stats!$B32,"")</f>
        <v/>
      </c>
      <c r="L165" s="37" t="str">
        <f t="shared" si="342"/>
        <v>Rob Collinge, Henry Collinge</v>
      </c>
      <c r="O165" s="37" t="str">
        <f>IF(R32&gt;0,Stats!$B32,"")</f>
        <v/>
      </c>
      <c r="P165" s="37" t="str">
        <f t="shared" si="343"/>
        <v/>
      </c>
      <c r="S165" s="37" t="str">
        <f>IF(V32&gt;0,Stats!$B32,"")</f>
        <v/>
      </c>
      <c r="T165" s="37" t="str">
        <f t="shared" si="344"/>
        <v>Simon Peach</v>
      </c>
      <c r="W165" s="37" t="str">
        <f>IF(Z32&gt;0,Stats!$B32,"")</f>
        <v/>
      </c>
      <c r="X165" s="37" t="str">
        <f t="shared" si="345"/>
        <v/>
      </c>
      <c r="AA165" s="37" t="str">
        <f>IF(AD32&gt;0,Stats!$B32,"")</f>
        <v/>
      </c>
      <c r="AB165" s="37" t="str">
        <f t="shared" si="346"/>
        <v>Simon Peach, Andy Booth</v>
      </c>
      <c r="AE165" s="37" t="str">
        <f>IF(AH32&gt;0,Stats!$B32,"")</f>
        <v/>
      </c>
      <c r="AF165" s="37" t="str">
        <f t="shared" si="347"/>
        <v>Buckers, Trevor Rogers</v>
      </c>
      <c r="AI165" s="37" t="str">
        <f>IF(AL32&gt;0,Stats!$B32,"")</f>
        <v/>
      </c>
      <c r="AJ165" s="37" t="str">
        <f t="shared" si="348"/>
        <v/>
      </c>
      <c r="AM165" s="37" t="str">
        <f>IF(AP32&gt;0,Stats!$B32,"")</f>
        <v/>
      </c>
      <c r="AN165" s="37" t="str">
        <f t="shared" si="349"/>
        <v/>
      </c>
      <c r="AQ165" s="37" t="str">
        <f>IF(AT32&gt;0,Stats!$B32,"")</f>
        <v/>
      </c>
      <c r="AR165" s="37" t="str">
        <f t="shared" si="350"/>
        <v/>
      </c>
      <c r="AU165" s="37" t="str">
        <f>IF(AX32&gt;0,Stats!$B32,"")</f>
        <v/>
      </c>
      <c r="AV165" s="37" t="str">
        <f t="shared" si="351"/>
        <v>Miles Whittle</v>
      </c>
      <c r="AY165" s="37" t="str">
        <f>IF(BB32&gt;0,Stats!$B32,"")</f>
        <v/>
      </c>
      <c r="AZ165" s="37" t="str">
        <f t="shared" si="352"/>
        <v/>
      </c>
      <c r="BC165" s="37" t="str">
        <f>IF(BF32&gt;0,Stats!$B32,"")</f>
        <v/>
      </c>
      <c r="BD165" s="37" t="str">
        <f t="shared" si="353"/>
        <v/>
      </c>
      <c r="BG165" s="37" t="str">
        <f>IF(BJ32&gt;0,Stats!$B32,"")</f>
        <v/>
      </c>
      <c r="BH165" s="37" t="str">
        <f t="shared" si="354"/>
        <v/>
      </c>
      <c r="BK165" s="37" t="str">
        <f>IF(BN32&gt;0,Stats!$B32,"")</f>
        <v/>
      </c>
      <c r="BL165" s="37" t="str">
        <f t="shared" si="355"/>
        <v/>
      </c>
      <c r="BO165" s="37" t="str">
        <f>IF(BR32&gt;0,Stats!$B32,"")</f>
        <v/>
      </c>
      <c r="BP165" s="37" t="str">
        <f t="shared" si="356"/>
        <v>Debbie Field</v>
      </c>
      <c r="BS165" s="37" t="str">
        <f>IF(BV32&gt;0,Stats!$B32,"")</f>
        <v/>
      </c>
      <c r="BT165" s="37" t="str">
        <f t="shared" si="357"/>
        <v>??Hillcroft Guy</v>
      </c>
      <c r="BW165" s="37" t="str">
        <f>IF(BZ32&gt;0,Stats!$B32,"")</f>
        <v/>
      </c>
      <c r="BX165" s="37" t="str">
        <f t="shared" si="358"/>
        <v>Gregg Urwin+Spencer</v>
      </c>
      <c r="CA165" s="37" t="str">
        <f>IF(CD32&gt;0,Stats!$B32,"")</f>
        <v/>
      </c>
      <c r="CB165" s="37" t="str">
        <f t="shared" si="359"/>
        <v>Ray Harry</v>
      </c>
      <c r="CE165" s="37" t="str">
        <f>IF(CH32&gt;0,Stats!$B32,"")</f>
        <v/>
      </c>
      <c r="CF165" s="37" t="str">
        <f t="shared" si="360"/>
        <v>James Kellam+EG</v>
      </c>
      <c r="CI165" s="37" t="str">
        <f>IF(CL32&gt;0,Stats!$B32,"")</f>
        <v/>
      </c>
      <c r="CJ165" s="37" t="str">
        <f t="shared" si="339"/>
        <v/>
      </c>
    </row>
    <row r="166" spans="5:88" s="37" customFormat="1" x14ac:dyDescent="0.2">
      <c r="E166" s="8">
        <f t="shared" si="340"/>
        <v>24</v>
      </c>
      <c r="G166" s="37" t="str">
        <f>IF(J33&gt;0,Stats!$B33,"")</f>
        <v/>
      </c>
      <c r="H166" s="37" t="str">
        <f t="shared" si="341"/>
        <v>Justin Baranowski, Andy Fernando</v>
      </c>
      <c r="K166" s="37" t="str">
        <f>IF(N33&gt;0,Stats!$B33,"")</f>
        <v/>
      </c>
      <c r="L166" s="37" t="str">
        <f t="shared" si="342"/>
        <v>Rob Collinge, Henry Collinge</v>
      </c>
      <c r="O166" s="37" t="str">
        <f>IF(R33&gt;0,Stats!$B33,"")</f>
        <v/>
      </c>
      <c r="P166" s="37" t="str">
        <f t="shared" si="343"/>
        <v/>
      </c>
      <c r="S166" s="37" t="str">
        <f>IF(V33&gt;0,Stats!$B33,"")</f>
        <v/>
      </c>
      <c r="T166" s="37" t="str">
        <f t="shared" si="344"/>
        <v>Simon Peach</v>
      </c>
      <c r="W166" s="37" t="str">
        <f>IF(Z33&gt;0,Stats!$B33,"")</f>
        <v/>
      </c>
      <c r="X166" s="37" t="str">
        <f t="shared" si="345"/>
        <v/>
      </c>
      <c r="AA166" s="37" t="str">
        <f>IF(AD33&gt;0,Stats!$B33,"")</f>
        <v/>
      </c>
      <c r="AB166" s="37" t="str">
        <f t="shared" si="346"/>
        <v>Simon Peach, Andy Booth</v>
      </c>
      <c r="AE166" s="37" t="str">
        <f>IF(AH33&gt;0,Stats!$B33,"")</f>
        <v/>
      </c>
      <c r="AF166" s="37" t="str">
        <f t="shared" si="347"/>
        <v>Buckers, Trevor Rogers</v>
      </c>
      <c r="AI166" s="37" t="str">
        <f>IF(AL33&gt;0,Stats!$B33,"")</f>
        <v/>
      </c>
      <c r="AJ166" s="37" t="str">
        <f t="shared" si="348"/>
        <v/>
      </c>
      <c r="AM166" s="37" t="str">
        <f>IF(AP33&gt;0,Stats!$B33,"")</f>
        <v/>
      </c>
      <c r="AN166" s="37" t="str">
        <f t="shared" si="349"/>
        <v/>
      </c>
      <c r="AQ166" s="37" t="str">
        <f>IF(AT33&gt;0,Stats!$B33,"")</f>
        <v/>
      </c>
      <c r="AR166" s="37" t="str">
        <f t="shared" si="350"/>
        <v/>
      </c>
      <c r="AU166" s="37" t="str">
        <f>IF(AX33&gt;0,Stats!$B33,"")</f>
        <v/>
      </c>
      <c r="AV166" s="37" t="str">
        <f t="shared" si="351"/>
        <v>Miles Whittle</v>
      </c>
      <c r="AY166" s="37" t="str">
        <f>IF(BB33&gt;0,Stats!$B33,"")</f>
        <v/>
      </c>
      <c r="AZ166" s="37" t="str">
        <f t="shared" si="352"/>
        <v/>
      </c>
      <c r="BC166" s="37" t="str">
        <f>IF(BF33&gt;0,Stats!$B33,"")</f>
        <v/>
      </c>
      <c r="BD166" s="37" t="str">
        <f t="shared" si="353"/>
        <v/>
      </c>
      <c r="BG166" s="37" t="str">
        <f>IF(BJ33&gt;0,Stats!$B33,"")</f>
        <v/>
      </c>
      <c r="BH166" s="37" t="str">
        <f t="shared" si="354"/>
        <v/>
      </c>
      <c r="BK166" s="37" t="str">
        <f>IF(BN33&gt;0,Stats!$B33,"")</f>
        <v/>
      </c>
      <c r="BL166" s="37" t="str">
        <f t="shared" si="355"/>
        <v/>
      </c>
      <c r="BO166" s="37" t="str">
        <f>IF(BR33&gt;0,Stats!$B33,"")</f>
        <v/>
      </c>
      <c r="BP166" s="37" t="str">
        <f t="shared" si="356"/>
        <v>Debbie Field</v>
      </c>
      <c r="BS166" s="37" t="str">
        <f>IF(BV33&gt;0,Stats!$B33,"")</f>
        <v/>
      </c>
      <c r="BT166" s="37" t="str">
        <f t="shared" si="357"/>
        <v>??Hillcroft Guy</v>
      </c>
      <c r="BW166" s="37" t="str">
        <f>IF(BZ33&gt;0,Stats!$B33,"")</f>
        <v/>
      </c>
      <c r="BX166" s="37" t="str">
        <f t="shared" si="358"/>
        <v>Gregg Urwin+Spencer</v>
      </c>
      <c r="CA166" s="37" t="str">
        <f>IF(CD33&gt;0,Stats!$B33,"")</f>
        <v/>
      </c>
      <c r="CB166" s="37" t="str">
        <f t="shared" si="359"/>
        <v>Ray Harry</v>
      </c>
      <c r="CE166" s="37" t="str">
        <f>IF(CH33&gt;0,Stats!$B33,"")</f>
        <v/>
      </c>
      <c r="CF166" s="37" t="str">
        <f t="shared" si="360"/>
        <v>James Kellam+EG</v>
      </c>
      <c r="CI166" s="37" t="str">
        <f>IF(CL33&gt;0,Stats!$B33,"")</f>
        <v/>
      </c>
      <c r="CJ166" s="37" t="str">
        <f t="shared" si="339"/>
        <v/>
      </c>
    </row>
    <row r="167" spans="5:88" s="37" customFormat="1" x14ac:dyDescent="0.2">
      <c r="E167" s="8">
        <f t="shared" si="340"/>
        <v>25</v>
      </c>
      <c r="G167" s="37" t="str">
        <f>IF(J34&gt;0,Stats!$B34,"")</f>
        <v/>
      </c>
      <c r="H167" s="37" t="str">
        <f t="shared" si="341"/>
        <v>Justin Baranowski, Andy Fernando</v>
      </c>
      <c r="K167" s="37" t="str">
        <f>IF(N34&gt;0,Stats!$B34,"")</f>
        <v/>
      </c>
      <c r="L167" s="37" t="str">
        <f t="shared" si="342"/>
        <v>Rob Collinge, Henry Collinge</v>
      </c>
      <c r="O167" s="37" t="str">
        <f>IF(R34&gt;0,Stats!$B34,"")</f>
        <v/>
      </c>
      <c r="P167" s="37" t="str">
        <f t="shared" si="343"/>
        <v/>
      </c>
      <c r="S167" s="37" t="str">
        <f>IF(V34&gt;0,Stats!$B34,"")</f>
        <v/>
      </c>
      <c r="T167" s="37" t="str">
        <f t="shared" si="344"/>
        <v>Simon Peach</v>
      </c>
      <c r="W167" s="37" t="str">
        <f>IF(Z34&gt;0,Stats!$B34,"")</f>
        <v/>
      </c>
      <c r="X167" s="37" t="str">
        <f t="shared" si="345"/>
        <v/>
      </c>
      <c r="AA167" s="37" t="str">
        <f>IF(AD34&gt;0,Stats!$B34,"")</f>
        <v/>
      </c>
      <c r="AB167" s="37" t="str">
        <f t="shared" si="346"/>
        <v>Simon Peach, Andy Booth</v>
      </c>
      <c r="AE167" s="37" t="str">
        <f>IF(AH34&gt;0,Stats!$B34,"")</f>
        <v/>
      </c>
      <c r="AF167" s="37" t="str">
        <f t="shared" si="347"/>
        <v>Buckers, Trevor Rogers</v>
      </c>
      <c r="AI167" s="37" t="str">
        <f>IF(AL34&gt;0,Stats!$B34,"")</f>
        <v/>
      </c>
      <c r="AJ167" s="37" t="str">
        <f t="shared" si="348"/>
        <v/>
      </c>
      <c r="AM167" s="37" t="str">
        <f>IF(AP34&gt;0,Stats!$B34,"")</f>
        <v/>
      </c>
      <c r="AN167" s="37" t="str">
        <f t="shared" si="349"/>
        <v/>
      </c>
      <c r="AQ167" s="37" t="str">
        <f>IF(AT34&gt;0,Stats!$B34,"")</f>
        <v/>
      </c>
      <c r="AR167" s="37" t="str">
        <f t="shared" si="350"/>
        <v/>
      </c>
      <c r="AU167" s="37" t="str">
        <f>IF(AX34&gt;0,Stats!$B34,"")</f>
        <v/>
      </c>
      <c r="AV167" s="37" t="str">
        <f t="shared" si="351"/>
        <v>Miles Whittle</v>
      </c>
      <c r="AY167" s="37" t="str">
        <f>IF(BB34&gt;0,Stats!$B34,"")</f>
        <v/>
      </c>
      <c r="AZ167" s="37" t="str">
        <f t="shared" si="352"/>
        <v/>
      </c>
      <c r="BC167" s="37" t="str">
        <f>IF(BF34&gt;0,Stats!$B34,"")</f>
        <v/>
      </c>
      <c r="BD167" s="37" t="str">
        <f t="shared" si="353"/>
        <v/>
      </c>
      <c r="BG167" s="37" t="str">
        <f>IF(BJ34&gt;0,Stats!$B34,"")</f>
        <v/>
      </c>
      <c r="BH167" s="37" t="str">
        <f t="shared" si="354"/>
        <v/>
      </c>
      <c r="BK167" s="37" t="str">
        <f>IF(BN34&gt;0,Stats!$B34,"")</f>
        <v/>
      </c>
      <c r="BL167" s="37" t="str">
        <f t="shared" si="355"/>
        <v/>
      </c>
      <c r="BO167" s="37" t="str">
        <f>IF(BR34&gt;0,Stats!$B34,"")</f>
        <v/>
      </c>
      <c r="BP167" s="37" t="str">
        <f t="shared" si="356"/>
        <v>Debbie Field</v>
      </c>
      <c r="BS167" s="37" t="str">
        <f>IF(BV34&gt;0,Stats!$B34,"")</f>
        <v/>
      </c>
      <c r="BT167" s="37" t="str">
        <f t="shared" si="357"/>
        <v>??Hillcroft Guy</v>
      </c>
      <c r="BW167" s="37" t="str">
        <f>IF(BZ34&gt;0,Stats!$B34,"")</f>
        <v/>
      </c>
      <c r="BX167" s="37" t="str">
        <f t="shared" si="358"/>
        <v>Gregg Urwin+Spencer</v>
      </c>
      <c r="CA167" s="37" t="str">
        <f>IF(CD34&gt;0,Stats!$B34,"")</f>
        <v/>
      </c>
      <c r="CB167" s="37" t="str">
        <f t="shared" si="359"/>
        <v>Ray Harry</v>
      </c>
      <c r="CE167" s="37" t="str">
        <f>IF(CH34&gt;0,Stats!$B34,"")</f>
        <v/>
      </c>
      <c r="CF167" s="37" t="str">
        <f t="shared" si="360"/>
        <v>James Kellam+EG</v>
      </c>
      <c r="CI167" s="37" t="str">
        <f>IF(CL34&gt;0,Stats!$B34,"")</f>
        <v/>
      </c>
      <c r="CJ167" s="37" t="str">
        <f t="shared" si="339"/>
        <v/>
      </c>
    </row>
    <row r="168" spans="5:88" s="37" customFormat="1" x14ac:dyDescent="0.2">
      <c r="E168" s="8">
        <f t="shared" si="340"/>
        <v>26</v>
      </c>
      <c r="G168" s="37" t="str">
        <f>IF(J35&gt;0,Stats!$B35,"")</f>
        <v/>
      </c>
      <c r="H168" s="37" t="str">
        <f t="shared" si="341"/>
        <v>Justin Baranowski, Andy Fernando</v>
      </c>
      <c r="K168" s="37" t="str">
        <f>IF(N35&gt;0,Stats!$B35,"")</f>
        <v/>
      </c>
      <c r="L168" s="37" t="str">
        <f t="shared" si="342"/>
        <v>Rob Collinge, Henry Collinge</v>
      </c>
      <c r="O168" s="37" t="str">
        <f>IF(R35&gt;0,Stats!$B35,"")</f>
        <v/>
      </c>
      <c r="P168" s="37" t="str">
        <f t="shared" si="343"/>
        <v/>
      </c>
      <c r="S168" s="37" t="str">
        <f>IF(V35&gt;0,Stats!$B35,"")</f>
        <v/>
      </c>
      <c r="T168" s="37" t="str">
        <f t="shared" si="344"/>
        <v>Simon Peach</v>
      </c>
      <c r="W168" s="37" t="str">
        <f>IF(Z35&gt;0,Stats!$B35,"")</f>
        <v/>
      </c>
      <c r="X168" s="37" t="str">
        <f t="shared" si="345"/>
        <v/>
      </c>
      <c r="AA168" s="37" t="str">
        <f>IF(AD35&gt;0,Stats!$B35,"")</f>
        <v/>
      </c>
      <c r="AB168" s="37" t="str">
        <f t="shared" si="346"/>
        <v>Simon Peach, Andy Booth</v>
      </c>
      <c r="AE168" s="37" t="str">
        <f>IF(AH35&gt;0,Stats!$B35,"")</f>
        <v/>
      </c>
      <c r="AF168" s="37" t="str">
        <f t="shared" si="347"/>
        <v>Buckers, Trevor Rogers</v>
      </c>
      <c r="AI168" s="37" t="str">
        <f>IF(AL35&gt;0,Stats!$B35,"")</f>
        <v/>
      </c>
      <c r="AJ168" s="37" t="str">
        <f t="shared" si="348"/>
        <v/>
      </c>
      <c r="AM168" s="37" t="str">
        <f>IF(AP35&gt;0,Stats!$B35,"")</f>
        <v/>
      </c>
      <c r="AN168" s="37" t="str">
        <f t="shared" si="349"/>
        <v/>
      </c>
      <c r="AQ168" s="37" t="str">
        <f>IF(AT35&gt;0,Stats!$B35,"")</f>
        <v/>
      </c>
      <c r="AR168" s="37" t="str">
        <f t="shared" si="350"/>
        <v/>
      </c>
      <c r="AU168" s="37" t="str">
        <f>IF(AX35&gt;0,Stats!$B35,"")</f>
        <v/>
      </c>
      <c r="AV168" s="37" t="str">
        <f t="shared" si="351"/>
        <v>Miles Whittle</v>
      </c>
      <c r="AY168" s="37" t="str">
        <f>IF(BB35&gt;0,Stats!$B35,"")</f>
        <v/>
      </c>
      <c r="AZ168" s="37" t="str">
        <f t="shared" si="352"/>
        <v/>
      </c>
      <c r="BC168" s="37" t="str">
        <f>IF(BF35&gt;0,Stats!$B35,"")</f>
        <v/>
      </c>
      <c r="BD168" s="37" t="str">
        <f t="shared" si="353"/>
        <v/>
      </c>
      <c r="BG168" s="37" t="str">
        <f>IF(BJ35&gt;0,Stats!$B35,"")</f>
        <v/>
      </c>
      <c r="BH168" s="37" t="str">
        <f t="shared" si="354"/>
        <v/>
      </c>
      <c r="BK168" s="37" t="str">
        <f>IF(BN35&gt;0,Stats!$B35,"")</f>
        <v/>
      </c>
      <c r="BL168" s="37" t="str">
        <f t="shared" si="355"/>
        <v/>
      </c>
      <c r="BO168" s="37" t="str">
        <f>IF(BR35&gt;0,Stats!$B35,"")</f>
        <v/>
      </c>
      <c r="BP168" s="37" t="str">
        <f t="shared" si="356"/>
        <v>Debbie Field</v>
      </c>
      <c r="BS168" s="37" t="str">
        <f>IF(BV35&gt;0,Stats!$B35,"")</f>
        <v/>
      </c>
      <c r="BT168" s="37" t="str">
        <f t="shared" si="357"/>
        <v>??Hillcroft Guy</v>
      </c>
      <c r="BW168" s="37" t="str">
        <f>IF(BZ35&gt;0,Stats!$B35,"")</f>
        <v/>
      </c>
      <c r="BX168" s="37" t="str">
        <f t="shared" si="358"/>
        <v>Gregg Urwin+Spencer</v>
      </c>
      <c r="CA168" s="37" t="str">
        <f>IF(CD35&gt;0,Stats!$B35,"")</f>
        <v/>
      </c>
      <c r="CB168" s="37" t="str">
        <f t="shared" si="359"/>
        <v>Ray Harry</v>
      </c>
      <c r="CE168" s="37" t="str">
        <f>IF(CH35&gt;0,Stats!$B35,"")</f>
        <v/>
      </c>
      <c r="CF168" s="37" t="str">
        <f t="shared" si="360"/>
        <v>James Kellam+EG</v>
      </c>
      <c r="CI168" s="37" t="str">
        <f>IF(CL35&gt;0,Stats!$B35,"")</f>
        <v/>
      </c>
      <c r="CJ168" s="37" t="str">
        <f t="shared" si="339"/>
        <v/>
      </c>
    </row>
    <row r="169" spans="5:88" s="37" customFormat="1" x14ac:dyDescent="0.2">
      <c r="E169" s="8">
        <f t="shared" si="340"/>
        <v>27</v>
      </c>
      <c r="G169" s="37" t="str">
        <f>IF(J36&gt;0,Stats!$B36,"")</f>
        <v>Dave Slaughter</v>
      </c>
      <c r="H169" s="37" t="str">
        <f t="shared" si="341"/>
        <v>Justin Baranowski, Andy Fernando, Dave Slaughter</v>
      </c>
      <c r="K169" s="37" t="str">
        <f>IF(N36&gt;0,Stats!$B36,"")</f>
        <v/>
      </c>
      <c r="L169" s="37" t="str">
        <f t="shared" si="342"/>
        <v>Rob Collinge, Henry Collinge</v>
      </c>
      <c r="O169" s="37" t="str">
        <f>IF(R36&gt;0,Stats!$B36,"")</f>
        <v>Dave Slaughter</v>
      </c>
      <c r="P169" s="37" t="str">
        <f t="shared" si="343"/>
        <v>Dave Slaughter</v>
      </c>
      <c r="S169" s="37" t="str">
        <f>IF(V36&gt;0,Stats!$B36,"")</f>
        <v/>
      </c>
      <c r="T169" s="37" t="str">
        <f t="shared" si="344"/>
        <v>Simon Peach</v>
      </c>
      <c r="W169" s="37" t="str">
        <f>IF(Z36&gt;0,Stats!$B36,"")</f>
        <v/>
      </c>
      <c r="X169" s="37" t="str">
        <f t="shared" si="345"/>
        <v/>
      </c>
      <c r="AA169" s="37" t="str">
        <f>IF(AD36&gt;0,Stats!$B36,"")</f>
        <v/>
      </c>
      <c r="AB169" s="37" t="str">
        <f t="shared" si="346"/>
        <v>Simon Peach, Andy Booth</v>
      </c>
      <c r="AE169" s="37" t="str">
        <f>IF(AH36&gt;0,Stats!$B36,"")</f>
        <v/>
      </c>
      <c r="AF169" s="37" t="str">
        <f t="shared" si="347"/>
        <v>Buckers, Trevor Rogers</v>
      </c>
      <c r="AI169" s="37" t="str">
        <f>IF(AL36&gt;0,Stats!$B36,"")</f>
        <v/>
      </c>
      <c r="AJ169" s="37" t="str">
        <f t="shared" si="348"/>
        <v/>
      </c>
      <c r="AM169" s="37" t="str">
        <f>IF(AP36&gt;0,Stats!$B36,"")</f>
        <v/>
      </c>
      <c r="AN169" s="37" t="str">
        <f t="shared" si="349"/>
        <v/>
      </c>
      <c r="AQ169" s="37" t="str">
        <f>IF(AT36&gt;0,Stats!$B36,"")</f>
        <v/>
      </c>
      <c r="AR169" s="37" t="str">
        <f t="shared" si="350"/>
        <v/>
      </c>
      <c r="AU169" s="37" t="str">
        <f>IF(AX36&gt;0,Stats!$B36,"")</f>
        <v/>
      </c>
      <c r="AV169" s="37" t="str">
        <f t="shared" si="351"/>
        <v>Miles Whittle</v>
      </c>
      <c r="AY169" s="37" t="str">
        <f>IF(BB36&gt;0,Stats!$B36,"")</f>
        <v>Dave Slaughter</v>
      </c>
      <c r="AZ169" s="37" t="str">
        <f t="shared" si="352"/>
        <v>Dave Slaughter</v>
      </c>
      <c r="BC169" s="37" t="str">
        <f>IF(BF36&gt;0,Stats!$B36,"")</f>
        <v/>
      </c>
      <c r="BD169" s="37" t="str">
        <f t="shared" si="353"/>
        <v/>
      </c>
      <c r="BG169" s="37" t="str">
        <f>IF(BJ36&gt;0,Stats!$B36,"")</f>
        <v/>
      </c>
      <c r="BH169" s="37" t="str">
        <f t="shared" si="354"/>
        <v/>
      </c>
      <c r="BK169" s="37" t="str">
        <f>IF(BN36&gt;0,Stats!$B36,"")</f>
        <v/>
      </c>
      <c r="BL169" s="37" t="str">
        <f t="shared" si="355"/>
        <v/>
      </c>
      <c r="BO169" s="37" t="str">
        <f>IF(BR36&gt;0,Stats!$B36,"")</f>
        <v/>
      </c>
      <c r="BP169" s="37" t="str">
        <f t="shared" si="356"/>
        <v>Debbie Field</v>
      </c>
      <c r="BS169" s="37" t="str">
        <f>IF(BV36&gt;0,Stats!$B36,"")</f>
        <v/>
      </c>
      <c r="BT169" s="37" t="str">
        <f t="shared" si="357"/>
        <v>??Hillcroft Guy</v>
      </c>
      <c r="BW169" s="37" t="str">
        <f>IF(BZ36&gt;0,Stats!$B36,"")</f>
        <v/>
      </c>
      <c r="BX169" s="37" t="str">
        <f t="shared" si="358"/>
        <v>Gregg Urwin+Spencer</v>
      </c>
      <c r="CA169" s="37" t="str">
        <f>IF(CD36&gt;0,Stats!$B36,"")</f>
        <v/>
      </c>
      <c r="CB169" s="37" t="str">
        <f t="shared" si="359"/>
        <v>Ray Harry</v>
      </c>
      <c r="CE169" s="37" t="str">
        <f>IF(CH36&gt;0,Stats!$B36,"")</f>
        <v/>
      </c>
      <c r="CF169" s="37" t="str">
        <f t="shared" si="360"/>
        <v>James Kellam+EG</v>
      </c>
      <c r="CI169" s="37" t="str">
        <f>IF(CL36&gt;0,Stats!$B36,"")</f>
        <v/>
      </c>
      <c r="CJ169" s="37" t="str">
        <f t="shared" si="339"/>
        <v/>
      </c>
    </row>
    <row r="170" spans="5:88" s="37" customFormat="1" x14ac:dyDescent="0.2">
      <c r="E170" s="8">
        <f t="shared" si="340"/>
        <v>28</v>
      </c>
      <c r="G170" s="37" t="str">
        <f>IF(J37&gt;0,Stats!$B37,"")</f>
        <v/>
      </c>
      <c r="H170" s="37" t="str">
        <f t="shared" si="341"/>
        <v>Justin Baranowski, Andy Fernando, Dave Slaughter</v>
      </c>
      <c r="K170" s="37" t="str">
        <f>IF(N37&gt;0,Stats!$B37,"")</f>
        <v/>
      </c>
      <c r="L170" s="37" t="str">
        <f t="shared" si="342"/>
        <v>Rob Collinge, Henry Collinge</v>
      </c>
      <c r="O170" s="37" t="str">
        <f>IF(R37&gt;0,Stats!$B37,"")</f>
        <v/>
      </c>
      <c r="P170" s="37" t="str">
        <f t="shared" si="343"/>
        <v>Dave Slaughter</v>
      </c>
      <c r="S170" s="37" t="str">
        <f>IF(V37&gt;0,Stats!$B37,"")</f>
        <v/>
      </c>
      <c r="T170" s="37" t="str">
        <f t="shared" si="344"/>
        <v>Simon Peach</v>
      </c>
      <c r="W170" s="37" t="str">
        <f>IF(Z37&gt;0,Stats!$B37,"")</f>
        <v/>
      </c>
      <c r="X170" s="37" t="str">
        <f t="shared" si="345"/>
        <v/>
      </c>
      <c r="AA170" s="37" t="str">
        <f>IF(AD37&gt;0,Stats!$B37,"")</f>
        <v/>
      </c>
      <c r="AB170" s="37" t="str">
        <f t="shared" si="346"/>
        <v>Simon Peach, Andy Booth</v>
      </c>
      <c r="AE170" s="37" t="str">
        <f>IF(AH37&gt;0,Stats!$B37,"")</f>
        <v/>
      </c>
      <c r="AF170" s="37" t="str">
        <f t="shared" si="347"/>
        <v>Buckers, Trevor Rogers</v>
      </c>
      <c r="AI170" s="37" t="str">
        <f>IF(AL37&gt;0,Stats!$B37,"")</f>
        <v/>
      </c>
      <c r="AJ170" s="37" t="str">
        <f t="shared" si="348"/>
        <v/>
      </c>
      <c r="AM170" s="37" t="str">
        <f>IF(AP37&gt;0,Stats!$B37,"")</f>
        <v/>
      </c>
      <c r="AN170" s="37" t="str">
        <f t="shared" si="349"/>
        <v/>
      </c>
      <c r="AQ170" s="37" t="str">
        <f>IF(AT37&gt;0,Stats!$B37,"")</f>
        <v/>
      </c>
      <c r="AR170" s="37" t="str">
        <f t="shared" si="350"/>
        <v/>
      </c>
      <c r="AU170" s="37" t="str">
        <f>IF(AX37&gt;0,Stats!$B37,"")</f>
        <v/>
      </c>
      <c r="AV170" s="37" t="str">
        <f t="shared" si="351"/>
        <v>Miles Whittle</v>
      </c>
      <c r="AY170" s="37" t="str">
        <f>IF(BB37&gt;0,Stats!$B37,"")</f>
        <v/>
      </c>
      <c r="AZ170" s="37" t="str">
        <f t="shared" si="352"/>
        <v>Dave Slaughter</v>
      </c>
      <c r="BC170" s="37" t="str">
        <f>IF(BF37&gt;0,Stats!$B37,"")</f>
        <v/>
      </c>
      <c r="BD170" s="37" t="str">
        <f t="shared" si="353"/>
        <v/>
      </c>
      <c r="BG170" s="37" t="str">
        <f>IF(BJ37&gt;0,Stats!$B37,"")</f>
        <v/>
      </c>
      <c r="BH170" s="37" t="str">
        <f t="shared" si="354"/>
        <v/>
      </c>
      <c r="BK170" s="37" t="str">
        <f>IF(BN37&gt;0,Stats!$B37,"")</f>
        <v/>
      </c>
      <c r="BL170" s="37" t="str">
        <f t="shared" si="355"/>
        <v/>
      </c>
      <c r="BO170" s="37" t="str">
        <f>IF(BR37&gt;0,Stats!$B37,"")</f>
        <v/>
      </c>
      <c r="BP170" s="37" t="str">
        <f t="shared" si="356"/>
        <v>Debbie Field</v>
      </c>
      <c r="BS170" s="37" t="str">
        <f>IF(BV37&gt;0,Stats!$B37,"")</f>
        <v/>
      </c>
      <c r="BT170" s="37" t="str">
        <f t="shared" si="357"/>
        <v>??Hillcroft Guy</v>
      </c>
      <c r="BW170" s="37" t="str">
        <f>IF(BZ37&gt;0,Stats!$B37,"")</f>
        <v/>
      </c>
      <c r="BX170" s="37" t="str">
        <f t="shared" si="358"/>
        <v>Gregg Urwin+Spencer</v>
      </c>
      <c r="CA170" s="37" t="str">
        <f>IF(CD37&gt;0,Stats!$B37,"")</f>
        <v/>
      </c>
      <c r="CB170" s="37" t="str">
        <f t="shared" si="359"/>
        <v>Ray Harry</v>
      </c>
      <c r="CE170" s="37" t="str">
        <f>IF(CH37&gt;0,Stats!$B37,"")</f>
        <v/>
      </c>
      <c r="CF170" s="37" t="str">
        <f t="shared" si="360"/>
        <v>James Kellam+EG</v>
      </c>
      <c r="CI170" s="37" t="str">
        <f>IF(CL37&gt;0,Stats!$B37,"")</f>
        <v/>
      </c>
      <c r="CJ170" s="37" t="str">
        <f t="shared" si="339"/>
        <v/>
      </c>
    </row>
    <row r="171" spans="5:88" s="37" customFormat="1" x14ac:dyDescent="0.2">
      <c r="E171" s="8">
        <f t="shared" si="340"/>
        <v>29</v>
      </c>
      <c r="G171" s="37" t="str">
        <f>IF(J38&gt;0,Stats!$B38,"")</f>
        <v/>
      </c>
      <c r="H171" s="37" t="str">
        <f t="shared" si="341"/>
        <v>Justin Baranowski, Andy Fernando, Dave Slaughter</v>
      </c>
      <c r="K171" s="37" t="str">
        <f>IF(N38&gt;0,Stats!$B38,"")</f>
        <v/>
      </c>
      <c r="L171" s="37" t="str">
        <f t="shared" si="342"/>
        <v>Rob Collinge, Henry Collinge</v>
      </c>
      <c r="O171" s="37" t="str">
        <f>IF(R38&gt;0,Stats!$B38,"")</f>
        <v/>
      </c>
      <c r="P171" s="37" t="str">
        <f t="shared" si="343"/>
        <v>Dave Slaughter</v>
      </c>
      <c r="S171" s="37" t="str">
        <f>IF(V38&gt;0,Stats!$B38,"")</f>
        <v/>
      </c>
      <c r="T171" s="37" t="str">
        <f t="shared" si="344"/>
        <v>Simon Peach</v>
      </c>
      <c r="W171" s="37" t="str">
        <f>IF(Z38&gt;0,Stats!$B38,"")</f>
        <v/>
      </c>
      <c r="X171" s="37" t="str">
        <f t="shared" si="345"/>
        <v/>
      </c>
      <c r="AA171" s="37" t="str">
        <f>IF(AD38&gt;0,Stats!$B38,"")</f>
        <v/>
      </c>
      <c r="AB171" s="37" t="str">
        <f t="shared" si="346"/>
        <v>Simon Peach, Andy Booth</v>
      </c>
      <c r="AE171" s="37" t="str">
        <f>IF(AH38&gt;0,Stats!$B38,"")</f>
        <v/>
      </c>
      <c r="AF171" s="37" t="str">
        <f t="shared" si="347"/>
        <v>Buckers, Trevor Rogers</v>
      </c>
      <c r="AI171" s="37" t="str">
        <f>IF(AL38&gt;0,Stats!$B38,"")</f>
        <v/>
      </c>
      <c r="AJ171" s="37" t="str">
        <f t="shared" si="348"/>
        <v/>
      </c>
      <c r="AM171" s="37" t="str">
        <f>IF(AP38&gt;0,Stats!$B38,"")</f>
        <v/>
      </c>
      <c r="AN171" s="37" t="str">
        <f t="shared" si="349"/>
        <v/>
      </c>
      <c r="AQ171" s="37" t="str">
        <f>IF(AT38&gt;0,Stats!$B38,"")</f>
        <v/>
      </c>
      <c r="AR171" s="37" t="str">
        <f t="shared" si="350"/>
        <v/>
      </c>
      <c r="AU171" s="37" t="str">
        <f>IF(AX38&gt;0,Stats!$B38,"")</f>
        <v/>
      </c>
      <c r="AV171" s="37" t="str">
        <f t="shared" si="351"/>
        <v>Miles Whittle</v>
      </c>
      <c r="AY171" s="37" t="str">
        <f>IF(BB38&gt;0,Stats!$B38,"")</f>
        <v/>
      </c>
      <c r="AZ171" s="37" t="str">
        <f t="shared" si="352"/>
        <v>Dave Slaughter</v>
      </c>
      <c r="BC171" s="37" t="str">
        <f>IF(BF38&gt;0,Stats!$B38,"")</f>
        <v/>
      </c>
      <c r="BD171" s="37" t="str">
        <f t="shared" si="353"/>
        <v/>
      </c>
      <c r="BG171" s="37" t="str">
        <f>IF(BJ38&gt;0,Stats!$B38,"")</f>
        <v/>
      </c>
      <c r="BH171" s="37" t="str">
        <f t="shared" si="354"/>
        <v/>
      </c>
      <c r="BK171" s="37" t="str">
        <f>IF(BN38&gt;0,Stats!$B38,"")</f>
        <v/>
      </c>
      <c r="BL171" s="37" t="str">
        <f t="shared" si="355"/>
        <v/>
      </c>
      <c r="BO171" s="37" t="str">
        <f>IF(BR38&gt;0,Stats!$B38,"")</f>
        <v/>
      </c>
      <c r="BP171" s="37" t="str">
        <f t="shared" si="356"/>
        <v>Debbie Field</v>
      </c>
      <c r="BS171" s="37" t="str">
        <f>IF(BV38&gt;0,Stats!$B38,"")</f>
        <v/>
      </c>
      <c r="BT171" s="37" t="str">
        <f t="shared" si="357"/>
        <v>??Hillcroft Guy</v>
      </c>
      <c r="BW171" s="37" t="str">
        <f>IF(BZ38&gt;0,Stats!$B38,"")</f>
        <v/>
      </c>
      <c r="BX171" s="37" t="str">
        <f t="shared" si="358"/>
        <v>Gregg Urwin+Spencer</v>
      </c>
      <c r="CA171" s="37" t="str">
        <f>IF(CD38&gt;0,Stats!$B38,"")</f>
        <v/>
      </c>
      <c r="CB171" s="37" t="str">
        <f t="shared" si="359"/>
        <v>Ray Harry</v>
      </c>
      <c r="CE171" s="37" t="str">
        <f>IF(CH38&gt;0,Stats!$B38,"")</f>
        <v/>
      </c>
      <c r="CF171" s="37" t="str">
        <f t="shared" si="360"/>
        <v>James Kellam+EG</v>
      </c>
      <c r="CI171" s="37" t="str">
        <f>IF(CL38&gt;0,Stats!$B38,"")</f>
        <v/>
      </c>
      <c r="CJ171" s="37" t="str">
        <f t="shared" si="339"/>
        <v/>
      </c>
    </row>
    <row r="172" spans="5:88" s="37" customFormat="1" x14ac:dyDescent="0.2">
      <c r="E172" s="8">
        <f t="shared" si="340"/>
        <v>30</v>
      </c>
      <c r="G172" s="37" t="str">
        <f>IF(J39&gt;0,Stats!$B39,"")</f>
        <v/>
      </c>
      <c r="H172" s="37" t="str">
        <f t="shared" si="341"/>
        <v>Justin Baranowski, Andy Fernando, Dave Slaughter</v>
      </c>
      <c r="K172" s="37" t="str">
        <f>IF(N39&gt;0,Stats!$B39,"")</f>
        <v/>
      </c>
      <c r="L172" s="37" t="str">
        <f t="shared" si="342"/>
        <v>Rob Collinge, Henry Collinge</v>
      </c>
      <c r="O172" s="37" t="str">
        <f>IF(R39&gt;0,Stats!$B39,"")</f>
        <v/>
      </c>
      <c r="P172" s="37" t="str">
        <f t="shared" si="343"/>
        <v>Dave Slaughter</v>
      </c>
      <c r="S172" s="37" t="str">
        <f>IF(V39&gt;0,Stats!$B39,"")</f>
        <v/>
      </c>
      <c r="T172" s="37" t="str">
        <f t="shared" si="344"/>
        <v>Simon Peach</v>
      </c>
      <c r="W172" s="37" t="str">
        <f>IF(Z39&gt;0,Stats!$B39,"")</f>
        <v/>
      </c>
      <c r="X172" s="37" t="str">
        <f t="shared" si="345"/>
        <v/>
      </c>
      <c r="AA172" s="37" t="str">
        <f>IF(AD39&gt;0,Stats!$B39,"")</f>
        <v/>
      </c>
      <c r="AB172" s="37" t="str">
        <f t="shared" si="346"/>
        <v>Simon Peach, Andy Booth</v>
      </c>
      <c r="AE172" s="37" t="str">
        <f>IF(AH39&gt;0,Stats!$B39,"")</f>
        <v/>
      </c>
      <c r="AF172" s="37" t="str">
        <f t="shared" si="347"/>
        <v>Buckers, Trevor Rogers</v>
      </c>
      <c r="AI172" s="37" t="str">
        <f>IF(AL39&gt;0,Stats!$B39,"")</f>
        <v/>
      </c>
      <c r="AJ172" s="37" t="str">
        <f t="shared" si="348"/>
        <v/>
      </c>
      <c r="AM172" s="37" t="str">
        <f>IF(AP39&gt;0,Stats!$B39,"")</f>
        <v/>
      </c>
      <c r="AN172" s="37" t="str">
        <f t="shared" si="349"/>
        <v/>
      </c>
      <c r="AQ172" s="37" t="str">
        <f>IF(AT39&gt;0,Stats!$B39,"")</f>
        <v/>
      </c>
      <c r="AR172" s="37" t="str">
        <f t="shared" si="350"/>
        <v/>
      </c>
      <c r="AU172" s="37" t="str">
        <f>IF(AX39&gt;0,Stats!$B39,"")</f>
        <v/>
      </c>
      <c r="AV172" s="37" t="str">
        <f t="shared" si="351"/>
        <v>Miles Whittle</v>
      </c>
      <c r="AY172" s="37" t="str">
        <f>IF(BB39&gt;0,Stats!$B39,"")</f>
        <v/>
      </c>
      <c r="AZ172" s="37" t="str">
        <f t="shared" si="352"/>
        <v>Dave Slaughter</v>
      </c>
      <c r="BC172" s="37" t="str">
        <f>IF(BF39&gt;0,Stats!$B39,"")</f>
        <v/>
      </c>
      <c r="BD172" s="37" t="str">
        <f t="shared" si="353"/>
        <v/>
      </c>
      <c r="BG172" s="37" t="str">
        <f>IF(BJ39&gt;0,Stats!$B39,"")</f>
        <v/>
      </c>
      <c r="BH172" s="37" t="str">
        <f t="shared" si="354"/>
        <v/>
      </c>
      <c r="BK172" s="37" t="str">
        <f>IF(BN39&gt;0,Stats!$B39,"")</f>
        <v/>
      </c>
      <c r="BL172" s="37" t="str">
        <f t="shared" si="355"/>
        <v/>
      </c>
      <c r="BO172" s="37" t="str">
        <f>IF(BR39&gt;0,Stats!$B39,"")</f>
        <v/>
      </c>
      <c r="BP172" s="37" t="str">
        <f t="shared" si="356"/>
        <v>Debbie Field</v>
      </c>
      <c r="BS172" s="37" t="str">
        <f>IF(BV39&gt;0,Stats!$B39,"")</f>
        <v/>
      </c>
      <c r="BT172" s="37" t="str">
        <f t="shared" si="357"/>
        <v>??Hillcroft Guy</v>
      </c>
      <c r="BW172" s="37" t="str">
        <f>IF(BZ39&gt;0,Stats!$B39,"")</f>
        <v/>
      </c>
      <c r="BX172" s="37" t="str">
        <f t="shared" si="358"/>
        <v>Gregg Urwin+Spencer</v>
      </c>
      <c r="CA172" s="37" t="str">
        <f>IF(CD39&gt;0,Stats!$B39,"")</f>
        <v/>
      </c>
      <c r="CB172" s="37" t="str">
        <f t="shared" si="359"/>
        <v>Ray Harry</v>
      </c>
      <c r="CE172" s="37" t="str">
        <f>IF(CH39&gt;0,Stats!$B39,"")</f>
        <v/>
      </c>
      <c r="CF172" s="37" t="str">
        <f t="shared" si="360"/>
        <v>James Kellam+EG</v>
      </c>
      <c r="CI172" s="37" t="str">
        <f>IF(CL39&gt;0,Stats!$B39,"")</f>
        <v/>
      </c>
      <c r="CJ172" s="37" t="str">
        <f t="shared" si="339"/>
        <v/>
      </c>
    </row>
    <row r="173" spans="5:88" s="37" customFormat="1" x14ac:dyDescent="0.2">
      <c r="E173" s="8">
        <f t="shared" si="340"/>
        <v>31</v>
      </c>
      <c r="G173" s="37" t="str">
        <f>IF(J40&gt;0,Stats!$B40,"")</f>
        <v/>
      </c>
      <c r="H173" s="37" t="str">
        <f t="shared" si="341"/>
        <v>Justin Baranowski, Andy Fernando, Dave Slaughter</v>
      </c>
      <c r="K173" s="37" t="str">
        <f>IF(N40&gt;0,Stats!$B40,"")</f>
        <v/>
      </c>
      <c r="L173" s="37" t="str">
        <f t="shared" si="342"/>
        <v>Rob Collinge, Henry Collinge</v>
      </c>
      <c r="O173" s="37" t="str">
        <f>IF(R40&gt;0,Stats!$B40,"")</f>
        <v/>
      </c>
      <c r="P173" s="37" t="str">
        <f t="shared" si="343"/>
        <v>Dave Slaughter</v>
      </c>
      <c r="S173" s="37" t="str">
        <f>IF(V40&gt;0,Stats!$B40,"")</f>
        <v/>
      </c>
      <c r="T173" s="37" t="str">
        <f t="shared" si="344"/>
        <v>Simon Peach</v>
      </c>
      <c r="W173" s="37" t="str">
        <f>IF(Z40&gt;0,Stats!$B40,"")</f>
        <v/>
      </c>
      <c r="X173" s="37" t="str">
        <f t="shared" si="345"/>
        <v/>
      </c>
      <c r="AA173" s="37" t="str">
        <f>IF(AD40&gt;0,Stats!$B40,"")</f>
        <v/>
      </c>
      <c r="AB173" s="37" t="str">
        <f t="shared" si="346"/>
        <v>Simon Peach, Andy Booth</v>
      </c>
      <c r="AE173" s="37" t="str">
        <f>IF(AH40&gt;0,Stats!$B40,"")</f>
        <v/>
      </c>
      <c r="AF173" s="37" t="str">
        <f t="shared" si="347"/>
        <v>Buckers, Trevor Rogers</v>
      </c>
      <c r="AI173" s="37" t="str">
        <f>IF(AL40&gt;0,Stats!$B40,"")</f>
        <v/>
      </c>
      <c r="AJ173" s="37" t="str">
        <f t="shared" si="348"/>
        <v/>
      </c>
      <c r="AM173" s="37" t="str">
        <f>IF(AP40&gt;0,Stats!$B40,"")</f>
        <v/>
      </c>
      <c r="AN173" s="37" t="str">
        <f t="shared" si="349"/>
        <v/>
      </c>
      <c r="AQ173" s="37" t="str">
        <f>IF(AT40&gt;0,Stats!$B40,"")</f>
        <v/>
      </c>
      <c r="AR173" s="37" t="str">
        <f t="shared" si="350"/>
        <v/>
      </c>
      <c r="AU173" s="37" t="str">
        <f>IF(AX40&gt;0,Stats!$B40,"")</f>
        <v/>
      </c>
      <c r="AV173" s="37" t="str">
        <f t="shared" si="351"/>
        <v>Miles Whittle</v>
      </c>
      <c r="AY173" s="37" t="str">
        <f>IF(BB40&gt;0,Stats!$B40,"")</f>
        <v/>
      </c>
      <c r="AZ173" s="37" t="str">
        <f t="shared" si="352"/>
        <v>Dave Slaughter</v>
      </c>
      <c r="BC173" s="37" t="str">
        <f>IF(BF40&gt;0,Stats!$B40,"")</f>
        <v/>
      </c>
      <c r="BD173" s="37" t="str">
        <f t="shared" si="353"/>
        <v/>
      </c>
      <c r="BG173" s="37" t="str">
        <f>IF(BJ40&gt;0,Stats!$B40,"")</f>
        <v/>
      </c>
      <c r="BH173" s="37" t="str">
        <f t="shared" si="354"/>
        <v/>
      </c>
      <c r="BK173" s="37" t="str">
        <f>IF(BN40&gt;0,Stats!$B40,"")</f>
        <v/>
      </c>
      <c r="BL173" s="37" t="str">
        <f t="shared" si="355"/>
        <v/>
      </c>
      <c r="BO173" s="37" t="str">
        <f>IF(BR40&gt;0,Stats!$B40,"")</f>
        <v/>
      </c>
      <c r="BP173" s="37" t="str">
        <f t="shared" si="356"/>
        <v>Debbie Field</v>
      </c>
      <c r="BS173" s="37" t="str">
        <f>IF(BV40&gt;0,Stats!$B40,"")</f>
        <v/>
      </c>
      <c r="BT173" s="37" t="str">
        <f t="shared" si="357"/>
        <v>??Hillcroft Guy</v>
      </c>
      <c r="BW173" s="37" t="str">
        <f>IF(BZ40&gt;0,Stats!$B40,"")</f>
        <v/>
      </c>
      <c r="BX173" s="37" t="str">
        <f t="shared" si="358"/>
        <v>Gregg Urwin+Spencer</v>
      </c>
      <c r="CA173" s="37" t="str">
        <f>IF(CD40&gt;0,Stats!$B40,"")</f>
        <v/>
      </c>
      <c r="CB173" s="37" t="str">
        <f t="shared" si="359"/>
        <v>Ray Harry</v>
      </c>
      <c r="CE173" s="37" t="str">
        <f>IF(CH40&gt;0,Stats!$B40,"")</f>
        <v/>
      </c>
      <c r="CF173" s="37" t="str">
        <f t="shared" si="360"/>
        <v>James Kellam+EG</v>
      </c>
      <c r="CI173" s="37" t="str">
        <f>IF(CL40&gt;0,Stats!$B40,"")</f>
        <v/>
      </c>
      <c r="CJ173" s="37" t="str">
        <f t="shared" si="339"/>
        <v/>
      </c>
    </row>
    <row r="174" spans="5:88" s="37" customFormat="1" x14ac:dyDescent="0.2">
      <c r="E174" s="8">
        <f t="shared" si="340"/>
        <v>32</v>
      </c>
      <c r="G174" s="37" t="str">
        <f>IF(J41&gt;0,Stats!$B41,"")</f>
        <v/>
      </c>
      <c r="H174" s="37" t="str">
        <f t="shared" si="341"/>
        <v>Justin Baranowski, Andy Fernando, Dave Slaughter</v>
      </c>
      <c r="K174" s="37" t="str">
        <f>IF(N41&gt;0,Stats!$B41,"")</f>
        <v/>
      </c>
      <c r="L174" s="37" t="str">
        <f t="shared" si="342"/>
        <v>Rob Collinge, Henry Collinge</v>
      </c>
      <c r="O174" s="37" t="str">
        <f>IF(R41&gt;0,Stats!$B41,"")</f>
        <v/>
      </c>
      <c r="P174" s="37" t="str">
        <f t="shared" si="343"/>
        <v>Dave Slaughter</v>
      </c>
      <c r="S174" s="37" t="str">
        <f>IF(V41&gt;0,Stats!$B41,"")</f>
        <v/>
      </c>
      <c r="T174" s="37" t="str">
        <f t="shared" si="344"/>
        <v>Simon Peach</v>
      </c>
      <c r="W174" s="37" t="str">
        <f>IF(Z41&gt;0,Stats!$B41,"")</f>
        <v/>
      </c>
      <c r="X174" s="37" t="str">
        <f t="shared" si="345"/>
        <v/>
      </c>
      <c r="AA174" s="37" t="str">
        <f>IF(AD41&gt;0,Stats!$B41,"")</f>
        <v/>
      </c>
      <c r="AB174" s="37" t="str">
        <f t="shared" si="346"/>
        <v>Simon Peach, Andy Booth</v>
      </c>
      <c r="AE174" s="37" t="str">
        <f>IF(AH41&gt;0,Stats!$B41,"")</f>
        <v/>
      </c>
      <c r="AF174" s="37" t="str">
        <f t="shared" si="347"/>
        <v>Buckers, Trevor Rogers</v>
      </c>
      <c r="AI174" s="37" t="str">
        <f>IF(AL41&gt;0,Stats!$B41,"")</f>
        <v/>
      </c>
      <c r="AJ174" s="37" t="str">
        <f t="shared" si="348"/>
        <v/>
      </c>
      <c r="AM174" s="37" t="str">
        <f>IF(AP41&gt;0,Stats!$B41,"")</f>
        <v/>
      </c>
      <c r="AN174" s="37" t="str">
        <f t="shared" si="349"/>
        <v/>
      </c>
      <c r="AQ174" s="37" t="str">
        <f>IF(AT41&gt;0,Stats!$B41,"")</f>
        <v/>
      </c>
      <c r="AR174" s="37" t="str">
        <f t="shared" si="350"/>
        <v/>
      </c>
      <c r="AU174" s="37" t="str">
        <f>IF(AX41&gt;0,Stats!$B41,"")</f>
        <v/>
      </c>
      <c r="AV174" s="37" t="str">
        <f t="shared" si="351"/>
        <v>Miles Whittle</v>
      </c>
      <c r="AY174" s="37" t="str">
        <f>IF(BB41&gt;0,Stats!$B41,"")</f>
        <v/>
      </c>
      <c r="AZ174" s="37" t="str">
        <f t="shared" si="352"/>
        <v>Dave Slaughter</v>
      </c>
      <c r="BC174" s="37" t="str">
        <f>IF(BF41&gt;0,Stats!$B41,"")</f>
        <v/>
      </c>
      <c r="BD174" s="37" t="str">
        <f t="shared" si="353"/>
        <v/>
      </c>
      <c r="BG174" s="37" t="str">
        <f>IF(BJ41&gt;0,Stats!$B41,"")</f>
        <v/>
      </c>
      <c r="BH174" s="37" t="str">
        <f t="shared" si="354"/>
        <v/>
      </c>
      <c r="BK174" s="37" t="str">
        <f>IF(BN41&gt;0,Stats!$B41,"")</f>
        <v/>
      </c>
      <c r="BL174" s="37" t="str">
        <f t="shared" si="355"/>
        <v/>
      </c>
      <c r="BO174" s="37" t="str">
        <f>IF(BR41&gt;0,Stats!$B41,"")</f>
        <v/>
      </c>
      <c r="BP174" s="37" t="str">
        <f t="shared" si="356"/>
        <v>Debbie Field</v>
      </c>
      <c r="BS174" s="37" t="str">
        <f>IF(BV41&gt;0,Stats!$B41,"")</f>
        <v/>
      </c>
      <c r="BT174" s="37" t="str">
        <f t="shared" si="357"/>
        <v>??Hillcroft Guy</v>
      </c>
      <c r="BW174" s="37" t="str">
        <f>IF(BZ41&gt;0,Stats!$B41,"")</f>
        <v/>
      </c>
      <c r="BX174" s="37" t="str">
        <f t="shared" si="358"/>
        <v>Gregg Urwin+Spencer</v>
      </c>
      <c r="CA174" s="37" t="str">
        <f>IF(CD41&gt;0,Stats!$B41,"")</f>
        <v/>
      </c>
      <c r="CB174" s="37" t="str">
        <f t="shared" si="359"/>
        <v>Ray Harry</v>
      </c>
      <c r="CE174" s="37" t="str">
        <f>IF(CH41&gt;0,Stats!$B41,"")</f>
        <v/>
      </c>
      <c r="CF174" s="37" t="str">
        <f t="shared" si="360"/>
        <v>James Kellam+EG</v>
      </c>
      <c r="CI174" s="37" t="str">
        <f>IF(CL41&gt;0,Stats!$B41,"")</f>
        <v/>
      </c>
      <c r="CJ174" s="37" t="str">
        <f t="shared" si="339"/>
        <v/>
      </c>
    </row>
    <row r="175" spans="5:88" s="37" customFormat="1" x14ac:dyDescent="0.2">
      <c r="E175" s="8">
        <f t="shared" si="340"/>
        <v>33</v>
      </c>
      <c r="G175" s="37" t="str">
        <f>IF(J42&gt;0,Stats!$B42,"")</f>
        <v/>
      </c>
      <c r="H175" s="37" t="str">
        <f t="shared" si="341"/>
        <v>Justin Baranowski, Andy Fernando, Dave Slaughter</v>
      </c>
      <c r="K175" s="37" t="str">
        <f>IF(N42&gt;0,Stats!$B42,"")</f>
        <v/>
      </c>
      <c r="L175" s="37" t="str">
        <f t="shared" si="342"/>
        <v>Rob Collinge, Henry Collinge</v>
      </c>
      <c r="O175" s="37" t="str">
        <f>IF(R42&gt;0,Stats!$B42,"")</f>
        <v/>
      </c>
      <c r="P175" s="37" t="str">
        <f t="shared" si="343"/>
        <v>Dave Slaughter</v>
      </c>
      <c r="S175" s="37" t="str">
        <f>IF(V42&gt;0,Stats!$B42,"")</f>
        <v/>
      </c>
      <c r="T175" s="37" t="str">
        <f t="shared" si="344"/>
        <v>Simon Peach</v>
      </c>
      <c r="W175" s="37" t="str">
        <f>IF(Z42&gt;0,Stats!$B42,"")</f>
        <v/>
      </c>
      <c r="X175" s="37" t="str">
        <f t="shared" si="345"/>
        <v/>
      </c>
      <c r="AA175" s="37" t="str">
        <f>IF(AD42&gt;0,Stats!$B42,"")</f>
        <v/>
      </c>
      <c r="AB175" s="37" t="str">
        <f t="shared" si="346"/>
        <v>Simon Peach, Andy Booth</v>
      </c>
      <c r="AE175" s="37" t="str">
        <f>IF(AH42&gt;0,Stats!$B42,"")</f>
        <v/>
      </c>
      <c r="AF175" s="37" t="str">
        <f t="shared" si="347"/>
        <v>Buckers, Trevor Rogers</v>
      </c>
      <c r="AI175" s="37" t="str">
        <f>IF(AL42&gt;0,Stats!$B42,"")</f>
        <v/>
      </c>
      <c r="AJ175" s="37" t="str">
        <f t="shared" si="348"/>
        <v/>
      </c>
      <c r="AM175" s="37" t="str">
        <f>IF(AP42&gt;0,Stats!$B42,"")</f>
        <v/>
      </c>
      <c r="AN175" s="37" t="str">
        <f t="shared" si="349"/>
        <v/>
      </c>
      <c r="AQ175" s="37" t="str">
        <f>IF(AT42&gt;0,Stats!$B42,"")</f>
        <v/>
      </c>
      <c r="AR175" s="37" t="str">
        <f t="shared" si="350"/>
        <v/>
      </c>
      <c r="AU175" s="37" t="str">
        <f>IF(AX42&gt;0,Stats!$B42,"")</f>
        <v/>
      </c>
      <c r="AV175" s="37" t="str">
        <f t="shared" si="351"/>
        <v>Miles Whittle</v>
      </c>
      <c r="AY175" s="37" t="str">
        <f>IF(BB42&gt;0,Stats!$B42,"")</f>
        <v/>
      </c>
      <c r="AZ175" s="37" t="str">
        <f t="shared" si="352"/>
        <v>Dave Slaughter</v>
      </c>
      <c r="BC175" s="37" t="str">
        <f>IF(BF42&gt;0,Stats!$B42,"")</f>
        <v/>
      </c>
      <c r="BD175" s="37" t="str">
        <f t="shared" si="353"/>
        <v/>
      </c>
      <c r="BG175" s="37" t="str">
        <f>IF(BJ42&gt;0,Stats!$B42,"")</f>
        <v/>
      </c>
      <c r="BH175" s="37" t="str">
        <f t="shared" si="354"/>
        <v/>
      </c>
      <c r="BK175" s="37" t="str">
        <f>IF(BN42&gt;0,Stats!$B42,"")</f>
        <v/>
      </c>
      <c r="BL175" s="37" t="str">
        <f t="shared" si="355"/>
        <v/>
      </c>
      <c r="BO175" s="37" t="str">
        <f>IF(BR42&gt;0,Stats!$B42,"")</f>
        <v/>
      </c>
      <c r="BP175" s="37" t="str">
        <f t="shared" si="356"/>
        <v>Debbie Field</v>
      </c>
      <c r="BS175" s="37" t="str">
        <f>IF(BV42&gt;0,Stats!$B42,"")</f>
        <v/>
      </c>
      <c r="BT175" s="37" t="str">
        <f t="shared" si="357"/>
        <v>??Hillcroft Guy</v>
      </c>
      <c r="BW175" s="37" t="str">
        <f>IF(BZ42&gt;0,Stats!$B42,"")</f>
        <v/>
      </c>
      <c r="BX175" s="37" t="str">
        <f t="shared" si="358"/>
        <v>Gregg Urwin+Spencer</v>
      </c>
      <c r="CA175" s="37" t="str">
        <f>IF(CD42&gt;0,Stats!$B42,"")</f>
        <v/>
      </c>
      <c r="CB175" s="37" t="str">
        <f t="shared" si="359"/>
        <v>Ray Harry</v>
      </c>
      <c r="CE175" s="37" t="str">
        <f>IF(CH42&gt;0,Stats!$B42,"")</f>
        <v/>
      </c>
      <c r="CF175" s="37" t="str">
        <f t="shared" si="360"/>
        <v>James Kellam+EG</v>
      </c>
      <c r="CI175" s="37" t="str">
        <f>IF(CL42&gt;0,Stats!$B42,"")</f>
        <v/>
      </c>
      <c r="CJ175" s="37" t="str">
        <f t="shared" si="339"/>
        <v/>
      </c>
    </row>
    <row r="176" spans="5:88" s="37" customFormat="1" x14ac:dyDescent="0.2">
      <c r="E176" s="8">
        <f t="shared" si="340"/>
        <v>34</v>
      </c>
      <c r="G176" s="37" t="str">
        <f>IF(J43&gt;0,Stats!$B43,"")</f>
        <v/>
      </c>
      <c r="H176" s="37" t="str">
        <f t="shared" si="341"/>
        <v>Justin Baranowski, Andy Fernando, Dave Slaughter</v>
      </c>
      <c r="K176" s="37" t="str">
        <f>IF(N43&gt;0,Stats!$B43,"")</f>
        <v/>
      </c>
      <c r="L176" s="37" t="str">
        <f t="shared" si="342"/>
        <v>Rob Collinge, Henry Collinge</v>
      </c>
      <c r="O176" s="37" t="str">
        <f>IF(R43&gt;0,Stats!$B43,"")</f>
        <v/>
      </c>
      <c r="P176" s="37" t="str">
        <f t="shared" si="343"/>
        <v>Dave Slaughter</v>
      </c>
      <c r="S176" s="37" t="str">
        <f>IF(V43&gt;0,Stats!$B43,"")</f>
        <v/>
      </c>
      <c r="T176" s="37" t="str">
        <f t="shared" si="344"/>
        <v>Simon Peach</v>
      </c>
      <c r="W176" s="37" t="str">
        <f>IF(Z43&gt;0,Stats!$B43,"")</f>
        <v/>
      </c>
      <c r="X176" s="37" t="str">
        <f t="shared" si="345"/>
        <v/>
      </c>
      <c r="AA176" s="37" t="str">
        <f>IF(AD43&gt;0,Stats!$B43,"")</f>
        <v/>
      </c>
      <c r="AB176" s="37" t="str">
        <f t="shared" si="346"/>
        <v>Simon Peach, Andy Booth</v>
      </c>
      <c r="AE176" s="37" t="str">
        <f>IF(AH43&gt;0,Stats!$B43,"")</f>
        <v/>
      </c>
      <c r="AF176" s="37" t="str">
        <f t="shared" si="347"/>
        <v>Buckers, Trevor Rogers</v>
      </c>
      <c r="AI176" s="37" t="str">
        <f>IF(AL43&gt;0,Stats!$B43,"")</f>
        <v/>
      </c>
      <c r="AJ176" s="37" t="str">
        <f t="shared" si="348"/>
        <v/>
      </c>
      <c r="AM176" s="37" t="str">
        <f>IF(AP43&gt;0,Stats!$B43,"")</f>
        <v/>
      </c>
      <c r="AN176" s="37" t="str">
        <f t="shared" si="349"/>
        <v/>
      </c>
      <c r="AQ176" s="37" t="str">
        <f>IF(AT43&gt;0,Stats!$B43,"")</f>
        <v/>
      </c>
      <c r="AR176" s="37" t="str">
        <f t="shared" si="350"/>
        <v/>
      </c>
      <c r="AU176" s="37" t="str">
        <f>IF(AX43&gt;0,Stats!$B43,"")</f>
        <v/>
      </c>
      <c r="AV176" s="37" t="str">
        <f t="shared" si="351"/>
        <v>Miles Whittle</v>
      </c>
      <c r="AY176" s="37" t="str">
        <f>IF(BB43&gt;0,Stats!$B43,"")</f>
        <v/>
      </c>
      <c r="AZ176" s="37" t="str">
        <f t="shared" si="352"/>
        <v>Dave Slaughter</v>
      </c>
      <c r="BC176" s="37" t="str">
        <f>IF(BF43&gt;0,Stats!$B43,"")</f>
        <v/>
      </c>
      <c r="BD176" s="37" t="str">
        <f t="shared" si="353"/>
        <v/>
      </c>
      <c r="BG176" s="37" t="str">
        <f>IF(BJ43&gt;0,Stats!$B43,"")</f>
        <v/>
      </c>
      <c r="BH176" s="37" t="str">
        <f t="shared" si="354"/>
        <v/>
      </c>
      <c r="BK176" s="37" t="str">
        <f>IF(BN43&gt;0,Stats!$B43,"")</f>
        <v/>
      </c>
      <c r="BL176" s="37" t="str">
        <f t="shared" si="355"/>
        <v/>
      </c>
      <c r="BO176" s="37" t="str">
        <f>IF(BR43&gt;0,Stats!$B43,"")</f>
        <v/>
      </c>
      <c r="BP176" s="37" t="str">
        <f t="shared" si="356"/>
        <v>Debbie Field</v>
      </c>
      <c r="BS176" s="37" t="str">
        <f>IF(BV43&gt;0,Stats!$B43,"")</f>
        <v/>
      </c>
      <c r="BT176" s="37" t="str">
        <f t="shared" si="357"/>
        <v>??Hillcroft Guy</v>
      </c>
      <c r="BW176" s="37" t="str">
        <f>IF(BZ43&gt;0,Stats!$B43,"")</f>
        <v/>
      </c>
      <c r="BX176" s="37" t="str">
        <f t="shared" si="358"/>
        <v>Gregg Urwin+Spencer</v>
      </c>
      <c r="CA176" s="37" t="str">
        <f>IF(CD43&gt;0,Stats!$B43,"")</f>
        <v/>
      </c>
      <c r="CB176" s="37" t="str">
        <f t="shared" si="359"/>
        <v>Ray Harry</v>
      </c>
      <c r="CE176" s="37" t="str">
        <f>IF(CH43&gt;0,Stats!$B43,"")</f>
        <v/>
      </c>
      <c r="CF176" s="37" t="str">
        <f t="shared" si="360"/>
        <v>James Kellam+EG</v>
      </c>
      <c r="CI176" s="37" t="str">
        <f>IF(CL43&gt;0,Stats!$B43,"")</f>
        <v/>
      </c>
      <c r="CJ176" s="37" t="str">
        <f t="shared" si="339"/>
        <v/>
      </c>
    </row>
    <row r="177" spans="5:88" s="37" customFormat="1" x14ac:dyDescent="0.2">
      <c r="E177" s="8">
        <f t="shared" si="340"/>
        <v>35</v>
      </c>
      <c r="G177" s="37" t="str">
        <f>IF(J44&gt;0,Stats!$B44,"")</f>
        <v/>
      </c>
      <c r="H177" s="37" t="str">
        <f t="shared" si="341"/>
        <v>Justin Baranowski, Andy Fernando, Dave Slaughter</v>
      </c>
      <c r="K177" s="37" t="str">
        <f>IF(N44&gt;0,Stats!$B44,"")</f>
        <v/>
      </c>
      <c r="L177" s="37" t="str">
        <f t="shared" si="342"/>
        <v>Rob Collinge, Henry Collinge</v>
      </c>
      <c r="O177" s="37" t="str">
        <f>IF(R44&gt;0,Stats!$B44,"")</f>
        <v/>
      </c>
      <c r="P177" s="37" t="str">
        <f t="shared" si="343"/>
        <v>Dave Slaughter</v>
      </c>
      <c r="S177" s="37" t="str">
        <f>IF(V44&gt;0,Stats!$B44,"")</f>
        <v/>
      </c>
      <c r="T177" s="37" t="str">
        <f t="shared" si="344"/>
        <v>Simon Peach</v>
      </c>
      <c r="W177" s="37" t="str">
        <f>IF(Z44&gt;0,Stats!$B44,"")</f>
        <v/>
      </c>
      <c r="X177" s="37" t="str">
        <f t="shared" si="345"/>
        <v/>
      </c>
      <c r="AA177" s="37" t="str">
        <f>IF(AD44&gt;0,Stats!$B44,"")</f>
        <v/>
      </c>
      <c r="AB177" s="37" t="str">
        <f t="shared" si="346"/>
        <v>Simon Peach, Andy Booth</v>
      </c>
      <c r="AE177" s="37" t="str">
        <f>IF(AH44&gt;0,Stats!$B44,"")</f>
        <v/>
      </c>
      <c r="AF177" s="37" t="str">
        <f t="shared" si="347"/>
        <v>Buckers, Trevor Rogers</v>
      </c>
      <c r="AI177" s="37" t="str">
        <f>IF(AL44&gt;0,Stats!$B44,"")</f>
        <v/>
      </c>
      <c r="AJ177" s="37" t="str">
        <f t="shared" si="348"/>
        <v/>
      </c>
      <c r="AM177" s="37" t="str">
        <f>IF(AP44&gt;0,Stats!$B44,"")</f>
        <v/>
      </c>
      <c r="AN177" s="37" t="str">
        <f t="shared" si="349"/>
        <v/>
      </c>
      <c r="AQ177" s="37" t="str">
        <f>IF(AT44&gt;0,Stats!$B44,"")</f>
        <v/>
      </c>
      <c r="AR177" s="37" t="str">
        <f t="shared" si="350"/>
        <v/>
      </c>
      <c r="AU177" s="37" t="str">
        <f>IF(AX44&gt;0,Stats!$B44,"")</f>
        <v/>
      </c>
      <c r="AV177" s="37" t="str">
        <f t="shared" si="351"/>
        <v>Miles Whittle</v>
      </c>
      <c r="AY177" s="37" t="str">
        <f>IF(BB44&gt;0,Stats!$B44,"")</f>
        <v/>
      </c>
      <c r="AZ177" s="37" t="str">
        <f t="shared" si="352"/>
        <v>Dave Slaughter</v>
      </c>
      <c r="BC177" s="37" t="str">
        <f>IF(BF44&gt;0,Stats!$B44,"")</f>
        <v/>
      </c>
      <c r="BD177" s="37" t="str">
        <f t="shared" si="353"/>
        <v/>
      </c>
      <c r="BG177" s="37" t="str">
        <f>IF(BJ44&gt;0,Stats!$B44,"")</f>
        <v/>
      </c>
      <c r="BH177" s="37" t="str">
        <f t="shared" si="354"/>
        <v/>
      </c>
      <c r="BK177" s="37" t="str">
        <f>IF(BN44&gt;0,Stats!$B44,"")</f>
        <v/>
      </c>
      <c r="BL177" s="37" t="str">
        <f t="shared" si="355"/>
        <v/>
      </c>
      <c r="BO177" s="37" t="str">
        <f>IF(BR44&gt;0,Stats!$B44,"")</f>
        <v/>
      </c>
      <c r="BP177" s="37" t="str">
        <f t="shared" si="356"/>
        <v>Debbie Field</v>
      </c>
      <c r="BS177" s="37" t="str">
        <f>IF(BV44&gt;0,Stats!$B44,"")</f>
        <v/>
      </c>
      <c r="BT177" s="37" t="str">
        <f t="shared" si="357"/>
        <v>??Hillcroft Guy</v>
      </c>
      <c r="BW177" s="37" t="str">
        <f>IF(BZ44&gt;0,Stats!$B44,"")</f>
        <v/>
      </c>
      <c r="BX177" s="37" t="str">
        <f t="shared" si="358"/>
        <v>Gregg Urwin+Spencer</v>
      </c>
      <c r="CA177" s="37" t="str">
        <f>IF(CD44&gt;0,Stats!$B44,"")</f>
        <v/>
      </c>
      <c r="CB177" s="37" t="str">
        <f t="shared" si="359"/>
        <v>Ray Harry</v>
      </c>
      <c r="CE177" s="37" t="str">
        <f>IF(CH44&gt;0,Stats!$B44,"")</f>
        <v/>
      </c>
      <c r="CF177" s="37" t="str">
        <f t="shared" si="360"/>
        <v>James Kellam+EG</v>
      </c>
      <c r="CI177" s="37" t="str">
        <f>IF(CL44&gt;0,Stats!$B44,"")</f>
        <v/>
      </c>
      <c r="CJ177" s="37" t="str">
        <f t="shared" si="339"/>
        <v/>
      </c>
    </row>
    <row r="178" spans="5:88" s="37" customFormat="1" x14ac:dyDescent="0.2">
      <c r="E178" s="8">
        <f t="shared" si="340"/>
        <v>36</v>
      </c>
      <c r="G178" s="37" t="str">
        <f>IF(J45&gt;0,Stats!$B45,"")</f>
        <v/>
      </c>
      <c r="H178" s="37" t="str">
        <f t="shared" si="341"/>
        <v>Justin Baranowski, Andy Fernando, Dave Slaughter</v>
      </c>
      <c r="K178" s="37" t="str">
        <f>IF(N45&gt;0,Stats!$B45,"")</f>
        <v/>
      </c>
      <c r="L178" s="37" t="str">
        <f t="shared" si="342"/>
        <v>Rob Collinge, Henry Collinge</v>
      </c>
      <c r="O178" s="37" t="str">
        <f>IF(R45&gt;0,Stats!$B45,"")</f>
        <v/>
      </c>
      <c r="P178" s="37" t="str">
        <f t="shared" si="343"/>
        <v>Dave Slaughter</v>
      </c>
      <c r="S178" s="37" t="str">
        <f>IF(V45&gt;0,Stats!$B45,"")</f>
        <v/>
      </c>
      <c r="T178" s="37" t="str">
        <f t="shared" si="344"/>
        <v>Simon Peach</v>
      </c>
      <c r="W178" s="37" t="str">
        <f>IF(Z45&gt;0,Stats!$B45,"")</f>
        <v/>
      </c>
      <c r="X178" s="37" t="str">
        <f t="shared" si="345"/>
        <v/>
      </c>
      <c r="AA178" s="37" t="str">
        <f>IF(AD45&gt;0,Stats!$B45,"")</f>
        <v/>
      </c>
      <c r="AB178" s="37" t="str">
        <f t="shared" si="346"/>
        <v>Simon Peach, Andy Booth</v>
      </c>
      <c r="AE178" s="37" t="str">
        <f>IF(AH45&gt;0,Stats!$B45,"")</f>
        <v/>
      </c>
      <c r="AF178" s="37" t="str">
        <f t="shared" si="347"/>
        <v>Buckers, Trevor Rogers</v>
      </c>
      <c r="AI178" s="37" t="str">
        <f>IF(AL45&gt;0,Stats!$B45,"")</f>
        <v/>
      </c>
      <c r="AJ178" s="37" t="str">
        <f t="shared" si="348"/>
        <v/>
      </c>
      <c r="AM178" s="37" t="str">
        <f>IF(AP45&gt;0,Stats!$B45,"")</f>
        <v/>
      </c>
      <c r="AN178" s="37" t="str">
        <f t="shared" si="349"/>
        <v/>
      </c>
      <c r="AQ178" s="37" t="str">
        <f>IF(AT45&gt;0,Stats!$B45,"")</f>
        <v/>
      </c>
      <c r="AR178" s="37" t="str">
        <f t="shared" si="350"/>
        <v/>
      </c>
      <c r="AU178" s="37" t="str">
        <f>IF(AX45&gt;0,Stats!$B45,"")</f>
        <v/>
      </c>
      <c r="AV178" s="37" t="str">
        <f t="shared" si="351"/>
        <v>Miles Whittle</v>
      </c>
      <c r="AY178" s="37" t="str">
        <f>IF(BB45&gt;0,Stats!$B45,"")</f>
        <v/>
      </c>
      <c r="AZ178" s="37" t="str">
        <f t="shared" si="352"/>
        <v>Dave Slaughter</v>
      </c>
      <c r="BC178" s="37" t="str">
        <f>IF(BF45&gt;0,Stats!$B45,"")</f>
        <v/>
      </c>
      <c r="BD178" s="37" t="str">
        <f t="shared" si="353"/>
        <v/>
      </c>
      <c r="BG178" s="37" t="str">
        <f>IF(BJ45&gt;0,Stats!$B45,"")</f>
        <v/>
      </c>
      <c r="BH178" s="37" t="str">
        <f t="shared" si="354"/>
        <v/>
      </c>
      <c r="BK178" s="37" t="str">
        <f>IF(BN45&gt;0,Stats!$B45,"")</f>
        <v/>
      </c>
      <c r="BL178" s="37" t="str">
        <f t="shared" si="355"/>
        <v/>
      </c>
      <c r="BO178" s="37" t="str">
        <f>IF(BR45&gt;0,Stats!$B45,"")</f>
        <v/>
      </c>
      <c r="BP178" s="37" t="str">
        <f t="shared" si="356"/>
        <v>Debbie Field</v>
      </c>
      <c r="BS178" s="37" t="str">
        <f>IF(BV45&gt;0,Stats!$B45,"")</f>
        <v/>
      </c>
      <c r="BT178" s="37" t="str">
        <f t="shared" si="357"/>
        <v>??Hillcroft Guy</v>
      </c>
      <c r="BW178" s="37" t="str">
        <f>IF(BZ45&gt;0,Stats!$B45,"")</f>
        <v/>
      </c>
      <c r="BX178" s="37" t="str">
        <f t="shared" si="358"/>
        <v>Gregg Urwin+Spencer</v>
      </c>
      <c r="CA178" s="37" t="str">
        <f>IF(CD45&gt;0,Stats!$B45,"")</f>
        <v/>
      </c>
      <c r="CB178" s="37" t="str">
        <f t="shared" si="359"/>
        <v>Ray Harry</v>
      </c>
      <c r="CE178" s="37" t="str">
        <f>IF(CH45&gt;0,Stats!$B45,"")</f>
        <v/>
      </c>
      <c r="CF178" s="37" t="str">
        <f t="shared" si="360"/>
        <v>James Kellam+EG</v>
      </c>
      <c r="CI178" s="37" t="str">
        <f>IF(CL45&gt;0,Stats!$B45,"")</f>
        <v/>
      </c>
      <c r="CJ178" s="37" t="str">
        <f t="shared" si="339"/>
        <v/>
      </c>
    </row>
    <row r="179" spans="5:88" s="37" customFormat="1" x14ac:dyDescent="0.2">
      <c r="E179" s="8">
        <f t="shared" si="340"/>
        <v>37</v>
      </c>
      <c r="G179" s="37" t="str">
        <f>IF(J46&gt;0,Stats!$B46,"")</f>
        <v/>
      </c>
      <c r="H179" s="37" t="str">
        <f t="shared" si="341"/>
        <v>Justin Baranowski, Andy Fernando, Dave Slaughter</v>
      </c>
      <c r="K179" s="37" t="str">
        <f>IF(N46&gt;0,Stats!$B46,"")</f>
        <v/>
      </c>
      <c r="L179" s="37" t="str">
        <f t="shared" si="342"/>
        <v>Rob Collinge, Henry Collinge</v>
      </c>
      <c r="O179" s="37" t="str">
        <f>IF(R46&gt;0,Stats!$B46,"")</f>
        <v/>
      </c>
      <c r="P179" s="37" t="str">
        <f t="shared" si="343"/>
        <v>Dave Slaughter</v>
      </c>
      <c r="S179" s="37" t="str">
        <f>IF(V46&gt;0,Stats!$B46,"")</f>
        <v/>
      </c>
      <c r="T179" s="37" t="str">
        <f t="shared" si="344"/>
        <v>Simon Peach</v>
      </c>
      <c r="W179" s="37" t="str">
        <f>IF(Z46&gt;0,Stats!$B46,"")</f>
        <v/>
      </c>
      <c r="X179" s="37" t="str">
        <f t="shared" si="345"/>
        <v/>
      </c>
      <c r="AA179" s="37" t="str">
        <f>IF(AD46&gt;0,Stats!$B46,"")</f>
        <v/>
      </c>
      <c r="AB179" s="37" t="str">
        <f t="shared" si="346"/>
        <v>Simon Peach, Andy Booth</v>
      </c>
      <c r="AE179" s="37" t="str">
        <f>IF(AH46&gt;0,Stats!$B46,"")</f>
        <v/>
      </c>
      <c r="AF179" s="37" t="str">
        <f t="shared" si="347"/>
        <v>Buckers, Trevor Rogers</v>
      </c>
      <c r="AI179" s="37" t="str">
        <f>IF(AL46&gt;0,Stats!$B46,"")</f>
        <v/>
      </c>
      <c r="AJ179" s="37" t="str">
        <f t="shared" si="348"/>
        <v/>
      </c>
      <c r="AM179" s="37" t="str">
        <f>IF(AP46&gt;0,Stats!$B46,"")</f>
        <v/>
      </c>
      <c r="AN179" s="37" t="str">
        <f t="shared" si="349"/>
        <v/>
      </c>
      <c r="AQ179" s="37" t="str">
        <f>IF(AT46&gt;0,Stats!$B46,"")</f>
        <v/>
      </c>
      <c r="AR179" s="37" t="str">
        <f t="shared" si="350"/>
        <v/>
      </c>
      <c r="AU179" s="37" t="str">
        <f>IF(AX46&gt;0,Stats!$B46,"")</f>
        <v/>
      </c>
      <c r="AV179" s="37" t="str">
        <f t="shared" si="351"/>
        <v>Miles Whittle</v>
      </c>
      <c r="AY179" s="37" t="str">
        <f>IF(BB46&gt;0,Stats!$B46,"")</f>
        <v/>
      </c>
      <c r="AZ179" s="37" t="str">
        <f t="shared" si="352"/>
        <v>Dave Slaughter</v>
      </c>
      <c r="BC179" s="37" t="str">
        <f>IF(BF46&gt;0,Stats!$B46,"")</f>
        <v/>
      </c>
      <c r="BD179" s="37" t="str">
        <f t="shared" si="353"/>
        <v/>
      </c>
      <c r="BG179" s="37" t="str">
        <f>IF(BJ46&gt;0,Stats!$B46,"")</f>
        <v/>
      </c>
      <c r="BH179" s="37" t="str">
        <f t="shared" si="354"/>
        <v/>
      </c>
      <c r="BK179" s="37" t="str">
        <f>IF(BN46&gt;0,Stats!$B46,"")</f>
        <v/>
      </c>
      <c r="BL179" s="37" t="str">
        <f t="shared" si="355"/>
        <v/>
      </c>
      <c r="BO179" s="37" t="str">
        <f>IF(BR46&gt;0,Stats!$B46,"")</f>
        <v/>
      </c>
      <c r="BP179" s="37" t="str">
        <f t="shared" si="356"/>
        <v>Debbie Field</v>
      </c>
      <c r="BS179" s="37" t="str">
        <f>IF(BV46&gt;0,Stats!$B46,"")</f>
        <v/>
      </c>
      <c r="BT179" s="37" t="str">
        <f t="shared" si="357"/>
        <v>??Hillcroft Guy</v>
      </c>
      <c r="BW179" s="37" t="str">
        <f>IF(BZ46&gt;0,Stats!$B46,"")</f>
        <v/>
      </c>
      <c r="BX179" s="37" t="str">
        <f t="shared" si="358"/>
        <v>Gregg Urwin+Spencer</v>
      </c>
      <c r="CA179" s="37" t="str">
        <f>IF(CD46&gt;0,Stats!$B46,"")</f>
        <v/>
      </c>
      <c r="CB179" s="37" t="str">
        <f t="shared" si="359"/>
        <v>Ray Harry</v>
      </c>
      <c r="CE179" s="37" t="str">
        <f>IF(CH46&gt;0,Stats!$B46,"")</f>
        <v/>
      </c>
      <c r="CF179" s="37" t="str">
        <f t="shared" si="360"/>
        <v>James Kellam+EG</v>
      </c>
      <c r="CI179" s="37" t="str">
        <f>IF(CL46&gt;0,Stats!$B46,"")</f>
        <v/>
      </c>
      <c r="CJ179" s="37" t="str">
        <f t="shared" si="339"/>
        <v/>
      </c>
    </row>
    <row r="180" spans="5:88" s="37" customFormat="1" x14ac:dyDescent="0.2">
      <c r="E180" s="8">
        <f t="shared" si="340"/>
        <v>38</v>
      </c>
      <c r="G180" s="37" t="str">
        <f>IF(J47&gt;0,Stats!$B47,"")</f>
        <v/>
      </c>
      <c r="H180" s="37" t="str">
        <f t="shared" si="341"/>
        <v>Justin Baranowski, Andy Fernando, Dave Slaughter</v>
      </c>
      <c r="K180" s="37" t="str">
        <f>IF(N47&gt;0,Stats!$B47,"")</f>
        <v/>
      </c>
      <c r="L180" s="37" t="str">
        <f t="shared" si="342"/>
        <v>Rob Collinge, Henry Collinge</v>
      </c>
      <c r="O180" s="37" t="str">
        <f>IF(R47&gt;0,Stats!$B47,"")</f>
        <v/>
      </c>
      <c r="P180" s="37" t="str">
        <f t="shared" si="343"/>
        <v>Dave Slaughter</v>
      </c>
      <c r="S180" s="37" t="str">
        <f>IF(V47&gt;0,Stats!$B47,"")</f>
        <v/>
      </c>
      <c r="T180" s="37" t="str">
        <f t="shared" si="344"/>
        <v>Simon Peach</v>
      </c>
      <c r="W180" s="37" t="str">
        <f>IF(Z47&gt;0,Stats!$B47,"")</f>
        <v/>
      </c>
      <c r="X180" s="37" t="str">
        <f t="shared" si="345"/>
        <v/>
      </c>
      <c r="AA180" s="37" t="str">
        <f>IF(AD47&gt;0,Stats!$B47,"")</f>
        <v/>
      </c>
      <c r="AB180" s="37" t="str">
        <f t="shared" si="346"/>
        <v>Simon Peach, Andy Booth</v>
      </c>
      <c r="AE180" s="37" t="str">
        <f>IF(AH47&gt;0,Stats!$B47,"")</f>
        <v/>
      </c>
      <c r="AF180" s="37" t="str">
        <f t="shared" si="347"/>
        <v>Buckers, Trevor Rogers</v>
      </c>
      <c r="AI180" s="37" t="str">
        <f>IF(AL47&gt;0,Stats!$B47,"")</f>
        <v/>
      </c>
      <c r="AJ180" s="37" t="str">
        <f t="shared" si="348"/>
        <v/>
      </c>
      <c r="AM180" s="37" t="str">
        <f>IF(AP47&gt;0,Stats!$B47,"")</f>
        <v/>
      </c>
      <c r="AN180" s="37" t="str">
        <f t="shared" si="349"/>
        <v/>
      </c>
      <c r="AQ180" s="37" t="str">
        <f>IF(AT47&gt;0,Stats!$B47,"")</f>
        <v/>
      </c>
      <c r="AR180" s="37" t="str">
        <f t="shared" si="350"/>
        <v/>
      </c>
      <c r="AU180" s="37" t="str">
        <f>IF(AX47&gt;0,Stats!$B47,"")</f>
        <v/>
      </c>
      <c r="AV180" s="37" t="str">
        <f t="shared" si="351"/>
        <v>Miles Whittle</v>
      </c>
      <c r="AY180" s="37" t="str">
        <f>IF(BB47&gt;0,Stats!$B47,"")</f>
        <v/>
      </c>
      <c r="AZ180" s="37" t="str">
        <f t="shared" si="352"/>
        <v>Dave Slaughter</v>
      </c>
      <c r="BC180" s="37" t="str">
        <f>IF(BF47&gt;0,Stats!$B47,"")</f>
        <v/>
      </c>
      <c r="BD180" s="37" t="str">
        <f t="shared" si="353"/>
        <v/>
      </c>
      <c r="BG180" s="37" t="str">
        <f>IF(BJ47&gt;0,Stats!$B47,"")</f>
        <v/>
      </c>
      <c r="BH180" s="37" t="str">
        <f t="shared" si="354"/>
        <v/>
      </c>
      <c r="BK180" s="37" t="str">
        <f>IF(BN47&gt;0,Stats!$B47,"")</f>
        <v/>
      </c>
      <c r="BL180" s="37" t="str">
        <f t="shared" si="355"/>
        <v/>
      </c>
      <c r="BO180" s="37" t="str">
        <f>IF(BR47&gt;0,Stats!$B47,"")</f>
        <v/>
      </c>
      <c r="BP180" s="37" t="str">
        <f t="shared" si="356"/>
        <v>Debbie Field</v>
      </c>
      <c r="BS180" s="37" t="str">
        <f>IF(BV47&gt;0,Stats!$B47,"")</f>
        <v/>
      </c>
      <c r="BT180" s="37" t="str">
        <f t="shared" si="357"/>
        <v>??Hillcroft Guy</v>
      </c>
      <c r="BW180" s="37" t="str">
        <f>IF(BZ47&gt;0,Stats!$B47,"")</f>
        <v/>
      </c>
      <c r="BX180" s="37" t="str">
        <f t="shared" si="358"/>
        <v>Gregg Urwin+Spencer</v>
      </c>
      <c r="CA180" s="37" t="str">
        <f>IF(CD47&gt;0,Stats!$B47,"")</f>
        <v/>
      </c>
      <c r="CB180" s="37" t="str">
        <f t="shared" si="359"/>
        <v>Ray Harry</v>
      </c>
      <c r="CE180" s="37" t="str">
        <f>IF(CH47&gt;0,Stats!$B47,"")</f>
        <v/>
      </c>
      <c r="CF180" s="37" t="str">
        <f t="shared" si="360"/>
        <v>James Kellam+EG</v>
      </c>
      <c r="CI180" s="37" t="str">
        <f>IF(CL47&gt;0,Stats!$B47,"")</f>
        <v/>
      </c>
      <c r="CJ180" s="37" t="str">
        <f t="shared" si="339"/>
        <v/>
      </c>
    </row>
    <row r="181" spans="5:88" s="37" customFormat="1" x14ac:dyDescent="0.2">
      <c r="E181" s="8">
        <f t="shared" si="340"/>
        <v>39</v>
      </c>
      <c r="G181" s="37" t="str">
        <f>IF(J48&gt;0,Stats!$B48,"")</f>
        <v/>
      </c>
      <c r="H181" s="37" t="str">
        <f t="shared" si="341"/>
        <v>Justin Baranowski, Andy Fernando, Dave Slaughter</v>
      </c>
      <c r="K181" s="37" t="str">
        <f>IF(N48&gt;0,Stats!$B48,"")</f>
        <v/>
      </c>
      <c r="L181" s="37" t="str">
        <f t="shared" si="342"/>
        <v>Rob Collinge, Henry Collinge</v>
      </c>
      <c r="O181" s="37" t="str">
        <f>IF(R48&gt;0,Stats!$B48,"")</f>
        <v/>
      </c>
      <c r="P181" s="37" t="str">
        <f t="shared" si="343"/>
        <v>Dave Slaughter</v>
      </c>
      <c r="S181" s="37" t="str">
        <f>IF(V48&gt;0,Stats!$B48,"")</f>
        <v/>
      </c>
      <c r="T181" s="37" t="str">
        <f t="shared" si="344"/>
        <v>Simon Peach</v>
      </c>
      <c r="W181" s="37" t="str">
        <f>IF(Z48&gt;0,Stats!$B48,"")</f>
        <v/>
      </c>
      <c r="X181" s="37" t="str">
        <f t="shared" si="345"/>
        <v/>
      </c>
      <c r="AA181" s="37" t="str">
        <f>IF(AD48&gt;0,Stats!$B48,"")</f>
        <v/>
      </c>
      <c r="AB181" s="37" t="str">
        <f t="shared" si="346"/>
        <v>Simon Peach, Andy Booth</v>
      </c>
      <c r="AE181" s="37" t="str">
        <f>IF(AH48&gt;0,Stats!$B48,"")</f>
        <v/>
      </c>
      <c r="AF181" s="37" t="str">
        <f t="shared" si="347"/>
        <v>Buckers, Trevor Rogers</v>
      </c>
      <c r="AI181" s="37" t="str">
        <f>IF(AL48&gt;0,Stats!$B48,"")</f>
        <v/>
      </c>
      <c r="AJ181" s="37" t="str">
        <f t="shared" si="348"/>
        <v/>
      </c>
      <c r="AM181" s="37" t="str">
        <f>IF(AP48&gt;0,Stats!$B48,"")</f>
        <v/>
      </c>
      <c r="AN181" s="37" t="str">
        <f t="shared" si="349"/>
        <v/>
      </c>
      <c r="AQ181" s="37" t="str">
        <f>IF(AT48&gt;0,Stats!$B48,"")</f>
        <v/>
      </c>
      <c r="AR181" s="37" t="str">
        <f t="shared" si="350"/>
        <v/>
      </c>
      <c r="AU181" s="37" t="str">
        <f>IF(AX48&gt;0,Stats!$B48,"")</f>
        <v/>
      </c>
      <c r="AV181" s="37" t="str">
        <f t="shared" si="351"/>
        <v>Miles Whittle</v>
      </c>
      <c r="AY181" s="37" t="str">
        <f>IF(BB48&gt;0,Stats!$B48,"")</f>
        <v/>
      </c>
      <c r="AZ181" s="37" t="str">
        <f t="shared" si="352"/>
        <v>Dave Slaughter</v>
      </c>
      <c r="BC181" s="37" t="str">
        <f>IF(BF48&gt;0,Stats!$B48,"")</f>
        <v/>
      </c>
      <c r="BD181" s="37" t="str">
        <f t="shared" si="353"/>
        <v/>
      </c>
      <c r="BG181" s="37" t="str">
        <f>IF(BJ48&gt;0,Stats!$B48,"")</f>
        <v/>
      </c>
      <c r="BH181" s="37" t="str">
        <f t="shared" si="354"/>
        <v/>
      </c>
      <c r="BK181" s="37" t="str">
        <f>IF(BN48&gt;0,Stats!$B48,"")</f>
        <v/>
      </c>
      <c r="BL181" s="37" t="str">
        <f t="shared" si="355"/>
        <v/>
      </c>
      <c r="BO181" s="37" t="str">
        <f>IF(BR48&gt;0,Stats!$B48,"")</f>
        <v/>
      </c>
      <c r="BP181" s="37" t="str">
        <f t="shared" si="356"/>
        <v>Debbie Field</v>
      </c>
      <c r="BS181" s="37" t="str">
        <f>IF(BV48&gt;0,Stats!$B48,"")</f>
        <v/>
      </c>
      <c r="BT181" s="37" t="str">
        <f t="shared" si="357"/>
        <v>??Hillcroft Guy</v>
      </c>
      <c r="BW181" s="37" t="str">
        <f>IF(BZ48&gt;0,Stats!$B48,"")</f>
        <v/>
      </c>
      <c r="BX181" s="37" t="str">
        <f t="shared" si="358"/>
        <v>Gregg Urwin+Spencer</v>
      </c>
      <c r="CA181" s="37" t="str">
        <f>IF(CD48&gt;0,Stats!$B48,"")</f>
        <v/>
      </c>
      <c r="CB181" s="37" t="str">
        <f t="shared" si="359"/>
        <v>Ray Harry</v>
      </c>
      <c r="CE181" s="37" t="str">
        <f>IF(CH48&gt;0,Stats!$B48,"")</f>
        <v/>
      </c>
      <c r="CF181" s="37" t="str">
        <f t="shared" si="360"/>
        <v>James Kellam+EG</v>
      </c>
      <c r="CI181" s="37" t="str">
        <f>IF(CL48&gt;0,Stats!$B48,"")</f>
        <v/>
      </c>
      <c r="CJ181" s="37" t="str">
        <f t="shared" si="339"/>
        <v/>
      </c>
    </row>
    <row r="182" spans="5:88" s="37" customFormat="1" x14ac:dyDescent="0.2">
      <c r="E182" s="8">
        <f t="shared" si="340"/>
        <v>40</v>
      </c>
      <c r="G182" s="37" t="str">
        <f>IF(J49&gt;0,Stats!$B49,"")</f>
        <v/>
      </c>
      <c r="H182" s="37" t="str">
        <f t="shared" si="341"/>
        <v>Justin Baranowski, Andy Fernando, Dave Slaughter</v>
      </c>
      <c r="K182" s="37" t="str">
        <f>IF(N49&gt;0,Stats!$B49,"")</f>
        <v/>
      </c>
      <c r="L182" s="37" t="str">
        <f t="shared" si="342"/>
        <v>Rob Collinge, Henry Collinge</v>
      </c>
      <c r="O182" s="37" t="str">
        <f>IF(R49&gt;0,Stats!$B49,"")</f>
        <v/>
      </c>
      <c r="P182" s="37" t="str">
        <f t="shared" si="343"/>
        <v>Dave Slaughter</v>
      </c>
      <c r="S182" s="37" t="str">
        <f>IF(V49&gt;0,Stats!$B49,"")</f>
        <v/>
      </c>
      <c r="T182" s="37" t="str">
        <f t="shared" si="344"/>
        <v>Simon Peach</v>
      </c>
      <c r="W182" s="37" t="str">
        <f>IF(Z49&gt;0,Stats!$B49,"")</f>
        <v/>
      </c>
      <c r="X182" s="37" t="str">
        <f t="shared" si="345"/>
        <v/>
      </c>
      <c r="AA182" s="37" t="str">
        <f>IF(AD49&gt;0,Stats!$B49,"")</f>
        <v/>
      </c>
      <c r="AB182" s="37" t="str">
        <f t="shared" si="346"/>
        <v>Simon Peach, Andy Booth</v>
      </c>
      <c r="AE182" s="37" t="str">
        <f>IF(AH49&gt;0,Stats!$B49,"")</f>
        <v/>
      </c>
      <c r="AF182" s="37" t="str">
        <f t="shared" si="347"/>
        <v>Buckers, Trevor Rogers</v>
      </c>
      <c r="AI182" s="37" t="str">
        <f>IF(AL49&gt;0,Stats!$B49,"")</f>
        <v/>
      </c>
      <c r="AJ182" s="37" t="str">
        <f t="shared" si="348"/>
        <v/>
      </c>
      <c r="AM182" s="37" t="str">
        <f>IF(AP49&gt;0,Stats!$B49,"")</f>
        <v/>
      </c>
      <c r="AN182" s="37" t="str">
        <f t="shared" si="349"/>
        <v/>
      </c>
      <c r="AQ182" s="37" t="str">
        <f>IF(AT49&gt;0,Stats!$B49,"")</f>
        <v/>
      </c>
      <c r="AR182" s="37" t="str">
        <f t="shared" si="350"/>
        <v/>
      </c>
      <c r="AU182" s="37" t="str">
        <f>IF(AX49&gt;0,Stats!$B49,"")</f>
        <v/>
      </c>
      <c r="AV182" s="37" t="str">
        <f t="shared" si="351"/>
        <v>Miles Whittle</v>
      </c>
      <c r="AY182" s="37" t="str">
        <f>IF(BB49&gt;0,Stats!$B49,"")</f>
        <v/>
      </c>
      <c r="AZ182" s="37" t="str">
        <f t="shared" si="352"/>
        <v>Dave Slaughter</v>
      </c>
      <c r="BC182" s="37" t="str">
        <f>IF(BF49&gt;0,Stats!$B49,"")</f>
        <v/>
      </c>
      <c r="BD182" s="37" t="str">
        <f t="shared" si="353"/>
        <v/>
      </c>
      <c r="BG182" s="37" t="str">
        <f>IF(BJ49&gt;0,Stats!$B49,"")</f>
        <v/>
      </c>
      <c r="BH182" s="37" t="str">
        <f t="shared" si="354"/>
        <v/>
      </c>
      <c r="BK182" s="37" t="str">
        <f>IF(BN49&gt;0,Stats!$B49,"")</f>
        <v/>
      </c>
      <c r="BL182" s="37" t="str">
        <f t="shared" si="355"/>
        <v/>
      </c>
      <c r="BO182" s="37" t="str">
        <f>IF(BR49&gt;0,Stats!$B49,"")</f>
        <v/>
      </c>
      <c r="BP182" s="37" t="str">
        <f t="shared" si="356"/>
        <v>Debbie Field</v>
      </c>
      <c r="BS182" s="37" t="str">
        <f>IF(BV49&gt;0,Stats!$B49,"")</f>
        <v/>
      </c>
      <c r="BT182" s="37" t="str">
        <f t="shared" si="357"/>
        <v>??Hillcroft Guy</v>
      </c>
      <c r="BW182" s="37" t="str">
        <f>IF(BZ49&gt;0,Stats!$B49,"")</f>
        <v/>
      </c>
      <c r="BX182" s="37" t="str">
        <f t="shared" si="358"/>
        <v>Gregg Urwin+Spencer</v>
      </c>
      <c r="CA182" s="37" t="str">
        <f>IF(CD49&gt;0,Stats!$B49,"")</f>
        <v/>
      </c>
      <c r="CB182" s="37" t="str">
        <f t="shared" si="359"/>
        <v>Ray Harry</v>
      </c>
      <c r="CE182" s="37" t="str">
        <f>IF(CH49&gt;0,Stats!$B49,"")</f>
        <v/>
      </c>
      <c r="CF182" s="37" t="str">
        <f t="shared" si="360"/>
        <v>James Kellam+EG</v>
      </c>
      <c r="CI182" s="37" t="str">
        <f>IF(CL49&gt;0,Stats!$B49,"")</f>
        <v/>
      </c>
      <c r="CJ182" s="37" t="str">
        <f t="shared" si="339"/>
        <v/>
      </c>
    </row>
    <row r="183" spans="5:88" ht="12.75" customHeight="1" x14ac:dyDescent="0.2">
      <c r="F183" s="8" t="s">
        <v>49</v>
      </c>
    </row>
  </sheetData>
  <sheetProtection selectLockedCells="1" selectUnlockedCells="1"/>
  <phoneticPr fontId="5" type="noConversion"/>
  <printOptions gridLine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1" sqref="B21"/>
    </sheetView>
  </sheetViews>
  <sheetFormatPr defaultColWidth="11.7109375" defaultRowHeight="12.75" x14ac:dyDescent="0.2"/>
  <cols>
    <col min="1" max="1" width="4.85546875" style="1" customWidth="1"/>
    <col min="2" max="2" width="17.7109375" style="1" customWidth="1"/>
    <col min="3" max="3" width="14.7109375" style="42" bestFit="1" customWidth="1"/>
    <col min="4" max="4" width="8.5703125" style="1" bestFit="1" customWidth="1"/>
    <col min="5" max="5" width="6.140625" style="1" bestFit="1" customWidth="1"/>
    <col min="6" max="6" width="4.42578125" style="1" bestFit="1" customWidth="1"/>
    <col min="7" max="7" width="8.5703125" style="1" bestFit="1" customWidth="1"/>
    <col min="8" max="8" width="7.85546875" style="1" bestFit="1" customWidth="1"/>
    <col min="9" max="9" width="7.85546875" style="49" bestFit="1" customWidth="1"/>
    <col min="10" max="10" width="5.85546875" style="1" bestFit="1" customWidth="1"/>
    <col min="11" max="11" width="6.140625" style="1" bestFit="1" customWidth="1"/>
    <col min="12" max="12" width="5.85546875" style="49" bestFit="1" customWidth="1"/>
    <col min="13" max="14" width="8.42578125" style="1" bestFit="1" customWidth="1"/>
    <col min="15" max="15" width="8.42578125" style="49" bestFit="1" customWidth="1"/>
    <col min="16" max="16" width="8.140625" style="1" bestFit="1" customWidth="1"/>
    <col min="17" max="17" width="8.7109375" style="1" bestFit="1" customWidth="1"/>
    <col min="18" max="16384" width="11.7109375" style="1"/>
  </cols>
  <sheetData>
    <row r="1" spans="1:18" x14ac:dyDescent="0.2">
      <c r="G1" s="1" t="s">
        <v>43</v>
      </c>
      <c r="J1" s="1" t="s">
        <v>1</v>
      </c>
      <c r="M1" s="1" t="s">
        <v>2</v>
      </c>
    </row>
    <row r="2" spans="1:18" x14ac:dyDescent="0.2">
      <c r="A2" s="2"/>
      <c r="B2" s="2"/>
      <c r="C2" s="43"/>
      <c r="D2" s="3"/>
      <c r="E2" s="3"/>
      <c r="F2" s="3"/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2</v>
      </c>
      <c r="O2" s="3" t="s">
        <v>2</v>
      </c>
      <c r="P2" s="41" t="s">
        <v>46</v>
      </c>
      <c r="Q2" s="41" t="s">
        <v>46</v>
      </c>
    </row>
    <row r="3" spans="1:18" ht="16.350000000000001" customHeight="1" x14ac:dyDescent="0.2">
      <c r="A3" s="2" t="s">
        <v>3</v>
      </c>
      <c r="B3" s="2" t="s">
        <v>4</v>
      </c>
      <c r="C3" s="43" t="s">
        <v>5</v>
      </c>
      <c r="D3" s="2" t="s">
        <v>6</v>
      </c>
      <c r="E3" s="2" t="s">
        <v>7</v>
      </c>
      <c r="F3" s="3" t="s">
        <v>8</v>
      </c>
      <c r="G3" s="2" t="s">
        <v>6</v>
      </c>
      <c r="H3" s="2" t="s">
        <v>7</v>
      </c>
      <c r="I3" s="3" t="s">
        <v>8</v>
      </c>
      <c r="J3" s="2" t="s">
        <v>6</v>
      </c>
      <c r="K3" s="2" t="s">
        <v>7</v>
      </c>
      <c r="L3" s="3" t="s">
        <v>8</v>
      </c>
      <c r="M3" s="2" t="s">
        <v>6</v>
      </c>
      <c r="N3" s="2" t="s">
        <v>7</v>
      </c>
      <c r="O3" s="3" t="s">
        <v>8</v>
      </c>
      <c r="P3" s="41" t="s">
        <v>53</v>
      </c>
      <c r="Q3" s="41" t="s">
        <v>54</v>
      </c>
    </row>
    <row r="4" spans="1:18" x14ac:dyDescent="0.2">
      <c r="F4" s="49"/>
    </row>
    <row r="5" spans="1:18" x14ac:dyDescent="0.2">
      <c r="A5" s="1">
        <f>Stats!A10</f>
        <v>17</v>
      </c>
      <c r="B5" s="1" t="str">
        <f>Stats!B10</f>
        <v>Dave Baldwin</v>
      </c>
      <c r="C5" s="42" t="str">
        <f>Stats!C10</f>
        <v>Midfield/FO</v>
      </c>
      <c r="D5" s="13">
        <f>SUM(G5,J5,M5)</f>
        <v>8</v>
      </c>
      <c r="E5" s="13">
        <f t="shared" ref="E5" si="0">SUM(H5,K5,N5)</f>
        <v>6</v>
      </c>
      <c r="F5" s="49">
        <f t="shared" ref="F5" si="1">IF(D5&gt;0,E5/D5,"")</f>
        <v>0.75</v>
      </c>
      <c r="G5" s="5">
        <f>COUNTIFS(Stats!$G$4:$CM$4,G$1,Stats!$G10:$CM10,"&lt;&gt;")</f>
        <v>6</v>
      </c>
      <c r="H5" s="5">
        <f>SUMIF(Stats!$G$4:$CI$4,G$1,Stats!$H10:$CO10)</f>
        <v>3</v>
      </c>
      <c r="I5" s="6">
        <f>IF(G5&gt;0,H5/G5,"")</f>
        <v>0.5</v>
      </c>
      <c r="J5" s="5">
        <f>COUNTIFS(Stats!$G$4:$CM$4,J$1,Stats!$G10:$CM10,"&lt;&gt;")</f>
        <v>0</v>
      </c>
      <c r="K5" s="5">
        <f>SUMIF(Stats!$G$4:$CI$4,J$1,Stats!$H10:$CO10)</f>
        <v>0</v>
      </c>
      <c r="L5" s="6" t="str">
        <f>IF(J5&gt;0,K5/J5,"")</f>
        <v/>
      </c>
      <c r="M5" s="5">
        <f>COUNTIFS(Stats!$G$4:$CM$4,M$1,Stats!$G10:$CM10,"&lt;&gt;")</f>
        <v>2</v>
      </c>
      <c r="N5" s="5">
        <f>SUMIF(Stats!$G$4:$CI$4,M$1,Stats!$H10:$CO10)</f>
        <v>3</v>
      </c>
      <c r="O5" s="6">
        <f>IF(M5&gt;0,N5/M5,"")</f>
        <v>1.5</v>
      </c>
      <c r="P5" s="13">
        <f>COUNTIFS(Stats!$J$9:$CM$9,"R",Stats!$J10:$CM10,"&gt;0")</f>
        <v>0</v>
      </c>
      <c r="Q5" s="13">
        <f>SUMIF(Stats!$J$9:$CM$9,"R",Stats!$J10:$CM10)</f>
        <v>0</v>
      </c>
      <c r="R5" s="13">
        <f>Stats!E10-E5</f>
        <v>0</v>
      </c>
    </row>
    <row r="6" spans="1:18" x14ac:dyDescent="0.2">
      <c r="A6" s="1">
        <f>Stats!A11</f>
        <v>5</v>
      </c>
      <c r="B6" s="1" t="str">
        <f>Stats!B11</f>
        <v>Justin Baranowski</v>
      </c>
      <c r="C6" s="42" t="str">
        <f>Stats!C11</f>
        <v>Attack</v>
      </c>
      <c r="D6" s="13">
        <f t="shared" ref="D6:D44" si="2">SUM(G6,J6,M6)</f>
        <v>5</v>
      </c>
      <c r="E6" s="13">
        <f t="shared" ref="E6:E44" si="3">SUM(H6,K6,N6)</f>
        <v>3</v>
      </c>
      <c r="F6" s="49">
        <f t="shared" ref="F6:F44" si="4">IF(D6&gt;0,E6/D6,"")</f>
        <v>0.6</v>
      </c>
      <c r="G6" s="5">
        <f>COUNTIFS(Stats!$G$4:$CM$4,G$1,Stats!$G11:$CM11,"&lt;&gt;")</f>
        <v>4</v>
      </c>
      <c r="H6" s="5">
        <f>SUMIF(Stats!$G$4:$CI$4,G$1,Stats!$H11:$CO11)</f>
        <v>3</v>
      </c>
      <c r="I6" s="6">
        <f t="shared" ref="I6:I44" si="5">IF(G6&gt;0,H6/G6,"")</f>
        <v>0.75</v>
      </c>
      <c r="J6" s="5">
        <f>COUNTIFS(Stats!$G$4:$CM$4,J$1,Stats!$G11:$CM11,"&lt;&gt;")</f>
        <v>0</v>
      </c>
      <c r="K6" s="5">
        <f>SUMIF(Stats!$G$4:$CI$4,J$1,Stats!$H11:$CO11)</f>
        <v>0</v>
      </c>
      <c r="L6" s="6" t="str">
        <f t="shared" ref="L6:L44" si="6">IF(J6&gt;0,K6/J6,"")</f>
        <v/>
      </c>
      <c r="M6" s="5">
        <f>COUNTIFS(Stats!$G$4:$CM$4,M$1,Stats!$G11:$CM11,"&lt;&gt;")</f>
        <v>1</v>
      </c>
      <c r="N6" s="5">
        <f>SUMIF(Stats!$G$4:$CI$4,M$1,Stats!$H11:$CO11)</f>
        <v>0</v>
      </c>
      <c r="O6" s="6">
        <f t="shared" ref="O6:O44" si="7">IF(M6&gt;0,N6/M6,"")</f>
        <v>0</v>
      </c>
      <c r="P6" s="13">
        <f>COUNTIFS(Stats!$J$9:$CM$9,"R",Stats!$J11:$CM11,"&gt;0")</f>
        <v>1</v>
      </c>
      <c r="Q6" s="13">
        <f>SUMIF(Stats!$J$9:$CM$9,"R",Stats!$J11:$CM11)</f>
        <v>1</v>
      </c>
      <c r="R6" s="13">
        <f>Stats!E11-E6</f>
        <v>0</v>
      </c>
    </row>
    <row r="7" spans="1:18" x14ac:dyDescent="0.2">
      <c r="A7" s="1">
        <f>Stats!A12</f>
        <v>0</v>
      </c>
      <c r="B7" s="1" t="str">
        <f>Stats!B12</f>
        <v>Sam Baranowski</v>
      </c>
      <c r="C7" s="42" t="str">
        <f>Stats!C12</f>
        <v>Midfield</v>
      </c>
      <c r="D7" s="13">
        <f t="shared" si="2"/>
        <v>0</v>
      </c>
      <c r="E7" s="13">
        <f t="shared" si="3"/>
        <v>0</v>
      </c>
      <c r="F7" s="49" t="str">
        <f t="shared" si="4"/>
        <v/>
      </c>
      <c r="G7" s="5">
        <f>COUNTIFS(Stats!$G$4:$CM$4,G$1,Stats!$G12:$CM12,"&lt;&gt;")</f>
        <v>0</v>
      </c>
      <c r="H7" s="5">
        <f>SUMIF(Stats!$G$4:$CI$4,G$1,Stats!$H12:$CO12)</f>
        <v>0</v>
      </c>
      <c r="I7" s="6" t="str">
        <f t="shared" si="5"/>
        <v/>
      </c>
      <c r="J7" s="5">
        <f>COUNTIFS(Stats!$G$4:$CM$4,J$1,Stats!$G12:$CM12,"&lt;&gt;")</f>
        <v>0</v>
      </c>
      <c r="K7" s="5">
        <f>SUMIF(Stats!$G$4:$CI$4,J$1,Stats!$H12:$CO12)</f>
        <v>0</v>
      </c>
      <c r="L7" s="6" t="str">
        <f t="shared" si="6"/>
        <v/>
      </c>
      <c r="M7" s="5">
        <f>COUNTIFS(Stats!$G$4:$CM$4,M$1,Stats!$G12:$CM12,"&lt;&gt;")</f>
        <v>0</v>
      </c>
      <c r="N7" s="5">
        <f>SUMIF(Stats!$G$4:$CI$4,M$1,Stats!$H12:$CO12)</f>
        <v>0</v>
      </c>
      <c r="O7" s="6" t="str">
        <f t="shared" si="7"/>
        <v/>
      </c>
      <c r="P7" s="13">
        <f>COUNTIFS(Stats!$J$9:$CM$9,"R",Stats!$J12:$CM12,"&gt;0")</f>
        <v>0</v>
      </c>
      <c r="Q7" s="13">
        <f>SUMIF(Stats!$J$9:$CM$9,"R",Stats!$J12:$CM12)</f>
        <v>0</v>
      </c>
      <c r="R7" s="13">
        <f>Stats!E12-E7</f>
        <v>0</v>
      </c>
    </row>
    <row r="8" spans="1:18" x14ac:dyDescent="0.2">
      <c r="A8" s="1">
        <f>Stats!A13</f>
        <v>2</v>
      </c>
      <c r="B8" s="1" t="str">
        <f>Stats!B13</f>
        <v>Mike Barrett</v>
      </c>
      <c r="C8" s="42" t="str">
        <f>Stats!C13</f>
        <v>Midfield/FO</v>
      </c>
      <c r="D8" s="13">
        <f t="shared" si="2"/>
        <v>0</v>
      </c>
      <c r="E8" s="13">
        <f t="shared" si="3"/>
        <v>0</v>
      </c>
      <c r="F8" s="49" t="str">
        <f t="shared" si="4"/>
        <v/>
      </c>
      <c r="G8" s="5">
        <f>COUNTIFS(Stats!$G$4:$CM$4,G$1,Stats!$G13:$CM13,"&lt;&gt;")</f>
        <v>0</v>
      </c>
      <c r="H8" s="5">
        <f>SUMIF(Stats!$G$4:$CI$4,G$1,Stats!$H13:$CO13)</f>
        <v>0</v>
      </c>
      <c r="I8" s="6" t="str">
        <f t="shared" si="5"/>
        <v/>
      </c>
      <c r="J8" s="5">
        <f>COUNTIFS(Stats!$G$4:$CM$4,J$1,Stats!$G13:$CM13,"&lt;&gt;")</f>
        <v>0</v>
      </c>
      <c r="K8" s="5">
        <f>SUMIF(Stats!$G$4:$CI$4,J$1,Stats!$H13:$CO13)</f>
        <v>0</v>
      </c>
      <c r="L8" s="6" t="str">
        <f t="shared" si="6"/>
        <v/>
      </c>
      <c r="M8" s="5">
        <f>COUNTIFS(Stats!$G$4:$CM$4,M$1,Stats!$G13:$CM13,"&lt;&gt;")</f>
        <v>0</v>
      </c>
      <c r="N8" s="5">
        <f>SUMIF(Stats!$G$4:$CI$4,M$1,Stats!$H13:$CO13)</f>
        <v>0</v>
      </c>
      <c r="O8" s="6" t="str">
        <f t="shared" si="7"/>
        <v/>
      </c>
      <c r="P8" s="13">
        <f>COUNTIFS(Stats!$J$9:$CM$9,"R",Stats!$J13:$CM13,"&gt;0")</f>
        <v>0</v>
      </c>
      <c r="Q8" s="13">
        <f>SUMIF(Stats!$J$9:$CM$9,"R",Stats!$J13:$CM13)</f>
        <v>0</v>
      </c>
      <c r="R8" s="13">
        <f>Stats!E13-E8</f>
        <v>0</v>
      </c>
    </row>
    <row r="9" spans="1:18" x14ac:dyDescent="0.2">
      <c r="A9" s="1">
        <f>Stats!A14</f>
        <v>3</v>
      </c>
      <c r="B9" s="1" t="str">
        <f>Stats!B14</f>
        <v>Andy Booth</v>
      </c>
      <c r="C9" s="42" t="str">
        <f>Stats!C14</f>
        <v>Defence</v>
      </c>
      <c r="D9" s="13">
        <f t="shared" si="2"/>
        <v>9</v>
      </c>
      <c r="E9" s="13">
        <f t="shared" si="3"/>
        <v>0</v>
      </c>
      <c r="F9" s="49">
        <f t="shared" si="4"/>
        <v>0</v>
      </c>
      <c r="G9" s="5">
        <f>COUNTIFS(Stats!$G$4:$CM$4,G$1,Stats!$G14:$CM14,"&lt;&gt;")</f>
        <v>6</v>
      </c>
      <c r="H9" s="5">
        <f>SUMIF(Stats!$G$4:$CI$4,G$1,Stats!$H14:$CO14)</f>
        <v>0</v>
      </c>
      <c r="I9" s="6">
        <f t="shared" si="5"/>
        <v>0</v>
      </c>
      <c r="J9" s="5">
        <f>COUNTIFS(Stats!$G$4:$CM$4,J$1,Stats!$G14:$CM14,"&lt;&gt;")</f>
        <v>1</v>
      </c>
      <c r="K9" s="5">
        <f>SUMIF(Stats!$G$4:$CI$4,J$1,Stats!$H14:$CO14)</f>
        <v>0</v>
      </c>
      <c r="L9" s="6">
        <f t="shared" si="6"/>
        <v>0</v>
      </c>
      <c r="M9" s="5">
        <f>COUNTIFS(Stats!$G$4:$CM$4,M$1,Stats!$G14:$CM14,"&lt;&gt;")</f>
        <v>2</v>
      </c>
      <c r="N9" s="5">
        <f>SUMIF(Stats!$G$4:$CI$4,M$1,Stats!$H14:$CO14)</f>
        <v>0</v>
      </c>
      <c r="O9" s="6">
        <f t="shared" si="7"/>
        <v>0</v>
      </c>
      <c r="P9" s="13">
        <f>COUNTIFS(Stats!$J$9:$CM$9,"R",Stats!$J14:$CM14,"&gt;0")</f>
        <v>1</v>
      </c>
      <c r="Q9" s="13">
        <f>SUMIF(Stats!$J$9:$CM$9,"R",Stats!$J14:$CM14)</f>
        <v>4</v>
      </c>
      <c r="R9" s="13">
        <f>Stats!E14-E9</f>
        <v>0</v>
      </c>
    </row>
    <row r="10" spans="1:18" x14ac:dyDescent="0.2">
      <c r="A10" s="1">
        <f>Stats!A15</f>
        <v>0</v>
      </c>
      <c r="B10" s="1">
        <f>Stats!B15</f>
        <v>0</v>
      </c>
      <c r="C10" s="42">
        <f>Stats!C15</f>
        <v>0</v>
      </c>
      <c r="D10" s="13">
        <f t="shared" si="2"/>
        <v>0</v>
      </c>
      <c r="E10" s="13">
        <f t="shared" si="3"/>
        <v>0</v>
      </c>
      <c r="F10" s="49" t="str">
        <f t="shared" si="4"/>
        <v/>
      </c>
      <c r="G10" s="5">
        <f>COUNTIFS(Stats!$G$4:$CM$4,G$1,Stats!$G15:$CM15,"&lt;&gt;")</f>
        <v>0</v>
      </c>
      <c r="H10" s="5">
        <f>SUMIF(Stats!$G$4:$CI$4,G$1,Stats!$H15:$CO15)</f>
        <v>0</v>
      </c>
      <c r="I10" s="6" t="str">
        <f t="shared" si="5"/>
        <v/>
      </c>
      <c r="J10" s="5">
        <f>COUNTIFS(Stats!$G$4:$CM$4,J$1,Stats!$G15:$CM15,"&lt;&gt;")</f>
        <v>0</v>
      </c>
      <c r="K10" s="5">
        <f>SUMIF(Stats!$G$4:$CI$4,J$1,Stats!$H15:$CO15)</f>
        <v>0</v>
      </c>
      <c r="L10" s="6" t="str">
        <f t="shared" si="6"/>
        <v/>
      </c>
      <c r="M10" s="5">
        <f>COUNTIFS(Stats!$G$4:$CM$4,M$1,Stats!$G15:$CM15,"&lt;&gt;")</f>
        <v>0</v>
      </c>
      <c r="N10" s="5">
        <f>SUMIF(Stats!$G$4:$CI$4,M$1,Stats!$H15:$CO15)</f>
        <v>0</v>
      </c>
      <c r="O10" s="6" t="str">
        <f t="shared" si="7"/>
        <v/>
      </c>
      <c r="P10" s="13">
        <f>COUNTIFS(Stats!$J$9:$CM$9,"R",Stats!$J15:$CM15,"&gt;0")</f>
        <v>0</v>
      </c>
      <c r="Q10" s="13">
        <f>SUMIF(Stats!$J$9:$CM$9,"R",Stats!$J15:$CM15)</f>
        <v>0</v>
      </c>
      <c r="R10" s="13">
        <f>Stats!E15-E10</f>
        <v>0</v>
      </c>
    </row>
    <row r="11" spans="1:18" x14ac:dyDescent="0.2">
      <c r="A11" s="1">
        <f>Stats!A16</f>
        <v>24</v>
      </c>
      <c r="B11" s="1" t="str">
        <f>Stats!B16</f>
        <v>Felix Bull</v>
      </c>
      <c r="C11" s="42" t="str">
        <f>Stats!C16</f>
        <v>Defence</v>
      </c>
      <c r="D11" s="13">
        <f t="shared" si="2"/>
        <v>13</v>
      </c>
      <c r="E11" s="13">
        <f t="shared" si="3"/>
        <v>2</v>
      </c>
      <c r="F11" s="49">
        <f t="shared" si="4"/>
        <v>0.15384615384615385</v>
      </c>
      <c r="G11" s="5">
        <f>COUNTIFS(Stats!$G$4:$CM$4,G$1,Stats!$G16:$CM16,"&lt;&gt;")</f>
        <v>10</v>
      </c>
      <c r="H11" s="5">
        <f>SUMIF(Stats!$G$4:$CI$4,G$1,Stats!$H16:$CO16)</f>
        <v>2</v>
      </c>
      <c r="I11" s="6">
        <f t="shared" si="5"/>
        <v>0.2</v>
      </c>
      <c r="J11" s="5">
        <f>COUNTIFS(Stats!$G$4:$CM$4,J$1,Stats!$G16:$CM16,"&lt;&gt;")</f>
        <v>1</v>
      </c>
      <c r="K11" s="5">
        <f>SUMIF(Stats!$G$4:$CI$4,J$1,Stats!$H16:$CO16)</f>
        <v>0</v>
      </c>
      <c r="L11" s="6">
        <f t="shared" si="6"/>
        <v>0</v>
      </c>
      <c r="M11" s="5">
        <f>COUNTIFS(Stats!$G$4:$CM$4,M$1,Stats!$G16:$CM16,"&lt;&gt;")</f>
        <v>2</v>
      </c>
      <c r="N11" s="5">
        <f>SUMIF(Stats!$G$4:$CI$4,M$1,Stats!$H16:$CO16)</f>
        <v>0</v>
      </c>
      <c r="O11" s="6">
        <f t="shared" si="7"/>
        <v>0</v>
      </c>
      <c r="P11" s="13">
        <f>COUNTIFS(Stats!$J$9:$CM$9,"R",Stats!$J16:$CM16,"&gt;0")</f>
        <v>0</v>
      </c>
      <c r="Q11" s="13">
        <f>SUMIF(Stats!$J$9:$CM$9,"R",Stats!$J16:$CM16)</f>
        <v>0</v>
      </c>
      <c r="R11" s="13">
        <f>Stats!E16-E11</f>
        <v>0</v>
      </c>
    </row>
    <row r="12" spans="1:18" x14ac:dyDescent="0.2">
      <c r="A12" s="1">
        <f>Stats!A17</f>
        <v>26</v>
      </c>
      <c r="B12" s="1" t="str">
        <f>Stats!B17</f>
        <v>Rob Clark</v>
      </c>
      <c r="C12" s="42" t="str">
        <f>Stats!C17</f>
        <v>Attack</v>
      </c>
      <c r="D12" s="13">
        <f t="shared" si="2"/>
        <v>3</v>
      </c>
      <c r="E12" s="13">
        <f t="shared" si="3"/>
        <v>0</v>
      </c>
      <c r="F12" s="49">
        <f t="shared" si="4"/>
        <v>0</v>
      </c>
      <c r="G12" s="5">
        <f>COUNTIFS(Stats!$G$4:$CM$4,G$1,Stats!$G17:$CM17,"&lt;&gt;")</f>
        <v>3</v>
      </c>
      <c r="H12" s="5">
        <f>SUMIF(Stats!$G$4:$CI$4,G$1,Stats!$H17:$CO17)</f>
        <v>0</v>
      </c>
      <c r="I12" s="6">
        <f t="shared" si="5"/>
        <v>0</v>
      </c>
      <c r="J12" s="5">
        <f>COUNTIFS(Stats!$G$4:$CM$4,J$1,Stats!$G17:$CM17,"&lt;&gt;")</f>
        <v>0</v>
      </c>
      <c r="K12" s="5">
        <f>SUMIF(Stats!$G$4:$CI$4,J$1,Stats!$H17:$CO17)</f>
        <v>0</v>
      </c>
      <c r="L12" s="6" t="str">
        <f t="shared" si="6"/>
        <v/>
      </c>
      <c r="M12" s="5">
        <f>COUNTIFS(Stats!$G$4:$CM$4,M$1,Stats!$G17:$CM17,"&lt;&gt;")</f>
        <v>0</v>
      </c>
      <c r="N12" s="5">
        <f>SUMIF(Stats!$G$4:$CI$4,M$1,Stats!$H17:$CO17)</f>
        <v>0</v>
      </c>
      <c r="O12" s="6" t="str">
        <f t="shared" si="7"/>
        <v/>
      </c>
      <c r="P12" s="13">
        <f>COUNTIFS(Stats!$J$9:$CM$9,"R",Stats!$J17:$CM17,"&gt;0")</f>
        <v>0</v>
      </c>
      <c r="Q12" s="13">
        <f>SUMIF(Stats!$J$9:$CM$9,"R",Stats!$J17:$CM17)</f>
        <v>0</v>
      </c>
      <c r="R12" s="13">
        <f>Stats!E17-E12</f>
        <v>0</v>
      </c>
    </row>
    <row r="13" spans="1:18" x14ac:dyDescent="0.2">
      <c r="A13" s="1">
        <f>Stats!A18</f>
        <v>888</v>
      </c>
      <c r="B13" s="1" t="str">
        <f>Stats!B18</f>
        <v>Ben Colville</v>
      </c>
      <c r="C13" s="42" t="str">
        <f>Stats!C18</f>
        <v>Midfield</v>
      </c>
      <c r="D13" s="13">
        <f t="shared" si="2"/>
        <v>1</v>
      </c>
      <c r="E13" s="13">
        <f t="shared" si="3"/>
        <v>1</v>
      </c>
      <c r="F13" s="49">
        <f t="shared" si="4"/>
        <v>1</v>
      </c>
      <c r="G13" s="5">
        <f>COUNTIFS(Stats!$G$4:$CM$4,G$1,Stats!$G18:$CM18,"&lt;&gt;")</f>
        <v>0</v>
      </c>
      <c r="H13" s="5">
        <f>SUMIF(Stats!$G$4:$CI$4,G$1,Stats!$H18:$CO18)</f>
        <v>0</v>
      </c>
      <c r="I13" s="6" t="str">
        <f t="shared" si="5"/>
        <v/>
      </c>
      <c r="J13" s="5">
        <f>COUNTIFS(Stats!$G$4:$CM$4,J$1,Stats!$G18:$CM18,"&lt;&gt;")</f>
        <v>0</v>
      </c>
      <c r="K13" s="5">
        <f>SUMIF(Stats!$G$4:$CI$4,J$1,Stats!$H18:$CO18)</f>
        <v>0</v>
      </c>
      <c r="L13" s="6" t="str">
        <f t="shared" si="6"/>
        <v/>
      </c>
      <c r="M13" s="5">
        <f>COUNTIFS(Stats!$G$4:$CM$4,M$1,Stats!$G18:$CM18,"&lt;&gt;")</f>
        <v>1</v>
      </c>
      <c r="N13" s="5">
        <f>SUMIF(Stats!$G$4:$CI$4,M$1,Stats!$H18:$CO18)</f>
        <v>1</v>
      </c>
      <c r="O13" s="6">
        <f t="shared" si="7"/>
        <v>1</v>
      </c>
      <c r="P13" s="13">
        <f>COUNTIFS(Stats!$J$9:$CM$9,"R",Stats!$J18:$CM18,"&gt;0")</f>
        <v>0</v>
      </c>
      <c r="Q13" s="13">
        <f>SUMIF(Stats!$J$9:$CM$9,"R",Stats!$J18:$CM18)</f>
        <v>0</v>
      </c>
      <c r="R13" s="13">
        <f>Stats!E18-E13</f>
        <v>0</v>
      </c>
    </row>
    <row r="14" spans="1:18" x14ac:dyDescent="0.2">
      <c r="A14" s="1">
        <f>Stats!A19</f>
        <v>6</v>
      </c>
      <c r="B14" s="1" t="str">
        <f>Stats!B19</f>
        <v>Dave Copple</v>
      </c>
      <c r="C14" s="42" t="str">
        <f>Stats!C19</f>
        <v>Defence</v>
      </c>
      <c r="D14" s="13">
        <f t="shared" si="2"/>
        <v>6</v>
      </c>
      <c r="E14" s="13">
        <f t="shared" si="3"/>
        <v>0</v>
      </c>
      <c r="F14" s="49">
        <f t="shared" si="4"/>
        <v>0</v>
      </c>
      <c r="G14" s="5">
        <f>COUNTIFS(Stats!$G$4:$CM$4,G$1,Stats!$G19:$CM19,"&lt;&gt;")</f>
        <v>5</v>
      </c>
      <c r="H14" s="5">
        <f>SUMIF(Stats!$G$4:$CI$4,G$1,Stats!$H19:$CO19)</f>
        <v>0</v>
      </c>
      <c r="I14" s="6">
        <f t="shared" si="5"/>
        <v>0</v>
      </c>
      <c r="J14" s="5">
        <f>COUNTIFS(Stats!$G$4:$CM$4,J$1,Stats!$G19:$CM19,"&lt;&gt;")</f>
        <v>1</v>
      </c>
      <c r="K14" s="5">
        <f>SUMIF(Stats!$G$4:$CI$4,J$1,Stats!$H19:$CO19)</f>
        <v>0</v>
      </c>
      <c r="L14" s="6">
        <f t="shared" si="6"/>
        <v>0</v>
      </c>
      <c r="M14" s="5">
        <f>COUNTIFS(Stats!$G$4:$CM$4,M$1,Stats!$G19:$CM19,"&lt;&gt;")</f>
        <v>0</v>
      </c>
      <c r="N14" s="5">
        <f>SUMIF(Stats!$G$4:$CI$4,M$1,Stats!$H19:$CO19)</f>
        <v>0</v>
      </c>
      <c r="O14" s="6" t="str">
        <f t="shared" si="7"/>
        <v/>
      </c>
      <c r="P14" s="13">
        <f>COUNTIFS(Stats!$J$9:$CM$9,"R",Stats!$J19:$CM19,"&gt;0")</f>
        <v>0</v>
      </c>
      <c r="Q14" s="13">
        <f>SUMIF(Stats!$J$9:$CM$9,"R",Stats!$J19:$CM19)</f>
        <v>0</v>
      </c>
      <c r="R14" s="13">
        <f>Stats!E19-E14</f>
        <v>0</v>
      </c>
    </row>
    <row r="15" spans="1:18" x14ac:dyDescent="0.2">
      <c r="A15" s="1">
        <f>Stats!A20</f>
        <v>11</v>
      </c>
      <c r="B15" s="1" t="str">
        <f>Stats!B20</f>
        <v>Andy Fernando</v>
      </c>
      <c r="C15" s="42" t="str">
        <f>Stats!C20</f>
        <v>Midfield/FO</v>
      </c>
      <c r="D15" s="13">
        <f t="shared" si="2"/>
        <v>12</v>
      </c>
      <c r="E15" s="13">
        <f t="shared" si="3"/>
        <v>0</v>
      </c>
      <c r="F15" s="49">
        <f t="shared" si="4"/>
        <v>0</v>
      </c>
      <c r="G15" s="5">
        <f>COUNTIFS(Stats!$G$4:$CM$4,G$1,Stats!$G20:$CM20,"&lt;&gt;")</f>
        <v>9</v>
      </c>
      <c r="H15" s="5">
        <f>SUMIF(Stats!$G$4:$CI$4,G$1,Stats!$H20:$CO20)</f>
        <v>0</v>
      </c>
      <c r="I15" s="6">
        <f t="shared" si="5"/>
        <v>0</v>
      </c>
      <c r="J15" s="5">
        <f>COUNTIFS(Stats!$G$4:$CM$4,J$1,Stats!$G20:$CM20,"&lt;&gt;")</f>
        <v>1</v>
      </c>
      <c r="K15" s="5">
        <f>SUMIF(Stats!$G$4:$CI$4,J$1,Stats!$H20:$CO20)</f>
        <v>0</v>
      </c>
      <c r="L15" s="6">
        <f t="shared" si="6"/>
        <v>0</v>
      </c>
      <c r="M15" s="5">
        <f>COUNTIFS(Stats!$G$4:$CM$4,M$1,Stats!$G20:$CM20,"&lt;&gt;")</f>
        <v>2</v>
      </c>
      <c r="N15" s="5">
        <f>SUMIF(Stats!$G$4:$CI$4,M$1,Stats!$H20:$CO20)</f>
        <v>0</v>
      </c>
      <c r="O15" s="6">
        <f t="shared" si="7"/>
        <v>0</v>
      </c>
      <c r="P15" s="13">
        <f>COUNTIFS(Stats!$J$9:$CM$9,"R",Stats!$J20:$CM20,"&gt;0")</f>
        <v>1</v>
      </c>
      <c r="Q15" s="13">
        <f>SUMIF(Stats!$J$9:$CM$9,"R",Stats!$J20:$CM20)</f>
        <v>1</v>
      </c>
      <c r="R15" s="13">
        <f>Stats!E20-E15</f>
        <v>0</v>
      </c>
    </row>
    <row r="16" spans="1:18" x14ac:dyDescent="0.2">
      <c r="A16" s="1">
        <f>Stats!A21</f>
        <v>13</v>
      </c>
      <c r="B16" s="1" t="str">
        <f>Stats!B21</f>
        <v>Elliot Fry</v>
      </c>
      <c r="C16" s="42" t="str">
        <f>Stats!C21</f>
        <v>Defence</v>
      </c>
      <c r="D16" s="13">
        <f t="shared" si="2"/>
        <v>11</v>
      </c>
      <c r="E16" s="13">
        <f t="shared" si="3"/>
        <v>0</v>
      </c>
      <c r="F16" s="49">
        <f t="shared" si="4"/>
        <v>0</v>
      </c>
      <c r="G16" s="5">
        <f>COUNTIFS(Stats!$G$4:$CM$4,G$1,Stats!$G21:$CM21,"&lt;&gt;")</f>
        <v>11</v>
      </c>
      <c r="H16" s="5">
        <f>SUMIF(Stats!$G$4:$CI$4,G$1,Stats!$H21:$CO21)</f>
        <v>0</v>
      </c>
      <c r="I16" s="6">
        <f t="shared" si="5"/>
        <v>0</v>
      </c>
      <c r="J16" s="5">
        <f>COUNTIFS(Stats!$G$4:$CM$4,J$1,Stats!$G21:$CM21,"&lt;&gt;")</f>
        <v>0</v>
      </c>
      <c r="K16" s="5">
        <f>SUMIF(Stats!$G$4:$CI$4,J$1,Stats!$H21:$CO21)</f>
        <v>0</v>
      </c>
      <c r="L16" s="6" t="str">
        <f t="shared" si="6"/>
        <v/>
      </c>
      <c r="M16" s="5">
        <f>COUNTIFS(Stats!$G$4:$CM$4,M$1,Stats!$G21:$CM21,"&lt;&gt;")</f>
        <v>0</v>
      </c>
      <c r="N16" s="5">
        <f>SUMIF(Stats!$G$4:$CI$4,M$1,Stats!$H21:$CO21)</f>
        <v>0</v>
      </c>
      <c r="O16" s="6" t="str">
        <f t="shared" si="7"/>
        <v/>
      </c>
      <c r="P16" s="13">
        <f>COUNTIFS(Stats!$J$9:$CM$9,"R",Stats!$J21:$CM21,"&gt;0")</f>
        <v>0</v>
      </c>
      <c r="Q16" s="13">
        <f>SUMIF(Stats!$J$9:$CM$9,"R",Stats!$J21:$CM21)</f>
        <v>0</v>
      </c>
      <c r="R16" s="13">
        <f>Stats!E21-E16</f>
        <v>0</v>
      </c>
    </row>
    <row r="17" spans="1:18" x14ac:dyDescent="0.2">
      <c r="A17" s="1">
        <f>Stats!A22</f>
        <v>888</v>
      </c>
      <c r="B17" s="1" t="str">
        <f>Stats!B22</f>
        <v>Alex Griffiths</v>
      </c>
      <c r="C17" s="42" t="str">
        <f>Stats!C22</f>
        <v>Midfield</v>
      </c>
      <c r="D17" s="13">
        <f t="shared" si="2"/>
        <v>12</v>
      </c>
      <c r="E17" s="13">
        <f t="shared" si="3"/>
        <v>1</v>
      </c>
      <c r="F17" s="49">
        <f t="shared" si="4"/>
        <v>8.3333333333333329E-2</v>
      </c>
      <c r="G17" s="5">
        <f>COUNTIFS(Stats!$G$4:$CM$4,G$1,Stats!$G22:$CM22,"&lt;&gt;")</f>
        <v>10</v>
      </c>
      <c r="H17" s="5">
        <f>SUMIF(Stats!$G$4:$CI$4,G$1,Stats!$H22:$CO22)</f>
        <v>1</v>
      </c>
      <c r="I17" s="6">
        <f t="shared" si="5"/>
        <v>0.1</v>
      </c>
      <c r="J17" s="5">
        <f>COUNTIFS(Stats!$G$4:$CM$4,J$1,Stats!$G22:$CM22,"&lt;&gt;")</f>
        <v>1</v>
      </c>
      <c r="K17" s="5">
        <f>SUMIF(Stats!$G$4:$CI$4,J$1,Stats!$H22:$CO22)</f>
        <v>0</v>
      </c>
      <c r="L17" s="6">
        <f t="shared" si="6"/>
        <v>0</v>
      </c>
      <c r="M17" s="5">
        <f>COUNTIFS(Stats!$G$4:$CM$4,M$1,Stats!$G22:$CM22,"&lt;&gt;")</f>
        <v>1</v>
      </c>
      <c r="N17" s="5">
        <f>SUMIF(Stats!$G$4:$CI$4,M$1,Stats!$H22:$CO22)</f>
        <v>0</v>
      </c>
      <c r="O17" s="6">
        <f t="shared" si="7"/>
        <v>0</v>
      </c>
      <c r="P17" s="13">
        <f>COUNTIFS(Stats!$J$9:$CM$9,"R",Stats!$J22:$CM22,"&gt;0")</f>
        <v>0</v>
      </c>
      <c r="Q17" s="13">
        <f>SUMIF(Stats!$J$9:$CM$9,"R",Stats!$J22:$CM22)</f>
        <v>0</v>
      </c>
      <c r="R17" s="13">
        <f>Stats!E22-E17</f>
        <v>0</v>
      </c>
    </row>
    <row r="18" spans="1:18" x14ac:dyDescent="0.2">
      <c r="A18" s="1">
        <f>Stats!A23</f>
        <v>888</v>
      </c>
      <c r="B18" s="1" t="str">
        <f>Stats!B23</f>
        <v>Jussi Grut</v>
      </c>
      <c r="C18" s="42" t="str">
        <f>Stats!C23</f>
        <v>Midfield</v>
      </c>
      <c r="D18" s="13">
        <f t="shared" si="2"/>
        <v>4</v>
      </c>
      <c r="E18" s="13">
        <f t="shared" si="3"/>
        <v>0</v>
      </c>
      <c r="F18" s="49">
        <f t="shared" si="4"/>
        <v>0</v>
      </c>
      <c r="G18" s="5">
        <f>COUNTIFS(Stats!$G$4:$CM$4,G$1,Stats!$G23:$CM23,"&lt;&gt;")</f>
        <v>3</v>
      </c>
      <c r="H18" s="5">
        <f>SUMIF(Stats!$G$4:$CI$4,G$1,Stats!$H23:$CO23)</f>
        <v>0</v>
      </c>
      <c r="I18" s="6">
        <f t="shared" si="5"/>
        <v>0</v>
      </c>
      <c r="J18" s="5">
        <f>COUNTIFS(Stats!$G$4:$CM$4,J$1,Stats!$G23:$CM23,"&lt;&gt;")</f>
        <v>1</v>
      </c>
      <c r="K18" s="5">
        <f>SUMIF(Stats!$G$4:$CI$4,J$1,Stats!$H23:$CO23)</f>
        <v>0</v>
      </c>
      <c r="L18" s="6">
        <f t="shared" si="6"/>
        <v>0</v>
      </c>
      <c r="M18" s="5">
        <f>COUNTIFS(Stats!$G$4:$CM$4,M$1,Stats!$G23:$CM23,"&lt;&gt;")</f>
        <v>0</v>
      </c>
      <c r="N18" s="5">
        <f>SUMIF(Stats!$G$4:$CI$4,M$1,Stats!$H23:$CO23)</f>
        <v>0</v>
      </c>
      <c r="O18" s="6" t="str">
        <f t="shared" si="7"/>
        <v/>
      </c>
      <c r="P18" s="13">
        <f>COUNTIFS(Stats!$J$9:$CM$9,"R",Stats!$J23:$CM23,"&gt;0")</f>
        <v>0</v>
      </c>
      <c r="Q18" s="13">
        <f>SUMIF(Stats!$J$9:$CM$9,"R",Stats!$J23:$CM23)</f>
        <v>0</v>
      </c>
      <c r="R18" s="13">
        <f>Stats!E23-E18</f>
        <v>0</v>
      </c>
    </row>
    <row r="19" spans="1:18" x14ac:dyDescent="0.2">
      <c r="A19" s="1">
        <f>Stats!A24</f>
        <v>21</v>
      </c>
      <c r="B19" s="1" t="str">
        <f>Stats!B24</f>
        <v>Tom Hatton</v>
      </c>
      <c r="C19" s="42" t="str">
        <f>Stats!C24</f>
        <v>Midfield</v>
      </c>
      <c r="D19" s="13">
        <f t="shared" si="2"/>
        <v>12</v>
      </c>
      <c r="E19" s="13">
        <f t="shared" si="3"/>
        <v>8</v>
      </c>
      <c r="F19" s="49">
        <f t="shared" si="4"/>
        <v>0.66666666666666663</v>
      </c>
      <c r="G19" s="5">
        <f>COUNTIFS(Stats!$G$4:$CM$4,G$1,Stats!$G24:$CM24,"&lt;&gt;")</f>
        <v>9</v>
      </c>
      <c r="H19" s="5">
        <f>SUMIF(Stats!$G$4:$CI$4,G$1,Stats!$H24:$CO24)</f>
        <v>3</v>
      </c>
      <c r="I19" s="6">
        <f t="shared" si="5"/>
        <v>0.33333333333333331</v>
      </c>
      <c r="J19" s="5">
        <f>COUNTIFS(Stats!$G$4:$CM$4,J$1,Stats!$G24:$CM24,"&lt;&gt;")</f>
        <v>1</v>
      </c>
      <c r="K19" s="5">
        <f>SUMIF(Stats!$G$4:$CI$4,J$1,Stats!$H24:$CO24)</f>
        <v>0</v>
      </c>
      <c r="L19" s="6">
        <f t="shared" si="6"/>
        <v>0</v>
      </c>
      <c r="M19" s="5">
        <f>COUNTIFS(Stats!$G$4:$CM$4,M$1,Stats!$G24:$CM24,"&lt;&gt;")</f>
        <v>2</v>
      </c>
      <c r="N19" s="5">
        <f>SUMIF(Stats!$G$4:$CI$4,M$1,Stats!$H24:$CO24)</f>
        <v>5</v>
      </c>
      <c r="O19" s="6">
        <f t="shared" si="7"/>
        <v>2.5</v>
      </c>
      <c r="P19" s="13">
        <f>COUNTIFS(Stats!$J$9:$CM$9,"R",Stats!$J24:$CM24,"&gt;0")</f>
        <v>0</v>
      </c>
      <c r="Q19" s="13">
        <f>SUMIF(Stats!$J$9:$CM$9,"R",Stats!$J24:$CM24)</f>
        <v>0</v>
      </c>
      <c r="R19" s="13">
        <f>Stats!E24-E19</f>
        <v>0</v>
      </c>
    </row>
    <row r="20" spans="1:18" x14ac:dyDescent="0.2">
      <c r="A20" s="1">
        <f>Stats!A25</f>
        <v>0</v>
      </c>
      <c r="B20" s="1">
        <f>Stats!B25</f>
        <v>0</v>
      </c>
      <c r="C20" s="42">
        <f>Stats!C25</f>
        <v>0</v>
      </c>
      <c r="D20" s="13">
        <f t="shared" si="2"/>
        <v>0</v>
      </c>
      <c r="E20" s="13">
        <f t="shared" si="3"/>
        <v>0</v>
      </c>
      <c r="F20" s="49" t="str">
        <f t="shared" si="4"/>
        <v/>
      </c>
      <c r="G20" s="5">
        <f>COUNTIFS(Stats!$G$4:$CM$4,G$1,Stats!$G25:$CM25,"&lt;&gt;")</f>
        <v>0</v>
      </c>
      <c r="H20" s="5">
        <f>SUMIF(Stats!$G$4:$CI$4,G$1,Stats!$H25:$CO25)</f>
        <v>0</v>
      </c>
      <c r="I20" s="6" t="str">
        <f t="shared" si="5"/>
        <v/>
      </c>
      <c r="J20" s="5">
        <f>COUNTIFS(Stats!$G$4:$CM$4,J$1,Stats!$G25:$CM25,"&lt;&gt;")</f>
        <v>0</v>
      </c>
      <c r="K20" s="5">
        <f>SUMIF(Stats!$G$4:$CI$4,J$1,Stats!$H25:$CO25)</f>
        <v>0</v>
      </c>
      <c r="L20" s="6" t="str">
        <f t="shared" si="6"/>
        <v/>
      </c>
      <c r="M20" s="5">
        <f>COUNTIFS(Stats!$G$4:$CM$4,M$1,Stats!$G25:$CM25,"&lt;&gt;")</f>
        <v>0</v>
      </c>
      <c r="N20" s="5">
        <f>SUMIF(Stats!$G$4:$CI$4,M$1,Stats!$H25:$CO25)</f>
        <v>0</v>
      </c>
      <c r="O20" s="6" t="str">
        <f t="shared" si="7"/>
        <v/>
      </c>
      <c r="P20" s="13">
        <f>COUNTIFS(Stats!$J$9:$CM$9,"R",Stats!$J25:$CM25,"&gt;0")</f>
        <v>0</v>
      </c>
      <c r="Q20" s="13">
        <f>SUMIF(Stats!$J$9:$CM$9,"R",Stats!$J25:$CM25)</f>
        <v>0</v>
      </c>
      <c r="R20" s="13">
        <f>Stats!E25-E20</f>
        <v>0</v>
      </c>
    </row>
    <row r="21" spans="1:18" x14ac:dyDescent="0.2">
      <c r="A21" s="1">
        <f>Stats!A26</f>
        <v>12</v>
      </c>
      <c r="B21" s="1" t="str">
        <f>Stats!B26</f>
        <v>Dave Hudson</v>
      </c>
      <c r="C21" s="42" t="str">
        <f>Stats!C26</f>
        <v>LSM/Defence</v>
      </c>
      <c r="D21" s="13">
        <f t="shared" si="2"/>
        <v>0</v>
      </c>
      <c r="E21" s="13">
        <f t="shared" si="3"/>
        <v>0</v>
      </c>
      <c r="F21" s="49" t="str">
        <f t="shared" si="4"/>
        <v/>
      </c>
      <c r="G21" s="5">
        <f>COUNTIFS(Stats!$G$4:$CM$4,G$1,Stats!$G26:$CM26,"&lt;&gt;")</f>
        <v>0</v>
      </c>
      <c r="H21" s="5">
        <f>SUMIF(Stats!$G$4:$CI$4,G$1,Stats!$H26:$CO26)</f>
        <v>0</v>
      </c>
      <c r="I21" s="6" t="str">
        <f t="shared" si="5"/>
        <v/>
      </c>
      <c r="J21" s="5">
        <f>COUNTIFS(Stats!$G$4:$CM$4,J$1,Stats!$G26:$CM26,"&lt;&gt;")</f>
        <v>0</v>
      </c>
      <c r="K21" s="5">
        <f>SUMIF(Stats!$G$4:$CI$4,J$1,Stats!$H26:$CO26)</f>
        <v>0</v>
      </c>
      <c r="L21" s="6" t="str">
        <f t="shared" si="6"/>
        <v/>
      </c>
      <c r="M21" s="5">
        <f>COUNTIFS(Stats!$G$4:$CM$4,M$1,Stats!$G26:$CM26,"&lt;&gt;")</f>
        <v>0</v>
      </c>
      <c r="N21" s="5">
        <f>SUMIF(Stats!$G$4:$CI$4,M$1,Stats!$H26:$CO26)</f>
        <v>0</v>
      </c>
      <c r="O21" s="6" t="str">
        <f t="shared" si="7"/>
        <v/>
      </c>
      <c r="P21" s="13">
        <f>COUNTIFS(Stats!$J$9:$CM$9,"R",Stats!$J26:$CM26,"&gt;0")</f>
        <v>0</v>
      </c>
      <c r="Q21" s="13">
        <f>SUMIF(Stats!$J$9:$CM$9,"R",Stats!$J26:$CM26)</f>
        <v>0</v>
      </c>
      <c r="R21" s="13">
        <f>Stats!E26-E21</f>
        <v>0</v>
      </c>
    </row>
    <row r="22" spans="1:18" x14ac:dyDescent="0.2">
      <c r="A22" s="1">
        <f>Stats!A27</f>
        <v>888</v>
      </c>
      <c r="B22" s="1" t="str">
        <f>Stats!B27</f>
        <v>Luke Johnstone</v>
      </c>
      <c r="C22" s="42" t="str">
        <f>Stats!C27</f>
        <v>Attack</v>
      </c>
      <c r="D22" s="13">
        <f t="shared" si="2"/>
        <v>0</v>
      </c>
      <c r="E22" s="13">
        <f t="shared" si="3"/>
        <v>0</v>
      </c>
      <c r="F22" s="49" t="str">
        <f t="shared" si="4"/>
        <v/>
      </c>
      <c r="G22" s="5">
        <f>COUNTIFS(Stats!$G$4:$CM$4,G$1,Stats!$G27:$CM27,"&lt;&gt;")</f>
        <v>0</v>
      </c>
      <c r="H22" s="5">
        <f>SUMIF(Stats!$G$4:$CI$4,G$1,Stats!$H27:$CO27)</f>
        <v>0</v>
      </c>
      <c r="I22" s="6" t="str">
        <f t="shared" si="5"/>
        <v/>
      </c>
      <c r="J22" s="5">
        <f>COUNTIFS(Stats!$G$4:$CM$4,J$1,Stats!$G27:$CM27,"&lt;&gt;")</f>
        <v>0</v>
      </c>
      <c r="K22" s="5">
        <f>SUMIF(Stats!$G$4:$CI$4,J$1,Stats!$H27:$CO27)</f>
        <v>0</v>
      </c>
      <c r="L22" s="6" t="str">
        <f t="shared" si="6"/>
        <v/>
      </c>
      <c r="M22" s="5">
        <f>COUNTIFS(Stats!$G$4:$CM$4,M$1,Stats!$G27:$CM27,"&lt;&gt;")</f>
        <v>0</v>
      </c>
      <c r="N22" s="5">
        <f>SUMIF(Stats!$G$4:$CI$4,M$1,Stats!$H27:$CO27)</f>
        <v>0</v>
      </c>
      <c r="O22" s="6" t="str">
        <f t="shared" si="7"/>
        <v/>
      </c>
      <c r="P22" s="13">
        <f>COUNTIFS(Stats!$J$9:$CM$9,"R",Stats!$J27:$CM27,"&gt;0")</f>
        <v>0</v>
      </c>
      <c r="Q22" s="13">
        <f>SUMIF(Stats!$J$9:$CM$9,"R",Stats!$J27:$CM27)</f>
        <v>0</v>
      </c>
      <c r="R22" s="13">
        <f>Stats!E27-E22</f>
        <v>0</v>
      </c>
    </row>
    <row r="23" spans="1:18" x14ac:dyDescent="0.2">
      <c r="A23" s="1">
        <f>Stats!A28</f>
        <v>888</v>
      </c>
      <c r="B23" s="1" t="str">
        <f>Stats!B28</f>
        <v>Mylo Johnstone</v>
      </c>
      <c r="C23" s="42" t="str">
        <f>Stats!C28</f>
        <v>Attack</v>
      </c>
      <c r="D23" s="13">
        <f t="shared" si="2"/>
        <v>0</v>
      </c>
      <c r="E23" s="13">
        <f t="shared" si="3"/>
        <v>0</v>
      </c>
      <c r="F23" s="49" t="str">
        <f t="shared" si="4"/>
        <v/>
      </c>
      <c r="G23" s="5">
        <f>COUNTIFS(Stats!$G$4:$CM$4,G$1,Stats!$G28:$CM28,"&lt;&gt;")</f>
        <v>0</v>
      </c>
      <c r="H23" s="5">
        <f>SUMIF(Stats!$G$4:$CI$4,G$1,Stats!$H28:$CO28)</f>
        <v>0</v>
      </c>
      <c r="I23" s="6" t="str">
        <f t="shared" si="5"/>
        <v/>
      </c>
      <c r="J23" s="5">
        <f>COUNTIFS(Stats!$G$4:$CM$4,J$1,Stats!$G28:$CM28,"&lt;&gt;")</f>
        <v>0</v>
      </c>
      <c r="K23" s="5">
        <f>SUMIF(Stats!$G$4:$CI$4,J$1,Stats!$H28:$CO28)</f>
        <v>0</v>
      </c>
      <c r="L23" s="6" t="str">
        <f t="shared" si="6"/>
        <v/>
      </c>
      <c r="M23" s="5">
        <f>COUNTIFS(Stats!$G$4:$CM$4,M$1,Stats!$G28:$CM28,"&lt;&gt;")</f>
        <v>0</v>
      </c>
      <c r="N23" s="5">
        <f>SUMIF(Stats!$G$4:$CI$4,M$1,Stats!$H28:$CO28)</f>
        <v>0</v>
      </c>
      <c r="O23" s="6" t="str">
        <f t="shared" si="7"/>
        <v/>
      </c>
      <c r="P23" s="13">
        <f>COUNTIFS(Stats!$J$9:$CM$9,"R",Stats!$J28:$CM28,"&gt;0")</f>
        <v>0</v>
      </c>
      <c r="Q23" s="13">
        <f>SUMIF(Stats!$J$9:$CM$9,"R",Stats!$J28:$CM28)</f>
        <v>0</v>
      </c>
      <c r="R23" s="13">
        <f>Stats!E28-E23</f>
        <v>0</v>
      </c>
    </row>
    <row r="24" spans="1:18" x14ac:dyDescent="0.2">
      <c r="A24" s="1">
        <f>Stats!A29</f>
        <v>14</v>
      </c>
      <c r="B24" s="1" t="str">
        <f>Stats!B29</f>
        <v>James Keal</v>
      </c>
      <c r="C24" s="42" t="str">
        <f>Stats!C29</f>
        <v>Midfield</v>
      </c>
      <c r="D24" s="13">
        <f t="shared" si="2"/>
        <v>7</v>
      </c>
      <c r="E24" s="13">
        <f t="shared" si="3"/>
        <v>2</v>
      </c>
      <c r="F24" s="49">
        <f t="shared" si="4"/>
        <v>0.2857142857142857</v>
      </c>
      <c r="G24" s="5">
        <f>COUNTIFS(Stats!$G$4:$CM$4,G$1,Stats!$G29:$CM29,"&lt;&gt;")</f>
        <v>6</v>
      </c>
      <c r="H24" s="5">
        <f>SUMIF(Stats!$G$4:$CI$4,G$1,Stats!$H29:$CO29)</f>
        <v>2</v>
      </c>
      <c r="I24" s="6">
        <f t="shared" si="5"/>
        <v>0.33333333333333331</v>
      </c>
      <c r="J24" s="5">
        <f>COUNTIFS(Stats!$G$4:$CM$4,J$1,Stats!$G29:$CM29,"&lt;&gt;")</f>
        <v>0</v>
      </c>
      <c r="K24" s="5">
        <f>SUMIF(Stats!$G$4:$CI$4,J$1,Stats!$H29:$CO29)</f>
        <v>0</v>
      </c>
      <c r="L24" s="6" t="str">
        <f t="shared" si="6"/>
        <v/>
      </c>
      <c r="M24" s="5">
        <f>COUNTIFS(Stats!$G$4:$CM$4,M$1,Stats!$G29:$CM29,"&lt;&gt;")</f>
        <v>1</v>
      </c>
      <c r="N24" s="5">
        <f>SUMIF(Stats!$G$4:$CI$4,M$1,Stats!$H29:$CO29)</f>
        <v>0</v>
      </c>
      <c r="O24" s="6">
        <f t="shared" si="7"/>
        <v>0</v>
      </c>
      <c r="P24" s="13">
        <f>COUNTIFS(Stats!$J$9:$CM$9,"R",Stats!$J29:$CM29,"&gt;0")</f>
        <v>0</v>
      </c>
      <c r="Q24" s="13">
        <f>SUMIF(Stats!$J$9:$CM$9,"R",Stats!$J29:$CM29)</f>
        <v>0</v>
      </c>
      <c r="R24" s="13">
        <f>Stats!E29-E24</f>
        <v>0</v>
      </c>
    </row>
    <row r="25" spans="1:18" x14ac:dyDescent="0.2">
      <c r="A25" s="1">
        <f>Stats!A30</f>
        <v>12</v>
      </c>
      <c r="B25" s="1" t="str">
        <f>Stats!B30</f>
        <v>Dara McCreary</v>
      </c>
      <c r="C25" s="42" t="str">
        <f>Stats!C30</f>
        <v>Defence</v>
      </c>
      <c r="D25" s="13">
        <f t="shared" si="2"/>
        <v>12</v>
      </c>
      <c r="E25" s="13">
        <f t="shared" si="3"/>
        <v>1</v>
      </c>
      <c r="F25" s="49">
        <f t="shared" si="4"/>
        <v>8.3333333333333329E-2</v>
      </c>
      <c r="G25" s="5">
        <f>COUNTIFS(Stats!$G$4:$CM$4,G$1,Stats!$G30:$CM30,"&lt;&gt;")</f>
        <v>10</v>
      </c>
      <c r="H25" s="5">
        <f>SUMIF(Stats!$G$4:$CI$4,G$1,Stats!$H30:$CO30)</f>
        <v>1</v>
      </c>
      <c r="I25" s="6">
        <f t="shared" si="5"/>
        <v>0.1</v>
      </c>
      <c r="J25" s="5">
        <f>COUNTIFS(Stats!$G$4:$CM$4,J$1,Stats!$G30:$CM30,"&lt;&gt;")</f>
        <v>1</v>
      </c>
      <c r="K25" s="5">
        <f>SUMIF(Stats!$G$4:$CI$4,J$1,Stats!$H30:$CO30)</f>
        <v>0</v>
      </c>
      <c r="L25" s="6">
        <f t="shared" si="6"/>
        <v>0</v>
      </c>
      <c r="M25" s="5">
        <f>COUNTIFS(Stats!$G$4:$CM$4,M$1,Stats!$G30:$CM30,"&lt;&gt;")</f>
        <v>1</v>
      </c>
      <c r="N25" s="5">
        <f>SUMIF(Stats!$G$4:$CI$4,M$1,Stats!$H30:$CO30)</f>
        <v>0</v>
      </c>
      <c r="O25" s="6">
        <f t="shared" si="7"/>
        <v>0</v>
      </c>
      <c r="P25" s="13">
        <f>COUNTIFS(Stats!$J$9:$CM$9,"R",Stats!$J30:$CM30,"&gt;0")</f>
        <v>0</v>
      </c>
      <c r="Q25" s="13">
        <f>SUMIF(Stats!$J$9:$CM$9,"R",Stats!$J30:$CM30)</f>
        <v>0</v>
      </c>
      <c r="R25" s="13">
        <f>Stats!E30-E25</f>
        <v>0</v>
      </c>
    </row>
    <row r="26" spans="1:18" x14ac:dyDescent="0.2">
      <c r="A26" s="1" t="str">
        <f>Stats!A31</f>
        <v>00</v>
      </c>
      <c r="B26" s="1" t="str">
        <f>Stats!B31</f>
        <v>Dan Murphy</v>
      </c>
      <c r="C26" s="42" t="str">
        <f>Stats!C31</f>
        <v>Goal</v>
      </c>
      <c r="D26" s="13">
        <f t="shared" si="2"/>
        <v>8</v>
      </c>
      <c r="E26" s="13">
        <f t="shared" si="3"/>
        <v>0</v>
      </c>
      <c r="F26" s="49">
        <f t="shared" si="4"/>
        <v>0</v>
      </c>
      <c r="G26" s="5">
        <f>COUNTIFS(Stats!$G$4:$CM$4,G$1,Stats!$G31:$CM31,"&lt;&gt;")</f>
        <v>5</v>
      </c>
      <c r="H26" s="5">
        <f>SUMIF(Stats!$G$4:$CI$4,G$1,Stats!$H31:$CO31)</f>
        <v>0</v>
      </c>
      <c r="I26" s="6">
        <f t="shared" si="5"/>
        <v>0</v>
      </c>
      <c r="J26" s="5">
        <f>COUNTIFS(Stats!$G$4:$CM$4,J$1,Stats!$G31:$CM31,"&lt;&gt;")</f>
        <v>1</v>
      </c>
      <c r="K26" s="5">
        <f>SUMIF(Stats!$G$4:$CI$4,J$1,Stats!$H31:$CO31)</f>
        <v>0</v>
      </c>
      <c r="L26" s="6">
        <f t="shared" si="6"/>
        <v>0</v>
      </c>
      <c r="M26" s="5">
        <f>COUNTIFS(Stats!$G$4:$CM$4,M$1,Stats!$G31:$CM31,"&lt;&gt;")</f>
        <v>2</v>
      </c>
      <c r="N26" s="5">
        <f>SUMIF(Stats!$G$4:$CI$4,M$1,Stats!$H31:$CO31)</f>
        <v>0</v>
      </c>
      <c r="O26" s="6">
        <f t="shared" si="7"/>
        <v>0</v>
      </c>
      <c r="P26" s="13">
        <f>COUNTIFS(Stats!$J$9:$CM$9,"R",Stats!$J31:$CM31,"&gt;0")</f>
        <v>0</v>
      </c>
      <c r="Q26" s="13">
        <f>SUMIF(Stats!$J$9:$CM$9,"R",Stats!$J31:$CM31)</f>
        <v>0</v>
      </c>
      <c r="R26" s="13">
        <f>Stats!E31-E26</f>
        <v>0</v>
      </c>
    </row>
    <row r="27" spans="1:18" x14ac:dyDescent="0.2">
      <c r="A27" s="1">
        <f>Stats!A32</f>
        <v>10</v>
      </c>
      <c r="B27" s="1" t="str">
        <f>Stats!B32</f>
        <v>Darren Novell</v>
      </c>
      <c r="C27" s="42" t="str">
        <f>Stats!C32</f>
        <v>Attack</v>
      </c>
      <c r="D27" s="13">
        <f t="shared" si="2"/>
        <v>9</v>
      </c>
      <c r="E27" s="13">
        <f t="shared" si="3"/>
        <v>3</v>
      </c>
      <c r="F27" s="49">
        <f t="shared" si="4"/>
        <v>0.33333333333333331</v>
      </c>
      <c r="G27" s="5">
        <f>COUNTIFS(Stats!$G$4:$CM$4,G$1,Stats!$G32:$CM32,"&lt;&gt;")</f>
        <v>8</v>
      </c>
      <c r="H27" s="5">
        <f>SUMIF(Stats!$G$4:$CI$4,G$1,Stats!$H32:$CO32)</f>
        <v>2</v>
      </c>
      <c r="I27" s="6">
        <f t="shared" si="5"/>
        <v>0.25</v>
      </c>
      <c r="J27" s="5">
        <f>COUNTIFS(Stats!$G$4:$CM$4,J$1,Stats!$G32:$CM32,"&lt;&gt;")</f>
        <v>0</v>
      </c>
      <c r="K27" s="5">
        <f>SUMIF(Stats!$G$4:$CI$4,J$1,Stats!$H32:$CO32)</f>
        <v>0</v>
      </c>
      <c r="L27" s="6" t="str">
        <f t="shared" si="6"/>
        <v/>
      </c>
      <c r="M27" s="5">
        <f>COUNTIFS(Stats!$G$4:$CM$4,M$1,Stats!$G32:$CM32,"&lt;&gt;")</f>
        <v>1</v>
      </c>
      <c r="N27" s="5">
        <f>SUMIF(Stats!$G$4:$CI$4,M$1,Stats!$H32:$CO32)</f>
        <v>1</v>
      </c>
      <c r="O27" s="6">
        <f t="shared" si="7"/>
        <v>1</v>
      </c>
      <c r="P27" s="13">
        <f>COUNTIFS(Stats!$J$9:$CM$9,"R",Stats!$J32:$CM32,"&gt;0")</f>
        <v>0</v>
      </c>
      <c r="Q27" s="13">
        <f>SUMIF(Stats!$J$9:$CM$9,"R",Stats!$J32:$CM32)</f>
        <v>0</v>
      </c>
      <c r="R27" s="13">
        <f>Stats!E32-E27</f>
        <v>0</v>
      </c>
    </row>
    <row r="28" spans="1:18" x14ac:dyDescent="0.2">
      <c r="A28" s="1">
        <f>Stats!A33</f>
        <v>7</v>
      </c>
      <c r="B28" s="1" t="str">
        <f>Stats!B33</f>
        <v>Matt Payne</v>
      </c>
      <c r="C28" s="42" t="str">
        <f>Stats!C33</f>
        <v>Attack</v>
      </c>
      <c r="D28" s="13">
        <f t="shared" si="2"/>
        <v>5</v>
      </c>
      <c r="E28" s="13">
        <f t="shared" si="3"/>
        <v>7</v>
      </c>
      <c r="F28" s="49">
        <f t="shared" si="4"/>
        <v>1.4</v>
      </c>
      <c r="G28" s="5">
        <f>COUNTIFS(Stats!$G$4:$CM$4,G$1,Stats!$G33:$CM33,"&lt;&gt;")</f>
        <v>3</v>
      </c>
      <c r="H28" s="5">
        <f>SUMIF(Stats!$G$4:$CI$4,G$1,Stats!$H33:$CO33)</f>
        <v>7</v>
      </c>
      <c r="I28" s="6">
        <f t="shared" si="5"/>
        <v>2.3333333333333335</v>
      </c>
      <c r="J28" s="5">
        <f>COUNTIFS(Stats!$G$4:$CM$4,J$1,Stats!$G33:$CM33,"&lt;&gt;")</f>
        <v>1</v>
      </c>
      <c r="K28" s="5">
        <f>SUMIF(Stats!$G$4:$CI$4,J$1,Stats!$H33:$CO33)</f>
        <v>0</v>
      </c>
      <c r="L28" s="6">
        <f t="shared" si="6"/>
        <v>0</v>
      </c>
      <c r="M28" s="5">
        <f>COUNTIFS(Stats!$G$4:$CM$4,M$1,Stats!$G33:$CM33,"&lt;&gt;")</f>
        <v>1</v>
      </c>
      <c r="N28" s="5">
        <f>SUMIF(Stats!$G$4:$CI$4,M$1,Stats!$H33:$CO33)</f>
        <v>0</v>
      </c>
      <c r="O28" s="6">
        <f t="shared" si="7"/>
        <v>0</v>
      </c>
      <c r="P28" s="13">
        <f>COUNTIFS(Stats!$J$9:$CM$9,"R",Stats!$J33:$CM33,"&gt;0")</f>
        <v>0</v>
      </c>
      <c r="Q28" s="13">
        <f>SUMIF(Stats!$J$9:$CM$9,"R",Stats!$J33:$CM33)</f>
        <v>0</v>
      </c>
      <c r="R28" s="13">
        <f>Stats!E33-E28</f>
        <v>0</v>
      </c>
    </row>
    <row r="29" spans="1:18" x14ac:dyDescent="0.2">
      <c r="A29" s="1">
        <f>Stats!A34</f>
        <v>15</v>
      </c>
      <c r="B29" s="1" t="str">
        <f>Stats!B34</f>
        <v>Matt Porter</v>
      </c>
      <c r="C29" s="42" t="str">
        <f>Stats!C34</f>
        <v>Defence</v>
      </c>
      <c r="D29" s="13">
        <f t="shared" si="2"/>
        <v>4</v>
      </c>
      <c r="E29" s="13">
        <f t="shared" si="3"/>
        <v>0</v>
      </c>
      <c r="F29" s="49">
        <f t="shared" si="4"/>
        <v>0</v>
      </c>
      <c r="G29" s="5">
        <f>COUNTIFS(Stats!$G$4:$CM$4,G$1,Stats!$G34:$CM34,"&lt;&gt;")</f>
        <v>3</v>
      </c>
      <c r="H29" s="5">
        <f>SUMIF(Stats!$G$4:$CI$4,G$1,Stats!$H34:$CO34)</f>
        <v>0</v>
      </c>
      <c r="I29" s="6">
        <f t="shared" si="5"/>
        <v>0</v>
      </c>
      <c r="J29" s="5">
        <f>COUNTIFS(Stats!$G$4:$CM$4,J$1,Stats!$G34:$CM34,"&lt;&gt;")</f>
        <v>0</v>
      </c>
      <c r="K29" s="5">
        <f>SUMIF(Stats!$G$4:$CI$4,J$1,Stats!$H34:$CO34)</f>
        <v>0</v>
      </c>
      <c r="L29" s="6" t="str">
        <f t="shared" si="6"/>
        <v/>
      </c>
      <c r="M29" s="5">
        <f>COUNTIFS(Stats!$G$4:$CM$4,M$1,Stats!$G34:$CM34,"&lt;&gt;")</f>
        <v>1</v>
      </c>
      <c r="N29" s="5">
        <f>SUMIF(Stats!$G$4:$CI$4,M$1,Stats!$H34:$CO34)</f>
        <v>0</v>
      </c>
      <c r="O29" s="6">
        <f t="shared" si="7"/>
        <v>0</v>
      </c>
      <c r="P29" s="13">
        <f>COUNTIFS(Stats!$J$9:$CM$9,"R",Stats!$J34:$CM34,"&gt;0")</f>
        <v>0</v>
      </c>
      <c r="Q29" s="13">
        <f>SUMIF(Stats!$J$9:$CM$9,"R",Stats!$J34:$CM34)</f>
        <v>0</v>
      </c>
      <c r="R29" s="13">
        <f>Stats!E34-E29</f>
        <v>0</v>
      </c>
    </row>
    <row r="30" spans="1:18" x14ac:dyDescent="0.2">
      <c r="A30" s="1">
        <f>Stats!A35</f>
        <v>888</v>
      </c>
      <c r="B30" s="1" t="str">
        <f>Stats!B35</f>
        <v>Eliot Pugh</v>
      </c>
      <c r="C30" s="42" t="str">
        <f>Stats!C35</f>
        <v>Goal</v>
      </c>
      <c r="D30" s="13">
        <f t="shared" si="2"/>
        <v>8</v>
      </c>
      <c r="E30" s="13">
        <f t="shared" si="3"/>
        <v>0</v>
      </c>
      <c r="F30" s="49">
        <f t="shared" si="4"/>
        <v>0</v>
      </c>
      <c r="G30" s="5">
        <f>COUNTIFS(Stats!$G$4:$CM$4,G$1,Stats!$G35:$CM35,"&lt;&gt;")</f>
        <v>8</v>
      </c>
      <c r="H30" s="5">
        <f>SUMIF(Stats!$G$4:$CI$4,G$1,Stats!$H35:$CO35)</f>
        <v>0</v>
      </c>
      <c r="I30" s="6">
        <f t="shared" si="5"/>
        <v>0</v>
      </c>
      <c r="J30" s="5">
        <f>COUNTIFS(Stats!$G$4:$CM$4,J$1,Stats!$G35:$CM35,"&lt;&gt;")</f>
        <v>0</v>
      </c>
      <c r="K30" s="5">
        <f>SUMIF(Stats!$G$4:$CI$4,J$1,Stats!$H35:$CO35)</f>
        <v>0</v>
      </c>
      <c r="L30" s="6" t="str">
        <f t="shared" si="6"/>
        <v/>
      </c>
      <c r="M30" s="5">
        <f>COUNTIFS(Stats!$G$4:$CM$4,M$1,Stats!$G35:$CM35,"&lt;&gt;")</f>
        <v>0</v>
      </c>
      <c r="N30" s="5">
        <f>SUMIF(Stats!$G$4:$CI$4,M$1,Stats!$H35:$CO35)</f>
        <v>0</v>
      </c>
      <c r="O30" s="6" t="str">
        <f t="shared" si="7"/>
        <v/>
      </c>
      <c r="P30" s="13">
        <f>COUNTIFS(Stats!$J$9:$CM$9,"R",Stats!$J35:$CM35,"&gt;0")</f>
        <v>0</v>
      </c>
      <c r="Q30" s="13">
        <f>SUMIF(Stats!$J$9:$CM$9,"R",Stats!$J35:$CM35)</f>
        <v>0</v>
      </c>
      <c r="R30" s="13">
        <f>Stats!E35-E30</f>
        <v>0</v>
      </c>
    </row>
    <row r="31" spans="1:18" x14ac:dyDescent="0.2">
      <c r="A31" s="1">
        <f>Stats!A36</f>
        <v>28</v>
      </c>
      <c r="B31" s="1" t="str">
        <f>Stats!B36</f>
        <v>Dave Slaughter</v>
      </c>
      <c r="C31" s="42" t="str">
        <f>Stats!C36</f>
        <v>Defence</v>
      </c>
      <c r="D31" s="13">
        <f t="shared" si="2"/>
        <v>12</v>
      </c>
      <c r="E31" s="13">
        <f t="shared" si="3"/>
        <v>1</v>
      </c>
      <c r="F31" s="49">
        <f t="shared" si="4"/>
        <v>8.3333333333333329E-2</v>
      </c>
      <c r="G31" s="5">
        <f>COUNTIFS(Stats!$G$4:$CM$4,G$1,Stats!$G36:$CM36,"&lt;&gt;")</f>
        <v>9</v>
      </c>
      <c r="H31" s="5">
        <f>SUMIF(Stats!$G$4:$CI$4,G$1,Stats!$H36:$CO36)</f>
        <v>1</v>
      </c>
      <c r="I31" s="6">
        <f t="shared" si="5"/>
        <v>0.1111111111111111</v>
      </c>
      <c r="J31" s="5">
        <f>COUNTIFS(Stats!$G$4:$CM$4,J$1,Stats!$G36:$CM36,"&lt;&gt;")</f>
        <v>1</v>
      </c>
      <c r="K31" s="5">
        <f>SUMIF(Stats!$G$4:$CI$4,J$1,Stats!$H36:$CO36)</f>
        <v>0</v>
      </c>
      <c r="L31" s="6">
        <f t="shared" si="6"/>
        <v>0</v>
      </c>
      <c r="M31" s="5">
        <f>COUNTIFS(Stats!$G$4:$CM$4,M$1,Stats!$G36:$CM36,"&lt;&gt;")</f>
        <v>2</v>
      </c>
      <c r="N31" s="5">
        <f>SUMIF(Stats!$G$4:$CI$4,M$1,Stats!$H36:$CO36)</f>
        <v>0</v>
      </c>
      <c r="O31" s="6">
        <f t="shared" si="7"/>
        <v>0</v>
      </c>
      <c r="P31" s="13">
        <f>COUNTIFS(Stats!$J$9:$CM$9,"R",Stats!$J36:$CM36,"&gt;0")</f>
        <v>3</v>
      </c>
      <c r="Q31" s="13">
        <f>SUMIF(Stats!$J$9:$CM$9,"R",Stats!$J36:$CM36)</f>
        <v>10</v>
      </c>
      <c r="R31" s="13">
        <f>Stats!E36-E31</f>
        <v>0</v>
      </c>
    </row>
    <row r="32" spans="1:18" x14ac:dyDescent="0.2">
      <c r="A32" s="1">
        <f>Stats!A37</f>
        <v>888</v>
      </c>
      <c r="B32" s="1" t="str">
        <f>Stats!B37</f>
        <v>Chase Stuart</v>
      </c>
      <c r="C32" s="42" t="str">
        <f>Stats!C37</f>
        <v>Midfield</v>
      </c>
      <c r="D32" s="13">
        <f t="shared" si="2"/>
        <v>1</v>
      </c>
      <c r="E32" s="13">
        <f t="shared" si="3"/>
        <v>0</v>
      </c>
      <c r="F32" s="49">
        <f t="shared" si="4"/>
        <v>0</v>
      </c>
      <c r="G32" s="5">
        <f>COUNTIFS(Stats!$G$4:$CM$4,G$1,Stats!$G37:$CM37,"&lt;&gt;")</f>
        <v>1</v>
      </c>
      <c r="H32" s="5">
        <f>SUMIF(Stats!$G$4:$CI$4,G$1,Stats!$H37:$CO37)</f>
        <v>0</v>
      </c>
      <c r="I32" s="6">
        <f t="shared" si="5"/>
        <v>0</v>
      </c>
      <c r="J32" s="5">
        <f>COUNTIFS(Stats!$G$4:$CM$4,J$1,Stats!$G37:$CM37,"&lt;&gt;")</f>
        <v>0</v>
      </c>
      <c r="K32" s="5">
        <f>SUMIF(Stats!$G$4:$CI$4,J$1,Stats!$H37:$CO37)</f>
        <v>0</v>
      </c>
      <c r="L32" s="6" t="str">
        <f t="shared" si="6"/>
        <v/>
      </c>
      <c r="M32" s="5">
        <f>COUNTIFS(Stats!$G$4:$CM$4,M$1,Stats!$G37:$CM37,"&lt;&gt;")</f>
        <v>0</v>
      </c>
      <c r="N32" s="5">
        <f>SUMIF(Stats!$G$4:$CI$4,M$1,Stats!$H37:$CO37)</f>
        <v>0</v>
      </c>
      <c r="O32" s="6" t="str">
        <f t="shared" si="7"/>
        <v/>
      </c>
      <c r="P32" s="13">
        <f>COUNTIFS(Stats!$J$9:$CM$9,"R",Stats!$J37:$CM37,"&gt;0")</f>
        <v>0</v>
      </c>
      <c r="Q32" s="13">
        <f>SUMIF(Stats!$J$9:$CM$9,"R",Stats!$J37:$CM37)</f>
        <v>0</v>
      </c>
      <c r="R32" s="13">
        <f>Stats!E37-E32</f>
        <v>0</v>
      </c>
    </row>
    <row r="33" spans="1:18" x14ac:dyDescent="0.2">
      <c r="A33" s="1">
        <f>Stats!A38</f>
        <v>19</v>
      </c>
      <c r="B33" s="1" t="str">
        <f>Stats!B38</f>
        <v>Kaspars 'Stripes' Veips</v>
      </c>
      <c r="C33" s="42" t="str">
        <f>Stats!C38</f>
        <v>Defence</v>
      </c>
      <c r="D33" s="13">
        <f t="shared" si="2"/>
        <v>9</v>
      </c>
      <c r="E33" s="13">
        <f t="shared" si="3"/>
        <v>8</v>
      </c>
      <c r="F33" s="49">
        <f t="shared" si="4"/>
        <v>0.88888888888888884</v>
      </c>
      <c r="G33" s="5">
        <f>COUNTIFS(Stats!$G$4:$CM$4,G$1,Stats!$G38:$CM38,"&lt;&gt;")</f>
        <v>8</v>
      </c>
      <c r="H33" s="5">
        <f>SUMIF(Stats!$G$4:$CI$4,G$1,Stats!$H38:$CO38)</f>
        <v>8</v>
      </c>
      <c r="I33" s="6">
        <f t="shared" si="5"/>
        <v>1</v>
      </c>
      <c r="J33" s="5">
        <f>COUNTIFS(Stats!$G$4:$CM$4,J$1,Stats!$G38:$CM38,"&lt;&gt;")</f>
        <v>1</v>
      </c>
      <c r="K33" s="5">
        <f>SUMIF(Stats!$G$4:$CI$4,J$1,Stats!$H38:$CO38)</f>
        <v>0</v>
      </c>
      <c r="L33" s="6">
        <f t="shared" si="6"/>
        <v>0</v>
      </c>
      <c r="M33" s="5">
        <f>COUNTIFS(Stats!$G$4:$CM$4,M$1,Stats!$G38:$CM38,"&lt;&gt;")</f>
        <v>0</v>
      </c>
      <c r="N33" s="5">
        <f>SUMIF(Stats!$G$4:$CI$4,M$1,Stats!$H38:$CO38)</f>
        <v>0</v>
      </c>
      <c r="O33" s="6" t="str">
        <f t="shared" si="7"/>
        <v/>
      </c>
      <c r="P33" s="13">
        <f>COUNTIFS(Stats!$J$9:$CM$9,"R",Stats!$J38:$CM38,"&gt;0")</f>
        <v>0</v>
      </c>
      <c r="Q33" s="13">
        <f>SUMIF(Stats!$J$9:$CM$9,"R",Stats!$J38:$CM38)</f>
        <v>0</v>
      </c>
      <c r="R33" s="13">
        <f>Stats!E38-E33</f>
        <v>0</v>
      </c>
    </row>
    <row r="34" spans="1:18" x14ac:dyDescent="0.2">
      <c r="A34" s="1">
        <f>Stats!A39</f>
        <v>4</v>
      </c>
      <c r="B34" s="1" t="str">
        <f>Stats!B39</f>
        <v>Eliot Wilde</v>
      </c>
      <c r="C34" s="42" t="str">
        <f>Stats!C39</f>
        <v>Defence</v>
      </c>
      <c r="D34" s="13">
        <f t="shared" si="2"/>
        <v>12</v>
      </c>
      <c r="E34" s="13">
        <f t="shared" si="3"/>
        <v>0</v>
      </c>
      <c r="F34" s="49">
        <f t="shared" si="4"/>
        <v>0</v>
      </c>
      <c r="G34" s="5">
        <f>COUNTIFS(Stats!$G$4:$CM$4,G$1,Stats!$G39:$CM39,"&lt;&gt;")</f>
        <v>10</v>
      </c>
      <c r="H34" s="5">
        <f>SUMIF(Stats!$G$4:$CI$4,G$1,Stats!$H39:$CO39)</f>
        <v>0</v>
      </c>
      <c r="I34" s="6">
        <f t="shared" si="5"/>
        <v>0</v>
      </c>
      <c r="J34" s="5">
        <f>COUNTIFS(Stats!$G$4:$CM$4,J$1,Stats!$G39:$CM39,"&lt;&gt;")</f>
        <v>0</v>
      </c>
      <c r="K34" s="5">
        <f>SUMIF(Stats!$G$4:$CI$4,J$1,Stats!$H39:$CO39)</f>
        <v>0</v>
      </c>
      <c r="L34" s="6" t="str">
        <f t="shared" si="6"/>
        <v/>
      </c>
      <c r="M34" s="5">
        <f>COUNTIFS(Stats!$G$4:$CM$4,M$1,Stats!$G39:$CM39,"&lt;&gt;")</f>
        <v>2</v>
      </c>
      <c r="N34" s="5">
        <f>SUMIF(Stats!$G$4:$CI$4,M$1,Stats!$H39:$CO39)</f>
        <v>0</v>
      </c>
      <c r="O34" s="6">
        <f t="shared" si="7"/>
        <v>0</v>
      </c>
      <c r="P34" s="13">
        <f>COUNTIFS(Stats!$J$9:$CM$9,"R",Stats!$J39:$CM39,"&gt;0")</f>
        <v>0</v>
      </c>
      <c r="Q34" s="13">
        <f>SUMIF(Stats!$J$9:$CM$9,"R",Stats!$J39:$CM39)</f>
        <v>0</v>
      </c>
      <c r="R34" s="13">
        <f>Stats!E39-E34</f>
        <v>0</v>
      </c>
    </row>
    <row r="35" spans="1:18" x14ac:dyDescent="0.2">
      <c r="A35" s="1">
        <f>Stats!A40</f>
        <v>777</v>
      </c>
      <c r="B35" s="1" t="str">
        <f>Stats!B40</f>
        <v>Hugh Mitchison</v>
      </c>
      <c r="C35" s="42">
        <f>Stats!C40</f>
        <v>0</v>
      </c>
      <c r="D35" s="13">
        <f t="shared" si="2"/>
        <v>1</v>
      </c>
      <c r="E35" s="13">
        <f t="shared" si="3"/>
        <v>0</v>
      </c>
      <c r="F35" s="49">
        <f t="shared" si="4"/>
        <v>0</v>
      </c>
      <c r="G35" s="5">
        <f>COUNTIFS(Stats!$G$4:$CM$4,G$1,Stats!$G40:$CM40,"&lt;&gt;")</f>
        <v>1</v>
      </c>
      <c r="H35" s="5">
        <f>SUMIF(Stats!$G$4:$CI$4,G$1,Stats!$H40:$CO40)</f>
        <v>0</v>
      </c>
      <c r="I35" s="6">
        <f t="shared" si="5"/>
        <v>0</v>
      </c>
      <c r="J35" s="5">
        <f>COUNTIFS(Stats!$G$4:$CM$4,J$1,Stats!$G40:$CM40,"&lt;&gt;")</f>
        <v>0</v>
      </c>
      <c r="K35" s="5">
        <f>SUMIF(Stats!$G$4:$CI$4,J$1,Stats!$H40:$CO40)</f>
        <v>0</v>
      </c>
      <c r="L35" s="6" t="str">
        <f t="shared" si="6"/>
        <v/>
      </c>
      <c r="M35" s="5">
        <f>COUNTIFS(Stats!$G$4:$CM$4,M$1,Stats!$G40:$CM40,"&lt;&gt;")</f>
        <v>0</v>
      </c>
      <c r="N35" s="5">
        <f>SUMIF(Stats!$G$4:$CI$4,M$1,Stats!$H40:$CO40)</f>
        <v>0</v>
      </c>
      <c r="O35" s="6" t="str">
        <f t="shared" si="7"/>
        <v/>
      </c>
      <c r="P35" s="13">
        <f>COUNTIFS(Stats!$J$9:$CM$9,"R",Stats!$J40:$CM40,"&gt;0")</f>
        <v>0</v>
      </c>
      <c r="Q35" s="13">
        <f>SUMIF(Stats!$J$9:$CM$9,"R",Stats!$J40:$CM40)</f>
        <v>0</v>
      </c>
      <c r="R35" s="13">
        <f>Stats!E40-E35</f>
        <v>0</v>
      </c>
    </row>
    <row r="36" spans="1:18" x14ac:dyDescent="0.2">
      <c r="A36" s="1">
        <f>Stats!A41</f>
        <v>888</v>
      </c>
      <c r="B36" s="1" t="str">
        <f>Stats!B41</f>
        <v>Dan</v>
      </c>
      <c r="C36" s="42">
        <f>Stats!C41</f>
        <v>0</v>
      </c>
      <c r="D36" s="13">
        <f t="shared" si="2"/>
        <v>1</v>
      </c>
      <c r="E36" s="13">
        <f t="shared" si="3"/>
        <v>2</v>
      </c>
      <c r="F36" s="49">
        <f t="shared" si="4"/>
        <v>2</v>
      </c>
      <c r="G36" s="5">
        <f>COUNTIFS(Stats!$G$4:$CM$4,G$1,Stats!$G41:$CM41,"&lt;&gt;")</f>
        <v>1</v>
      </c>
      <c r="H36" s="5">
        <f>SUMIF(Stats!$G$4:$CI$4,G$1,Stats!$H41:$CO41)</f>
        <v>2</v>
      </c>
      <c r="I36" s="6">
        <f t="shared" si="5"/>
        <v>2</v>
      </c>
      <c r="J36" s="5">
        <f>COUNTIFS(Stats!$G$4:$CM$4,J$1,Stats!$G41:$CM41,"&lt;&gt;")</f>
        <v>0</v>
      </c>
      <c r="K36" s="5">
        <f>SUMIF(Stats!$G$4:$CI$4,J$1,Stats!$H41:$CO41)</f>
        <v>0</v>
      </c>
      <c r="L36" s="6" t="str">
        <f t="shared" si="6"/>
        <v/>
      </c>
      <c r="M36" s="5">
        <f>COUNTIFS(Stats!$G$4:$CM$4,M$1,Stats!$G41:$CM41,"&lt;&gt;")</f>
        <v>0</v>
      </c>
      <c r="N36" s="5">
        <f>SUMIF(Stats!$G$4:$CI$4,M$1,Stats!$H41:$CO41)</f>
        <v>0</v>
      </c>
      <c r="O36" s="6" t="str">
        <f t="shared" si="7"/>
        <v/>
      </c>
      <c r="P36" s="13">
        <f>COUNTIFS(Stats!$J$9:$CM$9,"R",Stats!$J41:$CM41,"&gt;0")</f>
        <v>0</v>
      </c>
      <c r="Q36" s="13">
        <f>SUMIF(Stats!$J$9:$CM$9,"R",Stats!$J41:$CM41)</f>
        <v>0</v>
      </c>
      <c r="R36" s="13">
        <f>Stats!E41-E36</f>
        <v>0</v>
      </c>
    </row>
    <row r="37" spans="1:18" x14ac:dyDescent="0.2">
      <c r="A37" s="1">
        <f>Stats!A42</f>
        <v>888</v>
      </c>
      <c r="B37" s="1" t="str">
        <f>Stats!B42</f>
        <v>Jimmy</v>
      </c>
      <c r="C37" s="42">
        <f>Stats!C42</f>
        <v>0</v>
      </c>
      <c r="D37" s="13">
        <f t="shared" si="2"/>
        <v>1</v>
      </c>
      <c r="E37" s="13">
        <f t="shared" si="3"/>
        <v>3</v>
      </c>
      <c r="F37" s="49">
        <f t="shared" si="4"/>
        <v>3</v>
      </c>
      <c r="G37" s="5">
        <f>COUNTIFS(Stats!$G$4:$CM$4,G$1,Stats!$G42:$CM42,"&lt;&gt;")</f>
        <v>1</v>
      </c>
      <c r="H37" s="5">
        <f>SUMIF(Stats!$G$4:$CI$4,G$1,Stats!$H42:$CO42)</f>
        <v>3</v>
      </c>
      <c r="I37" s="6">
        <f t="shared" si="5"/>
        <v>3</v>
      </c>
      <c r="J37" s="5">
        <f>COUNTIFS(Stats!$G$4:$CM$4,J$1,Stats!$G42:$CM42,"&lt;&gt;")</f>
        <v>0</v>
      </c>
      <c r="K37" s="5">
        <f>SUMIF(Stats!$G$4:$CI$4,J$1,Stats!$H42:$CO42)</f>
        <v>0</v>
      </c>
      <c r="L37" s="6" t="str">
        <f t="shared" si="6"/>
        <v/>
      </c>
      <c r="M37" s="5">
        <f>COUNTIFS(Stats!$G$4:$CM$4,M$1,Stats!$G42:$CM42,"&lt;&gt;")</f>
        <v>0</v>
      </c>
      <c r="N37" s="5">
        <f>SUMIF(Stats!$G$4:$CI$4,M$1,Stats!$H42:$CO42)</f>
        <v>0</v>
      </c>
      <c r="O37" s="6" t="str">
        <f t="shared" si="7"/>
        <v/>
      </c>
      <c r="P37" s="13">
        <f>COUNTIFS(Stats!$J$9:$CM$9,"R",Stats!$J42:$CM42,"&gt;0")</f>
        <v>0</v>
      </c>
      <c r="Q37" s="13">
        <f>SUMIF(Stats!$J$9:$CM$9,"R",Stats!$J42:$CM42)</f>
        <v>0</v>
      </c>
      <c r="R37" s="13">
        <f>Stats!E42-E37</f>
        <v>0</v>
      </c>
    </row>
    <row r="38" spans="1:18" x14ac:dyDescent="0.2">
      <c r="A38" s="1">
        <f>Stats!A43</f>
        <v>888</v>
      </c>
      <c r="B38" s="1" t="str">
        <f>Stats!B43</f>
        <v>Phil</v>
      </c>
      <c r="C38" s="42">
        <f>Stats!C43</f>
        <v>0</v>
      </c>
      <c r="D38" s="13">
        <f t="shared" si="2"/>
        <v>2</v>
      </c>
      <c r="E38" s="13">
        <f t="shared" si="3"/>
        <v>0</v>
      </c>
      <c r="F38" s="49">
        <f t="shared" si="4"/>
        <v>0</v>
      </c>
      <c r="G38" s="5">
        <f>COUNTIFS(Stats!$G$4:$CM$4,G$1,Stats!$G43:$CM43,"&lt;&gt;")</f>
        <v>2</v>
      </c>
      <c r="H38" s="5">
        <f>SUMIF(Stats!$G$4:$CI$4,G$1,Stats!$H43:$CO43)</f>
        <v>0</v>
      </c>
      <c r="I38" s="6">
        <f t="shared" si="5"/>
        <v>0</v>
      </c>
      <c r="J38" s="5">
        <f>COUNTIFS(Stats!$G$4:$CM$4,J$1,Stats!$G43:$CM43,"&lt;&gt;")</f>
        <v>0</v>
      </c>
      <c r="K38" s="5">
        <f>SUMIF(Stats!$G$4:$CI$4,J$1,Stats!$H43:$CO43)</f>
        <v>0</v>
      </c>
      <c r="L38" s="6" t="str">
        <f t="shared" si="6"/>
        <v/>
      </c>
      <c r="M38" s="5">
        <f>COUNTIFS(Stats!$G$4:$CM$4,M$1,Stats!$G43:$CM43,"&lt;&gt;")</f>
        <v>0</v>
      </c>
      <c r="N38" s="5">
        <f>SUMIF(Stats!$G$4:$CI$4,M$1,Stats!$H43:$CO43)</f>
        <v>0</v>
      </c>
      <c r="O38" s="6" t="str">
        <f t="shared" si="7"/>
        <v/>
      </c>
      <c r="P38" s="13">
        <f>COUNTIFS(Stats!$J$9:$CM$9,"R",Stats!$J43:$CM43,"&gt;0")</f>
        <v>0</v>
      </c>
      <c r="Q38" s="13">
        <f>SUMIF(Stats!$J$9:$CM$9,"R",Stats!$J43:$CM43)</f>
        <v>0</v>
      </c>
      <c r="R38" s="13">
        <f>Stats!E43-E38</f>
        <v>0</v>
      </c>
    </row>
    <row r="39" spans="1:18" x14ac:dyDescent="0.2">
      <c r="A39" s="1">
        <f>Stats!A44</f>
        <v>888</v>
      </c>
      <c r="B39" s="1" t="str">
        <f>Stats!B44</f>
        <v>Jeremy Lee</v>
      </c>
      <c r="C39" s="42">
        <f>Stats!C44</f>
        <v>0</v>
      </c>
      <c r="D39" s="13">
        <f t="shared" si="2"/>
        <v>4</v>
      </c>
      <c r="E39" s="13">
        <f t="shared" si="3"/>
        <v>9</v>
      </c>
      <c r="F39" s="49">
        <f t="shared" si="4"/>
        <v>2.25</v>
      </c>
      <c r="G39" s="5">
        <f>COUNTIFS(Stats!$G$4:$CM$4,G$1,Stats!$G44:$CM44,"&lt;&gt;")</f>
        <v>4</v>
      </c>
      <c r="H39" s="5">
        <f>SUMIF(Stats!$G$4:$CI$4,G$1,Stats!$H44:$CO44)</f>
        <v>9</v>
      </c>
      <c r="I39" s="6">
        <f t="shared" si="5"/>
        <v>2.25</v>
      </c>
      <c r="J39" s="5">
        <f>COUNTIFS(Stats!$G$4:$CM$4,J$1,Stats!$G44:$CM44,"&lt;&gt;")</f>
        <v>0</v>
      </c>
      <c r="K39" s="5">
        <f>SUMIF(Stats!$G$4:$CI$4,J$1,Stats!$H44:$CO44)</f>
        <v>0</v>
      </c>
      <c r="L39" s="6" t="str">
        <f t="shared" si="6"/>
        <v/>
      </c>
      <c r="M39" s="5">
        <f>COUNTIFS(Stats!$G$4:$CM$4,M$1,Stats!$G44:$CM44,"&lt;&gt;")</f>
        <v>0</v>
      </c>
      <c r="N39" s="5">
        <f>SUMIF(Stats!$G$4:$CI$4,M$1,Stats!$H44:$CO44)</f>
        <v>0</v>
      </c>
      <c r="O39" s="6" t="str">
        <f t="shared" si="7"/>
        <v/>
      </c>
      <c r="P39" s="13">
        <f>COUNTIFS(Stats!$J$9:$CM$9,"R",Stats!$J44:$CM44,"&gt;0")</f>
        <v>0</v>
      </c>
      <c r="Q39" s="13">
        <f>SUMIF(Stats!$J$9:$CM$9,"R",Stats!$J44:$CM44)</f>
        <v>0</v>
      </c>
      <c r="R39" s="13">
        <f>Stats!E44-E39</f>
        <v>0</v>
      </c>
    </row>
    <row r="40" spans="1:18" x14ac:dyDescent="0.2">
      <c r="A40" s="1">
        <f>Stats!A45</f>
        <v>0</v>
      </c>
      <c r="B40" s="1">
        <f>Stats!B45</f>
        <v>0</v>
      </c>
      <c r="C40" s="42">
        <f>Stats!C45</f>
        <v>0</v>
      </c>
      <c r="D40" s="13">
        <f t="shared" si="2"/>
        <v>0</v>
      </c>
      <c r="E40" s="13">
        <f t="shared" si="3"/>
        <v>0</v>
      </c>
      <c r="F40" s="49" t="str">
        <f t="shared" si="4"/>
        <v/>
      </c>
      <c r="G40" s="5">
        <f>COUNTIFS(Stats!$G$4:$CM$4,G$1,Stats!$G45:$CM45,"&lt;&gt;")</f>
        <v>0</v>
      </c>
      <c r="H40" s="5">
        <f>SUMIF(Stats!$G$4:$CI$4,G$1,Stats!$H45:$CO45)</f>
        <v>0</v>
      </c>
      <c r="I40" s="6" t="str">
        <f t="shared" si="5"/>
        <v/>
      </c>
      <c r="J40" s="5">
        <f>COUNTIFS(Stats!$G$4:$CM$4,J$1,Stats!$G45:$CM45,"&lt;&gt;")</f>
        <v>0</v>
      </c>
      <c r="K40" s="5">
        <f>SUMIF(Stats!$G$4:$CI$4,J$1,Stats!$H45:$CO45)</f>
        <v>0</v>
      </c>
      <c r="L40" s="6" t="str">
        <f t="shared" si="6"/>
        <v/>
      </c>
      <c r="M40" s="5">
        <f>COUNTIFS(Stats!$G$4:$CM$4,M$1,Stats!$G45:$CM45,"&lt;&gt;")</f>
        <v>0</v>
      </c>
      <c r="N40" s="5">
        <f>SUMIF(Stats!$G$4:$CI$4,M$1,Stats!$H45:$CO45)</f>
        <v>0</v>
      </c>
      <c r="O40" s="6" t="str">
        <f t="shared" si="7"/>
        <v/>
      </c>
      <c r="P40" s="13">
        <f>COUNTIFS(Stats!$J$9:$CM$9,"R",Stats!$J45:$CM45,"&gt;0")</f>
        <v>0</v>
      </c>
      <c r="Q40" s="13">
        <f>SUMIF(Stats!$J$9:$CM$9,"R",Stats!$J45:$CM45)</f>
        <v>0</v>
      </c>
      <c r="R40" s="13">
        <f>Stats!E45-E40</f>
        <v>0</v>
      </c>
    </row>
    <row r="41" spans="1:18" x14ac:dyDescent="0.2">
      <c r="A41" s="1">
        <f>Stats!A46</f>
        <v>0</v>
      </c>
      <c r="B41" s="1">
        <f>Stats!B46</f>
        <v>0</v>
      </c>
      <c r="C41" s="42">
        <f>Stats!C46</f>
        <v>0</v>
      </c>
      <c r="D41" s="13">
        <f t="shared" si="2"/>
        <v>0</v>
      </c>
      <c r="E41" s="13">
        <f t="shared" si="3"/>
        <v>0</v>
      </c>
      <c r="F41" s="49" t="str">
        <f t="shared" si="4"/>
        <v/>
      </c>
      <c r="G41" s="5">
        <f>COUNTIFS(Stats!$G$4:$CM$4,G$1,Stats!$G46:$CM46,"&lt;&gt;")</f>
        <v>0</v>
      </c>
      <c r="H41" s="5">
        <f>SUMIF(Stats!$G$4:$CI$4,G$1,Stats!$H46:$CO46)</f>
        <v>0</v>
      </c>
      <c r="I41" s="6" t="str">
        <f t="shared" si="5"/>
        <v/>
      </c>
      <c r="J41" s="5">
        <f>COUNTIFS(Stats!$G$4:$CM$4,J$1,Stats!$G46:$CM46,"&lt;&gt;")</f>
        <v>0</v>
      </c>
      <c r="K41" s="5">
        <f>SUMIF(Stats!$G$4:$CI$4,J$1,Stats!$H46:$CO46)</f>
        <v>0</v>
      </c>
      <c r="L41" s="6" t="str">
        <f t="shared" si="6"/>
        <v/>
      </c>
      <c r="M41" s="5">
        <f>COUNTIFS(Stats!$G$4:$CM$4,M$1,Stats!$G46:$CM46,"&lt;&gt;")</f>
        <v>0</v>
      </c>
      <c r="N41" s="5">
        <f>SUMIF(Stats!$G$4:$CI$4,M$1,Stats!$H46:$CO46)</f>
        <v>0</v>
      </c>
      <c r="O41" s="6" t="str">
        <f t="shared" si="7"/>
        <v/>
      </c>
      <c r="P41" s="13">
        <f>COUNTIFS(Stats!$J$9:$CM$9,"R",Stats!$J46:$CM46,"&gt;0")</f>
        <v>0</v>
      </c>
      <c r="Q41" s="13">
        <f>SUMIF(Stats!$J$9:$CM$9,"R",Stats!$J46:$CM46)</f>
        <v>0</v>
      </c>
      <c r="R41" s="13">
        <f>Stats!E46-E41</f>
        <v>0</v>
      </c>
    </row>
    <row r="42" spans="1:18" x14ac:dyDescent="0.2">
      <c r="A42" s="1">
        <f>Stats!A47</f>
        <v>0</v>
      </c>
      <c r="B42" s="1">
        <f>Stats!B47</f>
        <v>0</v>
      </c>
      <c r="C42" s="42">
        <f>Stats!C47</f>
        <v>0</v>
      </c>
      <c r="D42" s="13">
        <f t="shared" si="2"/>
        <v>0</v>
      </c>
      <c r="E42" s="13">
        <f t="shared" si="3"/>
        <v>0</v>
      </c>
      <c r="F42" s="49" t="str">
        <f t="shared" si="4"/>
        <v/>
      </c>
      <c r="G42" s="5">
        <f>COUNTIFS(Stats!$G$4:$CM$4,G$1,Stats!$G47:$CM47,"&lt;&gt;")</f>
        <v>0</v>
      </c>
      <c r="H42" s="5">
        <f>SUMIF(Stats!$G$4:$CI$4,G$1,Stats!$H47:$CO47)</f>
        <v>0</v>
      </c>
      <c r="I42" s="6" t="str">
        <f t="shared" si="5"/>
        <v/>
      </c>
      <c r="J42" s="5">
        <f>COUNTIFS(Stats!$G$4:$CM$4,J$1,Stats!$G47:$CM47,"&lt;&gt;")</f>
        <v>0</v>
      </c>
      <c r="K42" s="5">
        <f>SUMIF(Stats!$G$4:$CI$4,J$1,Stats!$H47:$CO47)</f>
        <v>0</v>
      </c>
      <c r="L42" s="6" t="str">
        <f t="shared" si="6"/>
        <v/>
      </c>
      <c r="M42" s="5">
        <f>COUNTIFS(Stats!$G$4:$CM$4,M$1,Stats!$G47:$CM47,"&lt;&gt;")</f>
        <v>0</v>
      </c>
      <c r="N42" s="5">
        <f>SUMIF(Stats!$G$4:$CI$4,M$1,Stats!$H47:$CO47)</f>
        <v>0</v>
      </c>
      <c r="O42" s="6" t="str">
        <f t="shared" si="7"/>
        <v/>
      </c>
      <c r="P42" s="13">
        <f>COUNTIFS(Stats!$J$9:$CM$9,"R",Stats!$J47:$CM47,"&gt;0")</f>
        <v>0</v>
      </c>
      <c r="Q42" s="13">
        <f>SUMIF(Stats!$J$9:$CM$9,"R",Stats!$J47:$CM47)</f>
        <v>0</v>
      </c>
      <c r="R42" s="13">
        <f>Stats!E47-E42</f>
        <v>0</v>
      </c>
    </row>
    <row r="43" spans="1:18" x14ac:dyDescent="0.2">
      <c r="A43" s="1">
        <f>Stats!A48</f>
        <v>888</v>
      </c>
      <c r="B43" s="1" t="str">
        <f>Stats!B48</f>
        <v>Own Goal</v>
      </c>
      <c r="C43" s="42">
        <f>Stats!C48</f>
        <v>0</v>
      </c>
      <c r="D43" s="13">
        <f t="shared" si="2"/>
        <v>0</v>
      </c>
      <c r="E43" s="13">
        <f t="shared" si="3"/>
        <v>2</v>
      </c>
      <c r="F43" s="49" t="str">
        <f t="shared" si="4"/>
        <v/>
      </c>
      <c r="G43" s="5">
        <f>COUNTIFS(Stats!$G$4:$CM$4,G$1,Stats!$G48:$CM48,"&lt;&gt;")</f>
        <v>0</v>
      </c>
      <c r="H43" s="5">
        <f>SUMIF(Stats!$G$4:$CI$4,G$1,Stats!$H48:$CO48)</f>
        <v>0</v>
      </c>
      <c r="I43" s="6" t="str">
        <f t="shared" si="5"/>
        <v/>
      </c>
      <c r="J43" s="5">
        <f>COUNTIFS(Stats!$G$4:$CM$4,J$1,Stats!$G48:$CM48,"&lt;&gt;")</f>
        <v>0</v>
      </c>
      <c r="K43" s="5">
        <f>SUMIF(Stats!$G$4:$CI$4,J$1,Stats!$H48:$CO48)</f>
        <v>0</v>
      </c>
      <c r="L43" s="6" t="str">
        <f t="shared" si="6"/>
        <v/>
      </c>
      <c r="M43" s="5">
        <f>COUNTIFS(Stats!$G$4:$CM$4,M$1,Stats!$G48:$CM48,"&lt;&gt;")</f>
        <v>0</v>
      </c>
      <c r="N43" s="5">
        <f>SUMIF(Stats!$G$4:$CI$4,M$1,Stats!$H48:$CO48)</f>
        <v>2</v>
      </c>
      <c r="O43" s="6" t="str">
        <f t="shared" si="7"/>
        <v/>
      </c>
      <c r="P43" s="13">
        <f>COUNTIFS(Stats!$J$9:$CM$9,"R",Stats!$J48:$CM48,"&gt;0")</f>
        <v>0</v>
      </c>
      <c r="Q43" s="13">
        <f>SUMIF(Stats!$J$9:$CM$9,"R",Stats!$J48:$CM48)</f>
        <v>0</v>
      </c>
      <c r="R43" s="13">
        <f>Stats!E48-E43</f>
        <v>0</v>
      </c>
    </row>
    <row r="44" spans="1:18" x14ac:dyDescent="0.2">
      <c r="A44" s="1">
        <f>Stats!A49</f>
        <v>777</v>
      </c>
      <c r="B44" s="1" t="str">
        <f>Stats!B49</f>
        <v>A.N.Other</v>
      </c>
      <c r="C44" s="42">
        <f>Stats!C49</f>
        <v>0</v>
      </c>
      <c r="D44" s="13">
        <f t="shared" si="2"/>
        <v>1</v>
      </c>
      <c r="E44" s="13">
        <f t="shared" si="3"/>
        <v>1</v>
      </c>
      <c r="F44" s="49">
        <f t="shared" si="4"/>
        <v>1</v>
      </c>
      <c r="G44" s="5">
        <f>COUNTIFS(Stats!$G$4:$CM$4,G$1,Stats!$G49:$CM49,"&lt;&gt;")</f>
        <v>0</v>
      </c>
      <c r="H44" s="5">
        <f>SUMIF(Stats!$G$4:$CI$4,G$1,Stats!$H49:$CO49)</f>
        <v>0</v>
      </c>
      <c r="I44" s="6" t="str">
        <f t="shared" si="5"/>
        <v/>
      </c>
      <c r="J44" s="5">
        <f>COUNTIFS(Stats!$G$4:$CM$4,J$1,Stats!$G49:$CM49,"&lt;&gt;")</f>
        <v>0</v>
      </c>
      <c r="K44" s="5">
        <f>SUMIF(Stats!$G$4:$CI$4,J$1,Stats!$H49:$CO49)</f>
        <v>0</v>
      </c>
      <c r="L44" s="6" t="str">
        <f t="shared" si="6"/>
        <v/>
      </c>
      <c r="M44" s="5">
        <f>COUNTIFS(Stats!$G$4:$CM$4,M$1,Stats!$G49:$CM49,"&lt;&gt;")</f>
        <v>1</v>
      </c>
      <c r="N44" s="5">
        <f>SUMIF(Stats!$G$4:$CI$4,M$1,Stats!$H49:$CO49)</f>
        <v>1</v>
      </c>
      <c r="O44" s="6">
        <f t="shared" si="7"/>
        <v>1</v>
      </c>
      <c r="P44" s="13">
        <f>COUNTIFS(Stats!$J$9:$CM$9,"R",Stats!$J49:$CM49,"&gt;0")</f>
        <v>0</v>
      </c>
      <c r="Q44" s="13">
        <f>SUMIF(Stats!$J$9:$CM$9,"R",Stats!$J49:$CM49)</f>
        <v>0</v>
      </c>
      <c r="R44" s="13">
        <f>Stats!E49-E44</f>
        <v>0</v>
      </c>
    </row>
    <row r="45" spans="1:18" x14ac:dyDescent="0.2">
      <c r="A45" s="4"/>
      <c r="C45" s="44"/>
      <c r="D45" s="5"/>
      <c r="E45" s="5"/>
      <c r="F45" s="6"/>
      <c r="G45" s="5"/>
      <c r="H45" s="5"/>
      <c r="I45" s="6"/>
      <c r="J45" s="5"/>
      <c r="K45" s="5"/>
      <c r="L45" s="6"/>
      <c r="M45" s="5"/>
      <c r="N45" s="5"/>
      <c r="O45" s="6"/>
    </row>
    <row r="46" spans="1:18" x14ac:dyDescent="0.2">
      <c r="A46" s="4"/>
      <c r="B46" s="1" t="s">
        <v>21</v>
      </c>
      <c r="C46" s="44"/>
      <c r="D46" s="5"/>
      <c r="E46" s="5">
        <f>SUM(E5:E45)</f>
        <v>60</v>
      </c>
      <c r="F46" s="6"/>
      <c r="G46" s="5"/>
      <c r="H46" s="5">
        <f>SUM(H5:H45)</f>
        <v>47</v>
      </c>
      <c r="I46" s="6"/>
      <c r="J46" s="5"/>
      <c r="K46" s="5">
        <f>SUM(K5:K45)</f>
        <v>0</v>
      </c>
      <c r="L46" s="6"/>
      <c r="M46" s="5"/>
      <c r="N46" s="5"/>
      <c r="O46" s="6"/>
    </row>
    <row r="48" spans="1:18" x14ac:dyDescent="0.2">
      <c r="C48" s="42" t="s">
        <v>22</v>
      </c>
      <c r="D48" s="7">
        <f>SUM(D4:D45)</f>
        <v>193</v>
      </c>
      <c r="E48" s="1" t="s">
        <v>38</v>
      </c>
      <c r="G48" s="7">
        <f>SUM(G5:G45)</f>
        <v>156</v>
      </c>
      <c r="J48" s="7">
        <f>SUM(J5:J45)</f>
        <v>12</v>
      </c>
      <c r="M48" s="7">
        <f>SUM(M5:M45)</f>
        <v>25</v>
      </c>
    </row>
    <row r="49" spans="1:15" x14ac:dyDescent="0.2">
      <c r="C49" s="42" t="s">
        <v>23</v>
      </c>
      <c r="D49" s="7">
        <f>SUM(G48:M48)</f>
        <v>193</v>
      </c>
      <c r="E49" s="1">
        <f>D48-D49</f>
        <v>0</v>
      </c>
    </row>
    <row r="50" spans="1:15" x14ac:dyDescent="0.2">
      <c r="C50" s="42" t="s">
        <v>24</v>
      </c>
      <c r="D50" s="7">
        <f>Stats!D50</f>
        <v>184</v>
      </c>
      <c r="E50" s="1">
        <f>D48-D50</f>
        <v>9</v>
      </c>
    </row>
    <row r="52" spans="1:15" x14ac:dyDescent="0.2">
      <c r="A52" s="1">
        <v>888</v>
      </c>
      <c r="B52" s="1" t="s">
        <v>25</v>
      </c>
      <c r="D52" s="1">
        <f>SUMIF($A4:$A45,"777",D4:D45)+D54</f>
        <v>2</v>
      </c>
      <c r="E52" s="1">
        <f>SUMIF($A4:$A45,"777",E4:E45)</f>
        <v>1</v>
      </c>
      <c r="F52" s="1" t="s">
        <v>26</v>
      </c>
      <c r="G52" s="1">
        <f>SUMIF($A4:$A45,"777",G4:G45)+G54</f>
        <v>1</v>
      </c>
      <c r="H52" s="1">
        <f>SUMIF($A4:$A45,"777",H4:H45)</f>
        <v>0</v>
      </c>
      <c r="I52" s="49" t="s">
        <v>26</v>
      </c>
      <c r="J52" s="1">
        <f>SUMIF($A4:$A45,"777",J4:J45)+J54</f>
        <v>0</v>
      </c>
      <c r="K52" s="1">
        <f>SUMIF($A4:$A45,"777",K4:K45)</f>
        <v>0</v>
      </c>
      <c r="L52" s="49" t="s">
        <v>26</v>
      </c>
      <c r="M52" s="1">
        <f>SUMIF($A4:$A45,"777",M4:M45)+M54</f>
        <v>1</v>
      </c>
      <c r="N52" s="1">
        <f>SUMIF($A4:$A45,"777",N4:N45)</f>
        <v>1</v>
      </c>
      <c r="O52" s="49" t="s">
        <v>26</v>
      </c>
    </row>
    <row r="54" spans="1:15" x14ac:dyDescent="0.2">
      <c r="C54" s="42" t="s">
        <v>27</v>
      </c>
      <c r="D54" s="1">
        <v>0</v>
      </c>
    </row>
    <row r="55" spans="1:15" x14ac:dyDescent="0.2">
      <c r="C55" s="42" t="s">
        <v>28</v>
      </c>
      <c r="D55" s="1">
        <v>0</v>
      </c>
    </row>
  </sheetData>
  <sheetProtection selectLockedCells="1" selectUnlockedCells="1"/>
  <phoneticPr fontId="5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Slaughter</cp:lastModifiedBy>
  <dcterms:created xsi:type="dcterms:W3CDTF">2013-09-06T07:58:34Z</dcterms:created>
  <dcterms:modified xsi:type="dcterms:W3CDTF">2017-04-28T14:18:38Z</dcterms:modified>
</cp:coreProperties>
</file>